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NT002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NT_fabrica_software\odoo16_Canella\cn006_proyectos_it\z_scripts_consola_varios\kpis_excel\"/>
    </mc:Choice>
  </mc:AlternateContent>
  <xr:revisionPtr revIDLastSave="0" documentId="13_ncr:1_{E6A66E0C-7BCA-4AA4-A0EB-2661553161E8}" xr6:coauthVersionLast="47" xr6:coauthVersionMax="47" xr10:uidLastSave="{00000000-0000-0000-0000-000000000000}"/>
  <bookViews>
    <workbookView xWindow="-108" yWindow="-108" windowWidth="23256" windowHeight="12456" tabRatio="757" firstSheet="2" activeTab="7" xr2:uid="{00000000-000D-0000-FFFF-FFFF00000000}"/>
  </bookViews>
  <sheets>
    <sheet name="_Template" sheetId="23" state="hidden" r:id="rId1"/>
    <sheet name="_CFG Indicadores" sheetId="24" state="hidden" r:id="rId2"/>
    <sheet name="Datos Resumen" sheetId="21" r:id="rId3"/>
    <sheet name="Odoo Datos" sheetId="20" r:id="rId4"/>
    <sheet name="Dashboard Base" sheetId="124" state="hidden" r:id="rId5"/>
    <sheet name="Dashboard" sheetId="145" state="hidden" r:id="rId6"/>
    <sheet name="Matirz a partir de Agosto" sheetId="22" state="hidden" r:id="rId7"/>
    <sheet name="Parámetros" sheetId="15" r:id="rId8"/>
    <sheet name="_tbl" sheetId="14" state="hidden" r:id="rId9"/>
  </sheets>
  <functionGroups builtInGroupCount="19"/>
  <definedNames>
    <definedName name="_kMeta01">'_CFG Indicadores'!$D$6</definedName>
    <definedName name="_kMeta02">'_CFG Indicadores'!$D$7</definedName>
    <definedName name="_kMeta03">'_CFG Indicadores'!$D$8</definedName>
    <definedName name="_kMeta04">'_CFG Indicadores'!$D$9</definedName>
    <definedName name="_kPeso01">'_CFG Indicadores'!$C$6</definedName>
    <definedName name="_kPeso02">'_CFG Indicadores'!$C$7</definedName>
    <definedName name="_kPeso03">'_CFG Indicadores'!$C$8</definedName>
    <definedName name="_kPeso04">'_CFG Indicadores'!$C$9</definedName>
    <definedName name="_NTValidaFechas" comment="Valida un par de fechas.  DESDE y HASTA">_xlfn.LAMBDA(_xlpm.Desde,_xlpm.Hasta,IF(AND(_xlpm.Desde=0,_xlpm.Hasta=0),"OK",IF(_xlpm.Desde&lt;=_xlpm.Hasta,"OK","*ERR-Fecha HASTA debe ser mayor o igual a Fecha DESDE.")))</definedName>
    <definedName name="_RangoTemplate">_Template!$A$12:$M$44</definedName>
    <definedName name="_xlpm.Desde" hidden="1" xlm="1">#NAME?</definedName>
    <definedName name="_xlpm.Hasta" hidden="1" xlm="1">#NAME?</definedName>
    <definedName name="kBD">Parámetros!$D$4</definedName>
    <definedName name="kDirectorio">Parámetros!$D$5</definedName>
    <definedName name="kFechaDesde">Parámetros!$D$7</definedName>
    <definedName name="kFechaHasta">Parámetros!$D$8</definedName>
    <definedName name="kMargenAceptacionMinutos">'_CFG Indicadores'!$D$2</definedName>
    <definedName name="kScript">Parámetros!$D$6</definedName>
    <definedName name="kURL">Parámetros!$D$3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2" i="23" l="1"/>
  <c r="E38" i="23"/>
  <c r="E34" i="23"/>
  <c r="E30" i="23"/>
  <c r="F14" i="23"/>
  <c r="E28" i="23"/>
  <c r="E41" i="23"/>
  <c r="E29" i="23"/>
  <c r="E40" i="23"/>
  <c r="E36" i="23"/>
  <c r="E32" i="23"/>
  <c r="D3" i="24"/>
  <c r="E2" i="24"/>
  <c r="F20" i="23" l="1"/>
  <c r="F19" i="23"/>
  <c r="F18" i="23"/>
  <c r="F17" i="23"/>
  <c r="E20" i="23"/>
  <c r="E19" i="23"/>
  <c r="E18" i="23"/>
  <c r="E17" i="23"/>
  <c r="E37" i="23"/>
  <c r="G17" i="23"/>
  <c r="F6" i="24"/>
  <c r="C10" i="24"/>
  <c r="F9" i="24"/>
  <c r="F8" i="24"/>
  <c r="F7" i="24"/>
  <c r="L30" i="22"/>
  <c r="L25" i="22"/>
  <c r="L26" i="22" s="1"/>
  <c r="N9" i="22" s="1"/>
  <c r="O9" i="22" s="1"/>
  <c r="L21" i="22"/>
  <c r="L22" i="22" s="1"/>
  <c r="N8" i="22" s="1"/>
  <c r="O8" i="22" s="1"/>
  <c r="L18" i="22"/>
  <c r="L12" i="22"/>
  <c r="O11" i="22"/>
  <c r="C11" i="22"/>
  <c r="N10" i="22"/>
  <c r="O10" i="22" s="1"/>
  <c r="F10" i="22"/>
  <c r="F9" i="22"/>
  <c r="F8" i="22"/>
  <c r="N7" i="22"/>
  <c r="O7" i="22" s="1"/>
  <c r="O12" i="22" s="1"/>
  <c r="F7" i="22"/>
  <c r="F11" i="22" s="1"/>
  <c r="K1" i="22"/>
  <c r="A1" i="22"/>
  <c r="F36" i="23" l="1"/>
  <c r="F32" i="23"/>
  <c r="E33" i="23"/>
  <c r="H17" i="23"/>
  <c r="E21" i="23"/>
  <c r="F10" i="24"/>
  <c r="E8" i="15"/>
  <c r="E7" i="15"/>
  <c r="E6" i="15"/>
  <c r="E5" i="15"/>
  <c r="E4" i="15"/>
  <c r="E3" i="15"/>
  <c r="C17" i="14"/>
  <c r="C16" i="14"/>
  <c r="C15" i="14"/>
  <c r="C14" i="14"/>
  <c r="C9" i="14"/>
  <c r="C8" i="14"/>
  <c r="C7" i="14"/>
  <c r="C6" i="14"/>
  <c r="C5" i="14"/>
  <c r="C4" i="14"/>
  <c r="C3" i="14"/>
  <c r="G20" i="23" l="1"/>
  <c r="H20" i="23" s="1"/>
  <c r="G18" i="23"/>
  <c r="H18" i="23" s="1"/>
  <c r="G19" i="23"/>
  <c r="H19" i="23" s="1"/>
  <c r="H21" i="2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Julio de León</author>
  </authors>
  <commentList>
    <comment ref="D2" authorId="0" shapeId="0" xr:uid="{61E03B60-5FB7-4FBA-A854-45CB09811932}">
      <text>
        <r>
          <rPr>
            <b/>
            <sz val="9"/>
            <color indexed="81"/>
            <rFont val="Tahoma"/>
            <family val="2"/>
          </rPr>
          <t>Julio de León:</t>
        </r>
        <r>
          <rPr>
            <sz val="9"/>
            <color indexed="81"/>
            <rFont val="Tahoma"/>
            <family val="2"/>
          </rPr>
          <t xml:space="preserve">
* Debe ingresar en números normales: 10, 17, 23, etc.
* El número ingresado será el parámetro para considerar un ticket como correcto o no.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91196DC-333E-4D1E-A946-6C0A75B4D162}" keepAlive="1" name="Consulta - Consulta1" description="Conexión a la consulta 'Consulta1' en el libro." type="5" refreshedVersion="8" background="1" saveData="1">
    <dbPr connection="Provider=Microsoft.Mashup.OleDb.1;Data Source=$Workbook$;Location=Consulta1;Extended Properties=&quot;&quot;" command="SELECT * FROM [Consulta1]"/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<sst xmlns="http://schemas.openxmlformats.org/spreadsheetml/2006/main" count="3656" uniqueCount="746">
  <si>
    <t>CONCEPTO</t>
  </si>
  <si>
    <t>Nombre</t>
  </si>
  <si>
    <t>ESTADOS DE ISSUSES</t>
  </si>
  <si>
    <t>Cod</t>
  </si>
  <si>
    <t>Selector</t>
  </si>
  <si>
    <t>Reportado</t>
  </si>
  <si>
    <t>En proceso</t>
  </si>
  <si>
    <t>Para QA</t>
  </si>
  <si>
    <t>En QA</t>
  </si>
  <si>
    <t>Falló QA</t>
  </si>
  <si>
    <t>Finalizado</t>
  </si>
  <si>
    <t>Cancelado</t>
  </si>
  <si>
    <t>PRIORIDAD ISSUES</t>
  </si>
  <si>
    <t>Crítica</t>
  </si>
  <si>
    <t>Alta</t>
  </si>
  <si>
    <t>Normal</t>
  </si>
  <si>
    <t>Baja</t>
  </si>
  <si>
    <t>CONEXIÓN Odoo</t>
  </si>
  <si>
    <t xml:space="preserve">Base de datos: </t>
  </si>
  <si>
    <t xml:space="preserve">Instancia Odoo (URL): </t>
  </si>
  <si>
    <t xml:space="preserve">Directorio Aplicación: </t>
  </si>
  <si>
    <t xml:space="preserve">Script Parte Horas: </t>
  </si>
  <si>
    <t xml:space="preserve">Fecha desde: </t>
  </si>
  <si>
    <t xml:space="preserve">Fecha hasta: </t>
  </si>
  <si>
    <t>/</t>
  </si>
  <si>
    <t>C:\Users\jalj1\OneDrive - Neotropo\NT-Files\100 Proy 2024\PROY2024-103 Canella HelpDesk\Reportes</t>
  </si>
  <si>
    <t>CANELLA, SOCIEDAD ANONIMA</t>
  </si>
  <si>
    <t>SAP</t>
  </si>
  <si>
    <t>GERENCIA DE SERVICIOS/TALLER ISUZU</t>
  </si>
  <si>
    <t>STOD</t>
  </si>
  <si>
    <t>CONTABILIDAD, CANELLA, S. A.</t>
  </si>
  <si>
    <t>AGENCIA ISUZU MAJADAS</t>
  </si>
  <si>
    <t>ISUZU</t>
  </si>
  <si>
    <t>AUDITORIA INTERNA</t>
  </si>
  <si>
    <t>CORPORACION INMOBILIARIA CENTRAL SOCIEDAD ANONIMA</t>
  </si>
  <si>
    <t>MANTENIMIENTO AUTOMOTRIZ, SOCIEDAD ANONIMA</t>
  </si>
  <si>
    <t>CENTRO DE COBRO</t>
  </si>
  <si>
    <t>INFORMATICA</t>
  </si>
  <si>
    <t>CANAL DIRECTO</t>
  </si>
  <si>
    <t>CANELLA</t>
  </si>
  <si>
    <t>normal</t>
  </si>
  <si>
    <t>Nery Ixcot</t>
  </si>
  <si>
    <t>__TCK_INTERNO_ID</t>
  </si>
  <si>
    <t>TCK TICKET</t>
  </si>
  <si>
    <t>TCK MESA ID</t>
  </si>
  <si>
    <t>TCK MESA</t>
  </si>
  <si>
    <t>TCK CLIENTE ID</t>
  </si>
  <si>
    <t>TCK CLIENTE</t>
  </si>
  <si>
    <t>TCK TÉCNICO ID</t>
  </si>
  <si>
    <t>TCK TÉCNICO</t>
  </si>
  <si>
    <t>__TCK_INTERNO_EMPRESA</t>
  </si>
  <si>
    <t>TCK TIPO SOPORTE ID</t>
  </si>
  <si>
    <t>TCK TIPO SOPORTE</t>
  </si>
  <si>
    <t>TCK APLICACIÓN ID</t>
  </si>
  <si>
    <t>TCK APLICACIÓN</t>
  </si>
  <si>
    <t>TCK MÓDULO ID</t>
  </si>
  <si>
    <t>TCK MÓDULO</t>
  </si>
  <si>
    <t>TCK PROYECTO ID</t>
  </si>
  <si>
    <t>TCK PROYECTO</t>
  </si>
  <si>
    <t>TCK CN003_FECHA_APERTURA</t>
  </si>
  <si>
    <t>TCK CN003_FECHA_APERTURA_FLAG</t>
  </si>
  <si>
    <t>TCK CN003_FECHA_APERTURA_MANUAL</t>
  </si>
  <si>
    <t>TCK CN003_FECHA_APERTURA_REPORTE</t>
  </si>
  <si>
    <t>TCK CN003_FECHA_CIERRE</t>
  </si>
  <si>
    <t>TCK CN003_FECHA_CIERRE_FLAG</t>
  </si>
  <si>
    <t>TCK CN003_FECHA_CIERRE_MANUAL</t>
  </si>
  <si>
    <t>TCK CN003_FECHA_CIERRE_OFRECIDA</t>
  </si>
  <si>
    <t>TCK CN003_FECHA_CIERRE_REPORTE</t>
  </si>
  <si>
    <t>TCK FECHA CREACIÓN</t>
  </si>
  <si>
    <t>TCK FECHA ÚLTIMA ACTUALIZACIÓN</t>
  </si>
  <si>
    <t>TCK FECHA MODIFICACIÓN</t>
  </si>
  <si>
    <t>__TCK_INTERNO_COMPANY_ID</t>
  </si>
  <si>
    <t>__TCK_INTERNO_COMPANY</t>
  </si>
  <si>
    <t>__TCK_INTERNO_CREATE_UID_ID</t>
  </si>
  <si>
    <t>__INTERNO_TCK_CREATE_UID</t>
  </si>
  <si>
    <t>TCK DESCRIPTION</t>
  </si>
  <si>
    <t>TCK KANBAN_STATE</t>
  </si>
  <si>
    <t>TCK KANBAN</t>
  </si>
  <si>
    <t>TCK DESCRIPCIÓN CORTA</t>
  </si>
  <si>
    <t>TCK PRIORIDAD</t>
  </si>
  <si>
    <t>TCK STAGE_ID</t>
  </si>
  <si>
    <t>TCK ETAPA</t>
  </si>
  <si>
    <t>TCK STAGE_FOLD</t>
  </si>
  <si>
    <t>TCK PARTES DE HORAS ASOCIADOS</t>
  </si>
  <si>
    <t>TCK CIERRE TIPO ID</t>
  </si>
  <si>
    <t>TCK CIERRE TIPO</t>
  </si>
  <si>
    <t>TCK CIERRE DESCRIPCIÓN</t>
  </si>
  <si>
    <t>TCK CLIENTE EMAIL</t>
  </si>
  <si>
    <t>TCK CLIENTE DEPARTAMENTO</t>
  </si>
  <si>
    <t>TCK CLIENTE EMPRESA</t>
  </si>
  <si>
    <t>TCK TIEMPO ABIERTO</t>
  </si>
  <si>
    <t>PH PARTE DE HORAS</t>
  </si>
  <si>
    <t>PH TÉCNICO ID</t>
  </si>
  <si>
    <t>__INTERNO_TIMESHEET_ACCOUNT_ID</t>
  </si>
  <si>
    <t>__INTERNO_TIMESHEET_ACCOUNT</t>
  </si>
  <si>
    <t>__INTERNO_TIMESHEET_AMOUNT</t>
  </si>
  <si>
    <t>50-Finalizado</t>
  </si>
  <si>
    <t>TCK FECHA OPERACIÓN</t>
  </si>
  <si>
    <t>Tabla de Medición de Resultados en manejo de Tickets</t>
  </si>
  <si>
    <t>Fecha</t>
  </si>
  <si>
    <t>XX/XX/XX</t>
  </si>
  <si>
    <t>Ester Lopez</t>
  </si>
  <si>
    <t>RUBRO</t>
  </si>
  <si>
    <t>PESO</t>
  </si>
  <si>
    <t>META</t>
  </si>
  <si>
    <t>Resultado Ejemplo</t>
  </si>
  <si>
    <t>NOTA</t>
  </si>
  <si>
    <t>RESULTADO</t>
  </si>
  <si>
    <t>Porcentaje de Tickets Cerrados en tiempo correcto</t>
  </si>
  <si>
    <t>Ticket abierto cuando se recibió el requerimiento y cerrado cuando se termino el trabajo.  La meta se logra cerrando los tickets en el momento correcto de cerrarla</t>
  </si>
  <si>
    <t>Porcentaje de Tickets Cerrados en tiempo</t>
  </si>
  <si>
    <t>Promedio de Tiempo efectivo  por Ticket trabajado en minutos</t>
  </si>
  <si>
    <t>Es el promedio de tiempo efectivo trabajado por ticket Para obtener el maximo resultado se debe lograr la meta,  se supera la meta bajando el tiempo gana puntos extra</t>
  </si>
  <si>
    <t>Tiempo efectivo promedio por Ticket trabajado en minutos</t>
  </si>
  <si>
    <t>Promedio de Tiempo  Abierto en sistema por ticket en minutos</t>
  </si>
  <si>
    <t>Es el promedio de tiempo en sistema trabajado por ticket.  Para obtener el maximo resultados se debe lograr la meta, se supera la meta bajando el tiempo gana puntos extra</t>
  </si>
  <si>
    <t>Tiempo Promedio Abierto en sistema por ticket en minutos</t>
  </si>
  <si>
    <t>Porcentaje de Ticket cerrados durante el turno</t>
  </si>
  <si>
    <t>Ticket cerrados el mismo dia que fueron abiertos. La meta se logra cerrando los tickets el dia que se abrieron</t>
  </si>
  <si>
    <t>Porcentaje de Ticket cerrados al final del turno</t>
  </si>
  <si>
    <t>Nota Final del día</t>
  </si>
  <si>
    <t>Porcentaje de Tickets Duplicados en sistema</t>
  </si>
  <si>
    <t>Tickets correctos</t>
  </si>
  <si>
    <t>ver columna TDIF</t>
  </si>
  <si>
    <t>Total de tickets</t>
  </si>
  <si>
    <t>Total</t>
  </si>
  <si>
    <t>Promedio tiempo efectivo</t>
  </si>
  <si>
    <t>Total tiempo promedio en minutos</t>
  </si>
  <si>
    <t>Promedio tiempo abierto</t>
  </si>
  <si>
    <t>Ticket cerrados al final del turno</t>
  </si>
  <si>
    <t>DETALLE DE INDICADORES</t>
  </si>
  <si>
    <t>Llamada</t>
  </si>
  <si>
    <t>TCK CANAL ATENCIÓN</t>
  </si>
  <si>
    <t>Correo</t>
  </si>
  <si>
    <t>José Julajuj Chumil</t>
  </si>
  <si>
    <t>Configuracion Software</t>
  </si>
  <si>
    <t>Juan Carlos Barillas</t>
  </si>
  <si>
    <t>30-En proceso</t>
  </si>
  <si>
    <t>Carlos Carias</t>
  </si>
  <si>
    <t>OSCAR RAUL HERNANDEZ REYNA</t>
  </si>
  <si>
    <t>Funcional</t>
  </si>
  <si>
    <t>LEIDI PAOLA ESQUIVEL RAMIREZ</t>
  </si>
  <si>
    <t>Rosario Lic</t>
  </si>
  <si>
    <t>Cuenta de TCK TICKET</t>
  </si>
  <si>
    <t>Luis Prado</t>
  </si>
  <si>
    <t>Actualización de Datos</t>
  </si>
  <si>
    <t>Proyecto IT</t>
  </si>
  <si>
    <t>Ester Daniela Lopez Cruz</t>
  </si>
  <si>
    <t>Reportería</t>
  </si>
  <si>
    <t>Alex Solorzano</t>
  </si>
  <si>
    <t>Facturación, Notas Crédito</t>
  </si>
  <si>
    <t>EDWARD ANTONY GARCIA ALVARADO</t>
  </si>
  <si>
    <t>Lentitud o Erores con Sistema</t>
  </si>
  <si>
    <t>Página WEB</t>
  </si>
  <si>
    <t>Administración</t>
  </si>
  <si>
    <t>Capacitaciones</t>
  </si>
  <si>
    <t>Monica Barahona</t>
  </si>
  <si>
    <t>Lentitud o Errores con Sistema</t>
  </si>
  <si>
    <t>Andres de León</t>
  </si>
  <si>
    <t>Etiquetas de fila</t>
  </si>
  <si>
    <t>Total general</t>
  </si>
  <si>
    <t>05-Aug</t>
  </si>
  <si>
    <t>06-Aug</t>
  </si>
  <si>
    <t>08-Aug</t>
  </si>
  <si>
    <t>09-Aug</t>
  </si>
  <si>
    <t>13-Aug</t>
  </si>
  <si>
    <t>PH TIEMPO</t>
  </si>
  <si>
    <t>PH TIEMPO 60</t>
  </si>
  <si>
    <t>PH FECHA</t>
  </si>
  <si>
    <t>PH DESCRIPCIÓN</t>
  </si>
  <si>
    <t>ALDO FRANCISCO SANDOVAL LEÓN</t>
  </si>
  <si>
    <t>Yosselyn Ignacio</t>
  </si>
  <si>
    <t>Odoo Créditos y Cobros</t>
  </si>
  <si>
    <t>19-Aug</t>
  </si>
  <si>
    <t>20-Aug</t>
  </si>
  <si>
    <t>16-Jul</t>
  </si>
  <si>
    <t>17-Jul</t>
  </si>
  <si>
    <t>18-Jul</t>
  </si>
  <si>
    <t>19-Jul</t>
  </si>
  <si>
    <t>22-Jul</t>
  </si>
  <si>
    <t>23-Jul</t>
  </si>
  <si>
    <t>24-Jul</t>
  </si>
  <si>
    <t>25-Jul</t>
  </si>
  <si>
    <t>26-Jul</t>
  </si>
  <si>
    <t>29-Jul</t>
  </si>
  <si>
    <t>30-Jul</t>
  </si>
  <si>
    <t>31-Jul</t>
  </si>
  <si>
    <t>02-Aug</t>
  </si>
  <si>
    <t>07-Aug</t>
  </si>
  <si>
    <t>12-Aug</t>
  </si>
  <si>
    <t>14-Aug</t>
  </si>
  <si>
    <t>16-Aug</t>
  </si>
  <si>
    <t>27-Jul</t>
  </si>
  <si>
    <t>01-Aug</t>
  </si>
  <si>
    <t>10-Aug</t>
  </si>
  <si>
    <t>17-Aug</t>
  </si>
  <si>
    <t>15-Jul</t>
  </si>
  <si>
    <t>Margen Aceptación (Minutos):</t>
  </si>
  <si>
    <t>VALORES</t>
  </si>
  <si>
    <t>DECIMAL</t>
  </si>
  <si>
    <t>TIEMPO
(dd:hh:mm:ss)</t>
  </si>
  <si>
    <t>Margen (DD:HH:MM:SS):</t>
  </si>
  <si>
    <t>TCK TIEMPO ABIERTO 60</t>
  </si>
  <si>
    <t>(N/A) Sin aplicación software</t>
  </si>
  <si>
    <t>(N/A) Sin módulo</t>
  </si>
  <si>
    <t>04025@general.tbd</t>
  </si>
  <si>
    <t>Inventario, Transferencias Stock</t>
  </si>
  <si>
    <t>ESTEFANY ALEJANDRA CASTELLANOS LOPEZ</t>
  </si>
  <si>
    <t>Ambiente trabado e inestabilidad</t>
  </si>
  <si>
    <t>Reporte de direcciones de asesores de prefactura</t>
  </si>
  <si>
    <t>40-Esperando cliente</t>
  </si>
  <si>
    <t>Orden de compra</t>
  </si>
  <si>
    <t>Office 365</t>
  </si>
  <si>
    <t>Promesas de Pago</t>
  </si>
  <si>
    <t>Creditos y Cobros Fase 2</t>
  </si>
  <si>
    <t>Proyecto Créditos y Cobros - ETAPA 5</t>
  </si>
  <si>
    <t>Configuracion Hardware</t>
  </si>
  <si>
    <t>Resuelto</t>
  </si>
  <si>
    <t>Query no le funciona para saber las facturas de maquipos</t>
  </si>
  <si>
    <t>Laptop</t>
  </si>
  <si>
    <t>Redes y Comunicaciones</t>
  </si>
  <si>
    <t>Ajuste al Sistema</t>
  </si>
  <si>
    <t>Llamadas de servicio</t>
  </si>
  <si>
    <t>Cobian Backup</t>
  </si>
  <si>
    <t>C60</t>
  </si>
  <si>
    <t>C61</t>
  </si>
  <si>
    <t>tck ticket</t>
  </si>
  <si>
    <t>tiempo_efectivo</t>
  </si>
  <si>
    <t>tiempo_efectivo_60</t>
  </si>
  <si>
    <t>tck tiempo abierto</t>
  </si>
  <si>
    <t>tck tiempo abierto 60</t>
  </si>
  <si>
    <t>tck dif</t>
  </si>
  <si>
    <t>tck dif 60</t>
  </si>
  <si>
    <t>tck valido</t>
  </si>
  <si>
    <t>tck etapa</t>
  </si>
  <si>
    <t>tck prioridad</t>
  </si>
  <si>
    <t>tck cn003_fecha_apertura_reporte</t>
  </si>
  <si>
    <t>tck cn003_fecha_cierre_reporte</t>
  </si>
  <si>
    <t>tck fecha creación</t>
  </si>
  <si>
    <t>tck fecha operación</t>
  </si>
  <si>
    <t>tck técnico</t>
  </si>
  <si>
    <t>tck cliente</t>
  </si>
  <si>
    <t>tck tipo soporte</t>
  </si>
  <si>
    <t>tck canal atención</t>
  </si>
  <si>
    <t>tck aplicación</t>
  </si>
  <si>
    <t>tck módulo</t>
  </si>
  <si>
    <t>tck proyecto</t>
  </si>
  <si>
    <t>tck cliente empresa</t>
  </si>
  <si>
    <t>tck cliente departamento</t>
  </si>
  <si>
    <t>tck cierre tipo</t>
  </si>
  <si>
    <t>tck cierre descripción</t>
  </si>
  <si>
    <t>tck kanban</t>
  </si>
  <si>
    <t>tck stage_fold</t>
  </si>
  <si>
    <t>tck descripción corta</t>
  </si>
  <si>
    <t>__tck_interno_empresa</t>
  </si>
  <si>
    <t>https://canella.odoo.com</t>
  </si>
  <si>
    <t>piensom-canella1-main-7955386</t>
  </si>
  <si>
    <t>Desktop</t>
  </si>
  <si>
    <t>Administración de Usuarios</t>
  </si>
  <si>
    <t>AD y Portal Office</t>
  </si>
  <si>
    <t>Contratos de Mantto.</t>
  </si>
  <si>
    <t>MINIMARKET</t>
  </si>
  <si>
    <t>ANABELLA NATARENO JUAREZ</t>
  </si>
  <si>
    <t>00408@general.tbd</t>
  </si>
  <si>
    <t>[35, 'Mesa Ayuda Infraestructura']</t>
  </si>
  <si>
    <t>[299, 'Rosario Lic']</t>
  </si>
  <si>
    <t>[8777, 'Mesa Ayuda Infraestructura']</t>
  </si>
  <si>
    <t>[267, 'Luis Prado']</t>
  </si>
  <si>
    <t>[446, 'Ester Daniela Lopez Cruz']</t>
  </si>
  <si>
    <t>LUIS PEDRO LOPEZ RODAS</t>
  </si>
  <si>
    <t>[2766, 'José Julajuj Chumil']</t>
  </si>
  <si>
    <t>06070@general.tbd</t>
  </si>
  <si>
    <t>[186, 'Carlos Carias']</t>
  </si>
  <si>
    <t>[314, 'Yosselyn Ignacio']</t>
  </si>
  <si>
    <t>MOTUL</t>
  </si>
  <si>
    <t>GERENCIA COMERCIAL</t>
  </si>
  <si>
    <t>IRIS MARISOL DIAZ LEMUS</t>
  </si>
  <si>
    <t>04801@general.tbd</t>
  </si>
  <si>
    <t>[248, 'Juan Carlos Barillas']</t>
  </si>
  <si>
    <t>tck cn003_fecha_cierre_ofrecida</t>
  </si>
  <si>
    <t>Generación de reportes</t>
  </si>
  <si>
    <t>partes_horas_infra_v160 PROD.py</t>
  </si>
  <si>
    <t>CANAL INDIRECTO</t>
  </si>
  <si>
    <t>20-Asignado</t>
  </si>
  <si>
    <t>CENTRO DE SERVICIOS YAMAHA</t>
  </si>
  <si>
    <t>ERIC SEBASTIAN PAREDES MONZON</t>
  </si>
  <si>
    <t>06161@general.tbd</t>
  </si>
  <si>
    <t>INVERSIONES QATAR, SOCIEDAD ANONIMA</t>
  </si>
  <si>
    <t>VPN</t>
  </si>
  <si>
    <t>YOSSELYN ANETT IGNACIO PASCUAL</t>
  </si>
  <si>
    <t>05681@general.tbd</t>
  </si>
  <si>
    <t>&lt;p&gt;Instalación de 2 puestos de trabajo&amp;nbsp;&lt;/p&gt;&lt;p&gt;Instalación Antena Starlink&amp;nbsp;&lt;/p&gt;&lt;p&gt;pruebas de comunicación&amp;nbsp;&lt;/p&gt;&lt;p&gt;instalación cableado estructurado para 5 equipos&amp;nbsp;&lt;/p&gt;&lt;p&gt;instalación tomacorrientes para puestos de trabajo&amp;nbsp;&lt;/p&gt;&lt;p&gt;instalación bandeja de equipo Starlink&amp;nbsp;&lt;/p&gt;&lt;p&gt;pruebas de VPN, STOD, Sap&amp;nbsp;&lt;/p&gt;&lt;p&gt;&lt;br&gt;&lt;/p&gt;&lt;p&gt;&lt;br&gt;&lt;/p&gt;</t>
  </si>
  <si>
    <t>Plan de trabajo Bodega Elizur Motul-Ensamble</t>
  </si>
  <si>
    <t>Tarea programada</t>
  </si>
  <si>
    <t>TIENDAS PROPIAS</t>
  </si>
  <si>
    <t>JOSE MIGUEL GARCIA RAMIREZ</t>
  </si>
  <si>
    <t>00051@general.tbd</t>
  </si>
  <si>
    <t>VEHICULOS ECONOMICOS, SOCIEDAD ANONIMA</t>
  </si>
  <si>
    <t>Recibos de Caja, Correlativos,Pagos Recibidos</t>
  </si>
  <si>
    <t>AMRAM ELEOHENAI VASQUEZ PALMA</t>
  </si>
  <si>
    <t>06132@general.tbd</t>
  </si>
  <si>
    <t>&lt;p&gt;Bitácora Backup servidores&lt;/p&gt;</t>
  </si>
  <si>
    <t>Bitácora Backup servidores</t>
  </si>
  <si>
    <t>Impresora</t>
  </si>
  <si>
    <t>YAMAHA LIBERACION</t>
  </si>
  <si>
    <t>Cambio de Equipo</t>
  </si>
  <si>
    <t xml:space="preserve">Ordenamiento de Cintas de Backup en Yamaha Flagship </t>
  </si>
  <si>
    <t>Ordenamiento de Cintas de Backup en Yamaha Flagship</t>
  </si>
  <si>
    <t>&lt;p&gt;Ordenamiento de Cintas de Backup en Yamaha Flagship &lt;/p&gt;</t>
  </si>
  <si>
    <t>Ordenamiento de Cintas de Backup en Caja Fuerte de Yamaha Flagship</t>
  </si>
  <si>
    <t>Equipo Nuevo</t>
  </si>
  <si>
    <t>&lt;p&gt;Cableado Estructurado Lube Shop&lt;/p&gt;&lt;p&gt;se inician trabajos de cableado en Lube Shop&amp;nbsp;&lt;/p&gt;</t>
  </si>
  <si>
    <t>Cableado Estructurado Lube Shop</t>
  </si>
  <si>
    <t>AGENCIA CENTRAL ZONA 9</t>
  </si>
  <si>
    <t>[171, 'Andres de León']</t>
  </si>
  <si>
    <t xml:space="preserve">Medios de pago ** </t>
  </si>
  <si>
    <t>Medios de pago</t>
  </si>
  <si>
    <t>Capacitación</t>
  </si>
  <si>
    <t>JORGE ARMANDO SOLIS MIRANDA</t>
  </si>
  <si>
    <t>06665@general.tbd</t>
  </si>
  <si>
    <t>Alerta PRTG</t>
  </si>
  <si>
    <t>ALEJANDRO ROMERO GONZALEZ</t>
  </si>
  <si>
    <t>04227@general.tbd</t>
  </si>
  <si>
    <t>ASTRID VICTORIA PEÑA DIEGUEZ</t>
  </si>
  <si>
    <t>04243@general.tbd</t>
  </si>
  <si>
    <t xml:space="preserve">Se procede a realizar listado de chumpas y chalecos para uso de personal  </t>
  </si>
  <si>
    <t>Seguimiento de uniforme / cambio de modelo de chumpas, verificación de tallas</t>
  </si>
  <si>
    <t>&lt;p&gt;Se procede a realizar listado de chumpas y chalecos para uso de personal&amp;nbsp; &lt;/p&gt;</t>
  </si>
  <si>
    <t>Uniforme Personal</t>
  </si>
  <si>
    <t>[44077, 43903, 37461, 37459, 34045, 34017]</t>
  </si>
  <si>
    <t>Coordinación acceso personal de Claro para diseño de fibra</t>
  </si>
  <si>
    <t>[44542, 44540, 44146, 44089, 43931, 43346, 43162, 42335, 42188, 41507, 41344, 41250, 41246, 41245, 39873, 39518, 39356, 39319, 39084, 38959, 38885, 37696, 37243, 36801, 35841, 35794, 35749, 34872, 34005]</t>
  </si>
  <si>
    <t>Se procede a brindar seguimiento a compra de candados para bodega IT.</t>
  </si>
  <si>
    <t>Seguimiento de despacho de candados</t>
  </si>
  <si>
    <t>&lt;p&gt;Se procede a brindar seguimiento a compra de candados para bodega IT.&lt;/p&gt;</t>
  </si>
  <si>
    <t>Seguimiento entrega de candados</t>
  </si>
  <si>
    <t>[44091, 43902, 39664]</t>
  </si>
  <si>
    <t>Solicitar cotizaciones de enlace a Claro y Tigo</t>
  </si>
  <si>
    <t>Nuevos requerimientos</t>
  </si>
  <si>
    <t>&lt;p&gt;Cableado estructurado Home Office Videre Z15&lt;/p&gt;</t>
  </si>
  <si>
    <t>Cableado estructurado Home Office Videre Z15</t>
  </si>
  <si>
    <t>[44216, 43942, 43940, 43934, 43928, 41247]</t>
  </si>
  <si>
    <t>Solicitar cotización de Cableado estructurado Proveedores ( Sites, Comsoft y Antonio )</t>
  </si>
  <si>
    <t>Envío de correo con puntos solicitados y recomendaciones para la instalación</t>
  </si>
  <si>
    <t>Revisión puntos de datos en plano</t>
  </si>
  <si>
    <t>Seguimiento instalación linea bacchus</t>
  </si>
  <si>
    <t>DIVISION SOLUCIONES DE OFICINA</t>
  </si>
  <si>
    <t>DIANA MERCEDES CANELLA NEUTZE de LUNA</t>
  </si>
  <si>
    <t>&lt;p&gt;Seguimiento instalación lineas telefónicas Bacchus&lt;/p&gt;</t>
  </si>
  <si>
    <t>Seguimiento instalación lineas telefónicas Bacchus</t>
  </si>
  <si>
    <t>[44005, 42941, 41248]</t>
  </si>
  <si>
    <t>06300@general.tbd</t>
  </si>
  <si>
    <t xml:space="preserve">Se procede a realizar orden de compra por 2 UPS para Agencia Elizur. ** </t>
  </si>
  <si>
    <t>Capitalización de 2 ups / envió de documentación  a contabilidad</t>
  </si>
  <si>
    <t>&lt;p style="margin-bottom: 0px;"&gt;Se procede a realizar orden de compra por 2 UPS para Agencia Elizur.&lt;/p&gt;&lt;p&gt;&lt;br&gt;&lt;/p&gt;</t>
  </si>
  <si>
    <t>Compra de 2 UPS - Elizur</t>
  </si>
  <si>
    <t>[43908, 42128]</t>
  </si>
  <si>
    <t>Revisión lugar de Rack de comunicaciones</t>
  </si>
  <si>
    <t>Cotizaciones</t>
  </si>
  <si>
    <t>Telefonia / Datos</t>
  </si>
  <si>
    <t>MARIO ENRIQUE TAMAYAC MARQUEZ</t>
  </si>
  <si>
    <t>&lt;p&gt;Revisión puntos de datos Salcajá&lt;/p&gt;</t>
  </si>
  <si>
    <t>Revisión puntos de datos Salcajá</t>
  </si>
  <si>
    <t>[43989, 42212]</t>
  </si>
  <si>
    <t>04335@general.tbd</t>
  </si>
  <si>
    <t>Seguimiento respuesta liquidación de cheques</t>
  </si>
  <si>
    <t>Reunión por verificación de tramite de liquidación de anticipos</t>
  </si>
  <si>
    <t>Cotizacion</t>
  </si>
  <si>
    <t>SANDRA JUDITH LOARCA HERNANDEZ de PEREZ</t>
  </si>
  <si>
    <t>&lt;p&gt;Seguimiento respuesta liquidación de cheques&lt;/p&gt;</t>
  </si>
  <si>
    <t>Seguimiento respuesta liquidación de anticipos</t>
  </si>
  <si>
    <t>[44164, 44123, 44122, 44011]</t>
  </si>
  <si>
    <t>04206@general.tbd</t>
  </si>
  <si>
    <t>Envío de nueva propuesta para aprobación de contratación enlace Tigo, Claro,Innova</t>
  </si>
  <si>
    <t>REPUESTOS ISUZU/VENTAS</t>
  </si>
  <si>
    <t>JOSE ANTONIO JUAREZ MANCILLA</t>
  </si>
  <si>
    <t>&lt;p&gt;Cotización enlaces TEC&lt;/p&gt;</t>
  </si>
  <si>
    <t>Cotización enlaces TEC</t>
  </si>
  <si>
    <t>[44227, 44149, 43927, 43842, 42927, 42700]</t>
  </si>
  <si>
    <t>04729@general.tbd</t>
  </si>
  <si>
    <t>Seguimiento cotización enlace Tec Innova</t>
  </si>
  <si>
    <t>Coordinar visita técnica para instalación de líneas telefónicas en la Planta</t>
  </si>
  <si>
    <t>&lt;p&gt;Coordinar visita técnica para instalación de líneas telefónicas en la Planta&lt;/p&gt;</t>
  </si>
  <si>
    <t>Coordinar visita técnica para instalación de líneas telefónicas en la Planta Telefónica en Bacchus</t>
  </si>
  <si>
    <t>[44045, 42889]</t>
  </si>
  <si>
    <t>Supervisar trabajos finalizados en las cajas de Taller Yamaha y Avanti</t>
  </si>
  <si>
    <t>&lt;p&gt;Revisión de trabajos finalizados en Cajas &lt;/p&gt;</t>
  </si>
  <si>
    <t>Revisión de trabajos finalizados en Cajas</t>
  </si>
  <si>
    <t>[44635, 44531, 43894, 42948]</t>
  </si>
  <si>
    <t>[43956, 43103]</t>
  </si>
  <si>
    <t>Seguimiento Instalación Cableado Lube Shop</t>
  </si>
  <si>
    <t>[44631, 44618, 43841, 43252]</t>
  </si>
  <si>
    <t>Recibos de caja C-3646 y C-3647 no se procesaron en SAP</t>
  </si>
  <si>
    <t>[43815]</t>
  </si>
  <si>
    <t>JOEL MIJAIL ZACARIAS MENDEZ</t>
  </si>
  <si>
    <t>Creación de perfil técnico y código de empleado de ventas</t>
  </si>
  <si>
    <t>[43828]</t>
  </si>
  <si>
    <t>No Extension.  partner_id: 254948 -- user_id res.users(2847,)</t>
  </si>
  <si>
    <t>PST de correo</t>
  </si>
  <si>
    <t>ISUZU QUETZALTENANGO</t>
  </si>
  <si>
    <t>JOSE OSCAR ENRIQUE QUEZADA BARRERA</t>
  </si>
  <si>
    <t>PST de correos Oscar Barrera</t>
  </si>
  <si>
    <t>[43822]</t>
  </si>
  <si>
    <t>05619@general.tbd</t>
  </si>
  <si>
    <t>Revisión data center 3er nivel zona 4</t>
  </si>
  <si>
    <t>Data Center</t>
  </si>
  <si>
    <t>&lt;p&gt;Revisión data center 3er nivel zona 4 &lt;/p&gt;</t>
  </si>
  <si>
    <t>[43823]</t>
  </si>
  <si>
    <t>Crear espacio en servidores origen</t>
  </si>
  <si>
    <t>[43838, 43825, 43824]</t>
  </si>
  <si>
    <t>Instalar Actualizaciones servidor Backups 172</t>
  </si>
  <si>
    <t>SISCON</t>
  </si>
  <si>
    <t>UNIDAD DE SOLUCIONES DIGITALES</t>
  </si>
  <si>
    <t>RICARDO MIGUEL RAFAEL LOPEZ REYES</t>
  </si>
  <si>
    <t>Cambiar el vendedor de varios contratos de mantenimiento</t>
  </si>
  <si>
    <t>[43865]</t>
  </si>
  <si>
    <t>05734@general.tbd</t>
  </si>
  <si>
    <t>Revisión de equipo de computo no enciende</t>
  </si>
  <si>
    <t>MELISSA BETSABE RUBIO GONZALEZ</t>
  </si>
  <si>
    <t>Revisión de equipo de computo Melissa Rubio</t>
  </si>
  <si>
    <t>[43829]</t>
  </si>
  <si>
    <t>04768@general.tbd</t>
  </si>
  <si>
    <t>Solicitud de Mantenimiento de equipos a proveedor</t>
  </si>
  <si>
    <t>[43831]</t>
  </si>
  <si>
    <t>crear usuario en Active Directory, configurar correo y cuenta Office 365</t>
  </si>
  <si>
    <t>Creación según checklist para Sofia Almazan</t>
  </si>
  <si>
    <t>[43915]</t>
  </si>
  <si>
    <t xml:space="preserve">Accesos a escritorio remoto </t>
  </si>
  <si>
    <t>Accesos a escritorio remoto</t>
  </si>
  <si>
    <t>MAQUINARIA DE CONSTRUCCION</t>
  </si>
  <si>
    <t>DINA MARIEL GARCIA PEREZ</t>
  </si>
  <si>
    <t>Accesos a escritorio remoto Dina Garcia</t>
  </si>
  <si>
    <t>[43845]</t>
  </si>
  <si>
    <t>05944@general.tbd</t>
  </si>
  <si>
    <t>Configuracion de impresora canon a usuario</t>
  </si>
  <si>
    <t>ISUZU MAZATENANGO</t>
  </si>
  <si>
    <t>CARLOS HUMBERTO RAMAS MARTINEZ</t>
  </si>
  <si>
    <t>Configuración de IP e impresora canon Jonatan Villaseca</t>
  </si>
  <si>
    <t>[43879, 43854]</t>
  </si>
  <si>
    <t>06697@general.tbd</t>
  </si>
  <si>
    <t>Configuración de puerto de red de equipo</t>
  </si>
  <si>
    <t>Módulo de Viáticos</t>
  </si>
  <si>
    <t>Cambio de encargado en solicitud de viatico 31180</t>
  </si>
  <si>
    <t>[43897]</t>
  </si>
  <si>
    <t>SOLUCIONES EN COLOCACION Y RECUPERACION, S.A.</t>
  </si>
  <si>
    <t>SUBGERENCIA DE OPERACIONES</t>
  </si>
  <si>
    <t>CRISTIAN ALEJANDRO GARCIA MONTUFAR</t>
  </si>
  <si>
    <t>Acceso Remoto a nuevo Mr. Credit servidor 73</t>
  </si>
  <si>
    <t>[43874]</t>
  </si>
  <si>
    <t>06463@general.tbd</t>
  </si>
  <si>
    <t>Reporte de Viaticos</t>
  </si>
  <si>
    <t>YAMAHA METRONORTE</t>
  </si>
  <si>
    <t>EDGAR LEONEL PAREDES SAMAYOA</t>
  </si>
  <si>
    <t>&lt;p&gt;Reinicio e IIS y búsqueda de eporte de viaticos&amp;nbsp;&lt;/p&gt;</t>
  </si>
  <si>
    <t>Reporte de Viaticos Edgar Paredes</t>
  </si>
  <si>
    <t>[43877]</t>
  </si>
  <si>
    <t>06908@general.tbd</t>
  </si>
  <si>
    <t>Creacion de reporte caja chica</t>
  </si>
  <si>
    <t>DANIEL QUISQUINA PAR</t>
  </si>
  <si>
    <t>Creación de reporte caja chica Daniel Par</t>
  </si>
  <si>
    <t>[43880]</t>
  </si>
  <si>
    <t>05185@general.tbd</t>
  </si>
  <si>
    <t>[43881]</t>
  </si>
  <si>
    <t>Verificar caída de enlace en Grafipronto 10</t>
  </si>
  <si>
    <t>Realizar pruebas en cada una de las maquinas</t>
  </si>
  <si>
    <t>GRAFIPRONTO</t>
  </si>
  <si>
    <t>MARIA ALEJANDRA CRUZ BOROR</t>
  </si>
  <si>
    <t>&lt;p&gt;Verificar caída de enlace en Grafipronto 10&lt;/p&gt;</t>
  </si>
  <si>
    <t>[43955, 43887]</t>
  </si>
  <si>
    <t>04445@general.tbd</t>
  </si>
  <si>
    <t>Realizar pruebas en Reunión de Teams</t>
  </si>
  <si>
    <t>&lt;p&gt;Realizar pruebas en Reunión de Teams&lt;/p&gt;</t>
  </si>
  <si>
    <t>[43888]</t>
  </si>
  <si>
    <t>Creacion de usuario stod</t>
  </si>
  <si>
    <t>Creacion de usuario stod Ennio Rivera</t>
  </si>
  <si>
    <t>[43889]</t>
  </si>
  <si>
    <t>Buscar backup de Jorge Caballeros</t>
  </si>
  <si>
    <t>SERVICIO TÉCNICO EQUIPO DE CÓMPUTO</t>
  </si>
  <si>
    <t>JORGE ALFREDO CABALLEROS ROCA</t>
  </si>
  <si>
    <t>[43890]</t>
  </si>
  <si>
    <t>00164@general.tbd</t>
  </si>
  <si>
    <t>creación de usuario según checklist para Sofia Almazan, asignación de licencia Office 365</t>
  </si>
  <si>
    <t>CANAL DIGITAL</t>
  </si>
  <si>
    <t>FREDY MOISES RAMIREZ MARENCO</t>
  </si>
  <si>
    <t>Configuración equipo de computo Sofia Almazan</t>
  </si>
  <si>
    <t>[43913]</t>
  </si>
  <si>
    <t>06756@general.tbd</t>
  </si>
  <si>
    <t xml:space="preserve">Dar acceso a Wifi Emp-Canella </t>
  </si>
  <si>
    <t>Dar acceso a Wifi Emp-Canella</t>
  </si>
  <si>
    <t>GERENCIA FINANCIERA - ADMINISTRATIVA</t>
  </si>
  <si>
    <t>NANCY ORALIA GUERRA SAMAYOA</t>
  </si>
  <si>
    <t>&lt;p&gt;Dar acceso a Wifi Emp-Canella &lt;/p&gt;</t>
  </si>
  <si>
    <t>[43892]</t>
  </si>
  <si>
    <t>06902@general.tbd</t>
  </si>
  <si>
    <t>Verificación de conexión a VPN</t>
  </si>
  <si>
    <t>MANUEL RAMIRO LOPEZ PIEDRASANTA</t>
  </si>
  <si>
    <t>Problemas de conexión a VPN Kevin Chicas</t>
  </si>
  <si>
    <t>[43893]</t>
  </si>
  <si>
    <t>05476@general.tbd</t>
  </si>
  <si>
    <t>Verificación de contraseña en correo registrado en teléfono corporativo</t>
  </si>
  <si>
    <t>LUIS FERNANDO PEREZ RIVERA</t>
  </si>
  <si>
    <t>Colocacion de contraseña en correo registrado en teléfono corporativo Oscar Coc</t>
  </si>
  <si>
    <t>[43895]</t>
  </si>
  <si>
    <t>06652@general.tbd</t>
  </si>
  <si>
    <t>Cambio de dirección IP para conexión en agencia Xela</t>
  </si>
  <si>
    <t>CANELLA AUTOMOTRIZ ISUZU QUETZALTENANGO</t>
  </si>
  <si>
    <t>JOSE MANUEL GUZMAN PABLO</t>
  </si>
  <si>
    <t>&lt;p&gt;Cambio de dirección IP para conexión en agencia Xela&lt;/p&gt;</t>
  </si>
  <si>
    <t>[43896]</t>
  </si>
  <si>
    <t>06714@general.tbd</t>
  </si>
  <si>
    <t>FRANCISCO ALEXANDER CANEL FUENTES</t>
  </si>
  <si>
    <t>No se puede generar Reporte_VentasServicios1000 en STOD</t>
  </si>
  <si>
    <t>[43923]</t>
  </si>
  <si>
    <t>05437@general.tbd</t>
  </si>
  <si>
    <t>Prueba de acceso a teams</t>
  </si>
  <si>
    <t>DIVISION AUTOMOTRIZ</t>
  </si>
  <si>
    <t>JOSE ROBERTO AGUIRRE CANELLA</t>
  </si>
  <si>
    <t>[43899]</t>
  </si>
  <si>
    <t>06266@general.tbd</t>
  </si>
  <si>
    <t>Apoyo, problemas de impresión desde SAP remoto</t>
  </si>
  <si>
    <t>GRUPO 2, MAUTO</t>
  </si>
  <si>
    <t>MANOLO ANTONIO LOPEZ ESCOBAR</t>
  </si>
  <si>
    <t>&lt;p&gt;Apoyo, problemas de impresión desde SAP remoto&lt;/p&gt;</t>
  </si>
  <si>
    <t>[43898]</t>
  </si>
  <si>
    <t>00755@general.tbd</t>
  </si>
  <si>
    <t>Pruebas transcriptor Teams</t>
  </si>
  <si>
    <t>&lt;p&gt;Pruebas transcriptor Teams&lt;/p&gt;</t>
  </si>
  <si>
    <t>[43900]</t>
  </si>
  <si>
    <t>Restablecimiento de credenciales para actualización de correos en Outlook</t>
  </si>
  <si>
    <t>MAQUINARIA Y EQUIPOS, SOCIEDAD ANONIMA</t>
  </si>
  <si>
    <t>DIVISION MAQUINARIA AGRICOLA POST VENTA</t>
  </si>
  <si>
    <t>JUAN JOSE PALMA PAREDES</t>
  </si>
  <si>
    <t>&lt;p&gt;Restablecimiento de credenciales para actualización de correos en Outlook&lt;/p&gt;</t>
  </si>
  <si>
    <t>[43901]</t>
  </si>
  <si>
    <t>06096@general.tbd</t>
  </si>
  <si>
    <t>seguimiento a equipo de cómputo en diagnóstico por pantalla azul y cambio de equipo</t>
  </si>
  <si>
    <t>Seguimiento a equipo de cómputo Jorge Caballeros</t>
  </si>
  <si>
    <t>[43912]</t>
  </si>
  <si>
    <t>se brindo seguimiento con técnico Jose Julajuj, y llamada al usuario para brindar diagnóstico</t>
  </si>
  <si>
    <t>SERVICIO TECNICO CANELLA</t>
  </si>
  <si>
    <t>ELMER GABRIEL MARTINEZ LOPEZ</t>
  </si>
  <si>
    <t>Seguimiento equipo de computo Elmer Martinez</t>
  </si>
  <si>
    <t>[43910]</t>
  </si>
  <si>
    <t>06767@general.tbd</t>
  </si>
  <si>
    <t xml:space="preserve">Restablecimiento de credenciales </t>
  </si>
  <si>
    <t>Restablecimiento de credenciales |</t>
  </si>
  <si>
    <t>GERENCIA DE DESARROLLO/SERVICIOS TI CORPORATIVOS</t>
  </si>
  <si>
    <t>JYMY DANIEL FRANCISCO ESCOBAR ZACARIAS</t>
  </si>
  <si>
    <t>&lt;p&gt;Restablecimiento de credenciales &lt;/p&gt;</t>
  </si>
  <si>
    <t>Restablecimiento de credenciales</t>
  </si>
  <si>
    <t>[43904]</t>
  </si>
  <si>
    <t>05977@general.tbd</t>
  </si>
  <si>
    <t>Seguimiento configuración de usuario Marvin Pacheco</t>
  </si>
  <si>
    <t>[43905]</t>
  </si>
  <si>
    <t xml:space="preserve">Reporte de ordenes de compra - Tiempo extra viernes 18 de octubre </t>
  </si>
  <si>
    <t>Reporte de ordenes de compra - Tiempo extra viernes 18 de octubre</t>
  </si>
  <si>
    <t>&lt;p&gt;Reporte de ordenes de compra - Tiempo extra viernes 18 de octubre &lt;/p&gt;</t>
  </si>
  <si>
    <t>[43906]</t>
  </si>
  <si>
    <t xml:space="preserve">Restablecimiento de credenciales para actualización en correo Outlook </t>
  </si>
  <si>
    <t>Restablecimiento de credenciales para actualización en correo Outlook</t>
  </si>
  <si>
    <t>JUAN JOSE ISMALE TORRES</t>
  </si>
  <si>
    <t>&lt;p&gt;Restablecimiento de credenciales para actualización en correo Outlook &lt;/p&gt;</t>
  </si>
  <si>
    <t>[43907]</t>
  </si>
  <si>
    <t>06807@general.tbd</t>
  </si>
  <si>
    <t>Reporte de seguimiento de cambio de teléfono de mostrador (buscaba a Carlos Carias)</t>
  </si>
  <si>
    <t>&lt;p&gt;Reporte de seguimiento de cambio de teléfono de mostrador (buscaba a Carlos Carias)&lt;/p&gt;</t>
  </si>
  <si>
    <t>Reporte de seguimiento de cambio de teléfono de mostrador</t>
  </si>
  <si>
    <t>[43909]</t>
  </si>
  <si>
    <t xml:space="preserve">Envió de orden de compra por horas de consultoría correspondientes al mes de septiembre </t>
  </si>
  <si>
    <t>Envió de orden de compra por horas de consultoría correspondientes al mes de septiembre</t>
  </si>
  <si>
    <t>&lt;p&gt;Envió de orden de compra por horas de consultoría correspondientes al mes de septiembre &lt;/p&gt;</t>
  </si>
  <si>
    <t>Orden de compra por horas de consultoría - Integración de información</t>
  </si>
  <si>
    <t>[43911]</t>
  </si>
  <si>
    <t>Se procede a compartir los correos del personal de agencia lubeshop a Eric Paredes a solicitud.</t>
  </si>
  <si>
    <t>&lt;p&gt;Se procede a compartir los correos del personal de agencia lubeshop a Eric Paredes a solicitud.&lt;/p&gt;</t>
  </si>
  <si>
    <t>Solicitud de correos de personal de Lubshop</t>
  </si>
  <si>
    <t>[43916]</t>
  </si>
  <si>
    <t>Análisis de Tickets y Supervisión mesa de Ayuda</t>
  </si>
  <si>
    <t>[43914]</t>
  </si>
  <si>
    <t>Se procede a realizar ordenes de compra por pagos a Banco Promerica por compras de licencias Power Automate y licencias 365 de Grafipronto.</t>
  </si>
  <si>
    <t>Se procede a realizar ordenes de compra por pagos a Banco Promerica por compras de licencias Power Automate, licencias 365 de Grafipronto y dominio en Godaddy</t>
  </si>
  <si>
    <t>GERENCIA DE SERVICIOS COMPARTIDOS</t>
  </si>
  <si>
    <t>CARMEN LUCIA BERDUO ARAGON</t>
  </si>
  <si>
    <t>&lt;p&gt;Se procede a realizar ordenes de compra por pagos a Banco Promerica por compras de licencias Power Automate y licencias 365 de Grafipronto.&lt;/p&gt;</t>
  </si>
  <si>
    <t>Ordenes de compra por estado de cuenta de Doña Diana</t>
  </si>
  <si>
    <t>[44151, 43917]</t>
  </si>
  <si>
    <t>06780@general.tbd</t>
  </si>
  <si>
    <t>Configuración para Office 365 para que el lenguaje sea en español</t>
  </si>
  <si>
    <t>HUGO JOSUE PEREZ POZADAS</t>
  </si>
  <si>
    <t>Configuracion para Office 365 para que el lenguaje sea en español Hugo Perez</t>
  </si>
  <si>
    <t>[43918]</t>
  </si>
  <si>
    <t>05108@general.tbd</t>
  </si>
  <si>
    <t>conexión a VPN</t>
  </si>
  <si>
    <t>HENRY GEOBANY AGUIRRE ARGUETA</t>
  </si>
  <si>
    <t>[43919]</t>
  </si>
  <si>
    <t>06340@general.tbd</t>
  </si>
  <si>
    <t xml:space="preserve">Resolución de dudas e inducción a conexión a vpn  </t>
  </si>
  <si>
    <t>Resolución de dudas e inducción a conexión a vpn</t>
  </si>
  <si>
    <t>&lt;p&gt;Resolución de dudas e inducción a conexión a vpn&amp;nbsp; &lt;/p&gt;</t>
  </si>
  <si>
    <t>[43920]</t>
  </si>
  <si>
    <t>Reinicio de equipo y actualización de bios</t>
  </si>
  <si>
    <t>Backup de equipo Jorge Caballeros</t>
  </si>
  <si>
    <t>[43993, 43951, 43921]</t>
  </si>
  <si>
    <t>Instalación de Windows, checklist  y configuracion de equipo</t>
  </si>
  <si>
    <t>Backup de equipo</t>
  </si>
  <si>
    <t>Recibo de caja B-3267 no se procesó en SAP</t>
  </si>
  <si>
    <t>[43930]</t>
  </si>
  <si>
    <t>06648@general.tbd</t>
  </si>
  <si>
    <t>Configuración de equipo tecno bodega usuario nuevo Marvin Pacheco</t>
  </si>
  <si>
    <t>JOSE PABLO CARACUN MIRANDA</t>
  </si>
  <si>
    <t>[43925]</t>
  </si>
  <si>
    <t>06518@general.tbd</t>
  </si>
  <si>
    <t>agregar equipo a dominio, checklist, configurar carpeta cobian,crear carpeta cobian, crear usuarios</t>
  </si>
  <si>
    <t>Solicitud de equipo - Repuestos Lubeshop</t>
  </si>
  <si>
    <t>[43967]</t>
  </si>
  <si>
    <t>Instalación de impresora a equipo de usuario</t>
  </si>
  <si>
    <t>YAMAHA PRADERA VISTARES</t>
  </si>
  <si>
    <t>OSCAR RODOLFO RODRIGUEZ ROSALES</t>
  </si>
  <si>
    <t>Instalación de impresora Oscar Rodríguez</t>
  </si>
  <si>
    <t>[43929]</t>
  </si>
  <si>
    <t>06023@general.tbd</t>
  </si>
  <si>
    <t>No encuentra número de traslado de la bodega MO001 a PM008</t>
  </si>
  <si>
    <t>[43966]</t>
  </si>
  <si>
    <t>conversación telefónica con Leonel Alvarez,  coodinar con Leonel Alvarez  la compra, toma de requerimiento, contestar correo</t>
  </si>
  <si>
    <t>SERVICIO TÉCNICO EQUIPO DIGITAL</t>
  </si>
  <si>
    <t>HECTOR LEONEL ALVAREZ MONTERROSO</t>
  </si>
  <si>
    <t>Revision solicitud tablet para servicio técnico</t>
  </si>
  <si>
    <t>[43941]</t>
  </si>
  <si>
    <t>00597@general.tbd</t>
  </si>
  <si>
    <t>verificar</t>
  </si>
  <si>
    <t>ISUZU RIO HONDO</t>
  </si>
  <si>
    <t>HECTOR LEONEL RAMIREZ SAGASTUME</t>
  </si>
  <si>
    <t>Compra tablet - confirmación de la solicitud de Leonel Alvarez</t>
  </si>
  <si>
    <t>[44019]</t>
  </si>
  <si>
    <t>04009@general.tbd</t>
  </si>
  <si>
    <t>Permisos de escritorio remoto y configuracion en SAP</t>
  </si>
  <si>
    <t>JOSE ANGEL EMILIO SOLIS MARROQUIN</t>
  </si>
  <si>
    <t>Permisos de escritorio remoto y configuración en SAP Emilio Solis</t>
  </si>
  <si>
    <t>[43952]</t>
  </si>
  <si>
    <t>04352@general.tbd</t>
  </si>
  <si>
    <t>Creacion de carpetas en sap</t>
  </si>
  <si>
    <t>Creacion de carpetas en sap y configuraciones correspondientes</t>
  </si>
  <si>
    <t>Creacion de carpetas en sap Cristian Montufar</t>
  </si>
  <si>
    <t>[43953]</t>
  </si>
  <si>
    <t xml:space="preserve">Instalación de líneas a la planta telefónica en Bacchus </t>
  </si>
  <si>
    <t>Instalación de líneas a la planta telefónica en Bacchus</t>
  </si>
  <si>
    <t>Planta Telefonica</t>
  </si>
  <si>
    <t>&lt;p&gt;Instalación de líneas a la planta telefónica en Bacchus &lt;/p&gt;</t>
  </si>
  <si>
    <t>[43954]</t>
  </si>
  <si>
    <t xml:space="preserve">Asignacion de licencia financiera para ordenes de compra </t>
  </si>
  <si>
    <t>Asignacion de licencia financiera para ordenes de compra  con pruebas de funcionamiento</t>
  </si>
  <si>
    <t>Asignacion de licencia financiera para ordenes de compra Emilio Solis</t>
  </si>
  <si>
    <t>[43957]</t>
  </si>
  <si>
    <t>Creacion de codigo de vendedor</t>
  </si>
  <si>
    <t>LUIS CARLOS BOLAÑOS LOPEZ</t>
  </si>
  <si>
    <t>Creacion de codigo de vendedor Luis Bolaños</t>
  </si>
  <si>
    <t>[43959]</t>
  </si>
  <si>
    <t>06293@general.tbd</t>
  </si>
  <si>
    <t>Se procede a brindar apoyo, por problemas de conexión a red en home office.</t>
  </si>
  <si>
    <t>JULIA ELIZABETH DIAZ RAMIREZ de DE CASTELLANOS</t>
  </si>
  <si>
    <t>&lt;p&gt;Se procede a brindar apoyo, por problemas de conexión a red en home office.&lt;/p&gt;</t>
  </si>
  <si>
    <t>Apoyo conexión a internet / Elizabeth Diaz</t>
  </si>
  <si>
    <t>[43963]</t>
  </si>
  <si>
    <t>04782@general.tbd</t>
  </si>
  <si>
    <t>Cambio de nombres a dos usuarios en SAP</t>
  </si>
  <si>
    <t>[43970]</t>
  </si>
  <si>
    <t xml:space="preserve">Sap lento no responde </t>
  </si>
  <si>
    <t>Sap lento no responde, Finalizar procesos en SQL server</t>
  </si>
  <si>
    <t>Reporte de lentitud SAP Stefany Castellanos</t>
  </si>
  <si>
    <t>[43964]</t>
  </si>
  <si>
    <t>Instalacion en VPN en equipo de compañeros de trabajo</t>
  </si>
  <si>
    <t>&lt;p&gt;Instalacion en VPN en equipo de compañeros de trabajo&lt;br&gt;Dificultad de instalación y configuración por conexión a internet y equipo antiguo&lt;/p&gt;</t>
  </si>
  <si>
    <t>Instalación en VPN en equipo de compañeros de trabajo Irisi Diaz</t>
  </si>
  <si>
    <t>[43965]</t>
  </si>
  <si>
    <t>Revision de Correos</t>
  </si>
  <si>
    <t>[43968]</t>
  </si>
  <si>
    <t>Adjunto de formulario solicitud de equipo de computo para 08 equipos para Yamaha diagnósticos</t>
  </si>
  <si>
    <t>EDGAR ALEJANDRO CONTRERAS GALINDO</t>
  </si>
  <si>
    <t>Adjunto de formulario solicitud de equipo de computo para 08 equipos - Edgar Contreras</t>
  </si>
  <si>
    <t>[43969]</t>
  </si>
  <si>
    <t>06641@general.tbd</t>
  </si>
  <si>
    <t>BODEGA/TALLER ISUZU</t>
  </si>
  <si>
    <t>CRISTIAN ADRIAN BARILLAS GARCIA</t>
  </si>
  <si>
    <t>Cambio de códigos de artículos en contrato de mantenimiento 384</t>
  </si>
  <si>
    <t>[43985]</t>
  </si>
  <si>
    <t>05101@general.tbd</t>
  </si>
  <si>
    <t>Agregar usuario</t>
  </si>
  <si>
    <t>Mantenimiento de Active Directory</t>
  </si>
  <si>
    <t>[44001]</t>
  </si>
  <si>
    <t>cambio de equipo de cómputo Manuel Sanic, por depreciación</t>
  </si>
  <si>
    <t>MANUEL BONIFACIO SANIC PONCIO</t>
  </si>
  <si>
    <t>Cambio de equipo de computo Manuel Sanic</t>
  </si>
  <si>
    <t>[43982]</t>
  </si>
  <si>
    <t>03073@general.tbd</t>
  </si>
  <si>
    <t>Retiro de módulo de activos fijos Add On traslado a bodega IT</t>
  </si>
  <si>
    <t>Retiro de activo fijo EC-013811 a bodega IT</t>
  </si>
  <si>
    <t>[43983]</t>
  </si>
  <si>
    <t>Verificación de red a equipo de computo y configuración de correo em teléfono</t>
  </si>
  <si>
    <t>Verificación de red a equipo de computo y configuración de correo em teléfono Massiel Sagastume</t>
  </si>
  <si>
    <t>[43984]</t>
  </si>
  <si>
    <t>Cambio de códigos de artículos en contrato de mantenimiento 269</t>
  </si>
  <si>
    <t>[44004]</t>
  </si>
  <si>
    <t xml:space="preserve">Asignar rol de tecnico(mecanico) a empleado en SAP ** </t>
  </si>
  <si>
    <t>Asignar rol de tecnico(mecanico) a empleado en SAP</t>
  </si>
  <si>
    <t>ENDEREZADO Y PINTURA, MAUTO</t>
  </si>
  <si>
    <t>CELSO DANILO TOLEDO MORALES</t>
  </si>
  <si>
    <t>&lt;p style="margin-bottom: 0px;"&gt;Asignar rol de tecnico(mecanico) a empleado en SAP&lt;/p&gt;&lt;p&gt;Lentitud del sistema SAP&lt;/p&gt;</t>
  </si>
  <si>
    <t>Asignar rol de tecnico(mecanico) a empleado en SAP Celso Toledo</t>
  </si>
  <si>
    <t>[43988]</t>
  </si>
  <si>
    <t>06618@general.tbd</t>
  </si>
  <si>
    <t xml:space="preserve">Sap lento no responde  ** </t>
  </si>
  <si>
    <t>Sap lento no responde</t>
  </si>
  <si>
    <t>STEPHANY WALESKA JUAREZ CASTILLO</t>
  </si>
  <si>
    <t>Lentitud de SAP Stefany Juarez</t>
  </si>
  <si>
    <t>[43994]</t>
  </si>
  <si>
    <t>06689@general.tbd</t>
  </si>
  <si>
    <t>Verificación de teclado por activación de tecla fn se desactivo</t>
  </si>
  <si>
    <t>OPERACIONES TECNOLOGIA</t>
  </si>
  <si>
    <t>HEYDI JULISSA LEON ORELLANA</t>
  </si>
  <si>
    <t>Verificación de teclado por activación de tecla fn Heydi Leon</t>
  </si>
  <si>
    <t>[43996]</t>
  </si>
  <si>
    <t>06278@general.tbd</t>
  </si>
  <si>
    <t>Devolución en llamada de servicio</t>
  </si>
  <si>
    <t>YOHAN OMAR LATIN BARRIENTOS</t>
  </si>
  <si>
    <t>Devolución en llamada de servicio Omar Latin</t>
  </si>
  <si>
    <t>[43997]</t>
  </si>
  <si>
    <t>06666@general.tbd</t>
  </si>
  <si>
    <t>Solicitud de SAP stod</t>
  </si>
  <si>
    <t>Solicitud de SAP stod Marvin Pacheco</t>
  </si>
  <si>
    <t>[44002]</t>
  </si>
  <si>
    <t>Revisión Cloudflare</t>
  </si>
  <si>
    <t>&lt;p&gt;Revisión Cloudflare&lt;/p&gt;</t>
  </si>
  <si>
    <t>[44003]</t>
  </si>
  <si>
    <t xml:space="preserve">Configurar router Linksys para Agencia Avanti </t>
  </si>
  <si>
    <t>Configurar router Linksys para Agencia Avanti</t>
  </si>
  <si>
    <t>ABRAHAM EMANUEL CASTRO CASTAÑÓN</t>
  </si>
  <si>
    <t>&lt;p&gt;Configurar router Linksys para Agencia Avanti &lt;/p&gt;</t>
  </si>
  <si>
    <t>[44009]</t>
  </si>
  <si>
    <t>04094@general.tbd</t>
  </si>
  <si>
    <t>Configuración de proxy y pruebas conexion a SAP y STOD</t>
  </si>
  <si>
    <t>EDWIN EBERTO DOMINGO DÍAZ</t>
  </si>
  <si>
    <t>Configuración de proxy y pruebas conexion a SAP y STOD Edwin Dominigo</t>
  </si>
  <si>
    <t>[44014]</t>
  </si>
  <si>
    <t>06814@general.tbd</t>
  </si>
  <si>
    <t>Inconveniente con el Excel de tickets de Mesa de Ayuda</t>
  </si>
  <si>
    <t>[44015]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</si>
</sst>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/mm/dd\ hh:mm:ss"/>
    <numFmt numFmtId="165" formatCode="dd:hh:mm:ss"/>
    <numFmt numFmtId="166" formatCode="dd:hh:mm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FF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2" fillId="3" borderId="0" applyNumberFormat="0" applyBorder="0" applyAlignment="0" applyProtection="0"/>
    <xf numFmtId="0" fontId="6" fillId="0" borderId="0" applyNumberFormat="0" applyFill="0" applyBorder="0" applyAlignment="0" applyProtection="0"/>
    <xf numFmtId="9" fontId="7" fillId="0" borderId="0" applyFont="0" applyFill="0" applyBorder="0" applyAlignment="0" applyProtection="0"/>
  </cellStyleXfs>
  <cellXfs count="125">
    <xf numFmtId="0" fontId="0" fillId="0" borderId="0" xfId="0"/>
    <xf numFmtId="0" fontId="2" fillId="3" borderId="0" xfId="1"/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1" fillId="4" borderId="0" xfId="0" applyFont="1" applyFill="1"/>
    <xf numFmtId="0" fontId="3" fillId="5" borderId="0" xfId="0" applyFont="1" applyFill="1"/>
    <xf numFmtId="0" fontId="4" fillId="2" borderId="0" xfId="0" applyFont="1" applyFill="1"/>
    <xf numFmtId="0" fontId="5" fillId="0" borderId="0" xfId="0" applyFont="1"/>
    <xf numFmtId="14" fontId="0" fillId="0" borderId="0" xfId="0" applyNumberFormat="1"/>
    <xf numFmtId="0" fontId="0" fillId="0" borderId="1" xfId="0" applyBorder="1" applyAlignment="1">
      <alignment horizontal="right" vertical="top"/>
    </xf>
    <xf numFmtId="0" fontId="6" fillId="3" borderId="1" xfId="2" applyFill="1" applyBorder="1" applyAlignment="1">
      <alignment vertical="top" wrapText="1"/>
    </xf>
    <xf numFmtId="0" fontId="0" fillId="0" borderId="2" xfId="0" applyBorder="1" applyAlignment="1">
      <alignment horizontal="right" vertical="top"/>
    </xf>
    <xf numFmtId="0" fontId="2" fillId="3" borderId="2" xfId="1" applyBorder="1" applyAlignment="1">
      <alignment vertical="top" wrapText="1"/>
    </xf>
    <xf numFmtId="164" fontId="0" fillId="0" borderId="0" xfId="0" applyNumberFormat="1" applyAlignment="1">
      <alignment wrapText="1"/>
    </xf>
    <xf numFmtId="14" fontId="2" fillId="3" borderId="2" xfId="1" applyNumberFormat="1" applyBorder="1" applyAlignment="1">
      <alignment horizontal="left" vertical="top" wrapText="1"/>
    </xf>
    <xf numFmtId="164" fontId="0" fillId="0" borderId="0" xfId="0" applyNumberFormat="1"/>
    <xf numFmtId="165" fontId="0" fillId="0" borderId="0" xfId="0" applyNumberFormat="1"/>
    <xf numFmtId="165" fontId="0" fillId="0" borderId="0" xfId="0" applyNumberFormat="1" applyAlignment="1">
      <alignment wrapText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0" borderId="7" xfId="0" applyBorder="1" applyAlignment="1">
      <alignment horizontal="left" wrapText="1"/>
    </xf>
    <xf numFmtId="0" fontId="0" fillId="0" borderId="8" xfId="0" applyBorder="1" applyAlignment="1">
      <alignment horizontal="center" vertical="center"/>
    </xf>
    <xf numFmtId="15" fontId="0" fillId="0" borderId="6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0" borderId="9" xfId="0" applyFont="1" applyFill="1" applyBorder="1" applyAlignment="1">
      <alignment horizontal="center" wrapText="1"/>
    </xf>
    <xf numFmtId="0" fontId="1" fillId="10" borderId="10" xfId="0" applyFon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8" xfId="0" applyBorder="1" applyAlignment="1">
      <alignment vertical="center" wrapText="1"/>
    </xf>
    <xf numFmtId="9" fontId="0" fillId="0" borderId="4" xfId="0" applyNumberFormat="1" applyBorder="1" applyAlignment="1">
      <alignment horizontal="center" vertical="center"/>
    </xf>
    <xf numFmtId="9" fontId="0" fillId="0" borderId="12" xfId="0" applyNumberFormat="1" applyBorder="1" applyAlignment="1">
      <alignment horizontal="center" vertical="center"/>
    </xf>
    <xf numFmtId="9" fontId="0" fillId="0" borderId="13" xfId="3" applyFont="1" applyBorder="1" applyAlignment="1">
      <alignment horizontal="center" vertical="center"/>
    </xf>
    <xf numFmtId="0" fontId="0" fillId="0" borderId="8" xfId="0" applyBorder="1" applyAlignment="1">
      <alignment wrapText="1"/>
    </xf>
    <xf numFmtId="9" fontId="0" fillId="0" borderId="4" xfId="0" applyNumberFormat="1" applyBorder="1" applyAlignment="1">
      <alignment vertical="center"/>
    </xf>
    <xf numFmtId="9" fontId="0" fillId="0" borderId="12" xfId="0" applyNumberFormat="1" applyBorder="1" applyAlignment="1">
      <alignment vertical="center"/>
    </xf>
    <xf numFmtId="9" fontId="0" fillId="0" borderId="13" xfId="3" applyFont="1" applyBorder="1" applyAlignment="1">
      <alignment vertical="center"/>
    </xf>
    <xf numFmtId="0" fontId="0" fillId="0" borderId="14" xfId="0" applyBorder="1" applyAlignment="1">
      <alignment vertical="center" wrapText="1"/>
    </xf>
    <xf numFmtId="9" fontId="0" fillId="0" borderId="7" xfId="0" applyNumberFormat="1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9" fontId="0" fillId="0" borderId="6" xfId="3" applyFont="1" applyBorder="1" applyAlignment="1">
      <alignment horizontal="center" vertical="center"/>
    </xf>
    <xf numFmtId="0" fontId="0" fillId="0" borderId="14" xfId="0" applyBorder="1" applyAlignment="1">
      <alignment wrapText="1"/>
    </xf>
    <xf numFmtId="9" fontId="0" fillId="0" borderId="7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9" fontId="0" fillId="0" borderId="8" xfId="0" applyNumberFormat="1" applyBorder="1" applyAlignment="1">
      <alignment vertical="center"/>
    </xf>
    <xf numFmtId="9" fontId="0" fillId="0" borderId="6" xfId="3" applyFont="1" applyBorder="1" applyAlignment="1">
      <alignment vertical="center"/>
    </xf>
    <xf numFmtId="9" fontId="0" fillId="0" borderId="0" xfId="0" applyNumberForma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9" fontId="0" fillId="0" borderId="14" xfId="0" applyNumberFormat="1" applyBorder="1" applyAlignment="1">
      <alignment horizontal="center" vertical="center"/>
    </xf>
    <xf numFmtId="9" fontId="0" fillId="0" borderId="15" xfId="3" applyFont="1" applyBorder="1" applyAlignment="1">
      <alignment horizontal="center" vertical="center"/>
    </xf>
    <xf numFmtId="9" fontId="0" fillId="0" borderId="0" xfId="0" applyNumberFormat="1" applyAlignment="1">
      <alignment vertical="center"/>
    </xf>
    <xf numFmtId="0" fontId="0" fillId="0" borderId="14" xfId="0" applyBorder="1" applyAlignment="1">
      <alignment vertical="center"/>
    </xf>
    <xf numFmtId="9" fontId="0" fillId="0" borderId="14" xfId="0" applyNumberFormat="1" applyBorder="1" applyAlignment="1">
      <alignment vertical="center"/>
    </xf>
    <xf numFmtId="9" fontId="0" fillId="0" borderId="15" xfId="3" applyFont="1" applyBorder="1" applyAlignment="1">
      <alignment vertical="center"/>
    </xf>
    <xf numFmtId="0" fontId="0" fillId="0" borderId="10" xfId="0" applyBorder="1" applyAlignment="1">
      <alignment wrapText="1"/>
    </xf>
    <xf numFmtId="9" fontId="0" fillId="0" borderId="6" xfId="0" applyNumberFormat="1" applyBorder="1" applyAlignment="1">
      <alignment vertical="center"/>
    </xf>
    <xf numFmtId="0" fontId="0" fillId="0" borderId="0" xfId="0" applyAlignment="1">
      <alignment vertical="center"/>
    </xf>
    <xf numFmtId="9" fontId="9" fillId="9" borderId="10" xfId="3" applyFont="1" applyFill="1" applyBorder="1" applyAlignment="1">
      <alignment vertical="center"/>
    </xf>
    <xf numFmtId="9" fontId="0" fillId="0" borderId="11" xfId="0" applyNumberFormat="1" applyBorder="1" applyAlignment="1">
      <alignment vertical="center"/>
    </xf>
    <xf numFmtId="9" fontId="0" fillId="0" borderId="10" xfId="0" applyNumberFormat="1" applyBorder="1" applyAlignment="1">
      <alignment vertical="center"/>
    </xf>
    <xf numFmtId="9" fontId="0" fillId="0" borderId="16" xfId="3" applyFont="1" applyBorder="1" applyAlignment="1">
      <alignment vertical="center"/>
    </xf>
    <xf numFmtId="0" fontId="0" fillId="11" borderId="0" xfId="0" applyFill="1"/>
    <xf numFmtId="2" fontId="0" fillId="11" borderId="0" xfId="0" applyNumberFormat="1" applyFill="1"/>
    <xf numFmtId="0" fontId="1" fillId="10" borderId="17" xfId="0" applyFont="1" applyFill="1" applyBorder="1" applyAlignment="1">
      <alignment horizontal="center" wrapText="1"/>
    </xf>
    <xf numFmtId="0" fontId="1" fillId="10" borderId="17" xfId="0" applyFont="1" applyFill="1" applyBorder="1" applyAlignment="1">
      <alignment horizontal="center" vertical="center"/>
    </xf>
    <xf numFmtId="0" fontId="8" fillId="10" borderId="18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 applyAlignment="1">
      <alignment vertical="center" wrapText="1"/>
    </xf>
    <xf numFmtId="9" fontId="0" fillId="0" borderId="20" xfId="0" applyNumberFormat="1" applyBorder="1" applyAlignment="1">
      <alignment horizontal="center" vertical="center"/>
    </xf>
    <xf numFmtId="9" fontId="0" fillId="0" borderId="20" xfId="3" applyFont="1" applyBorder="1" applyAlignment="1">
      <alignment horizontal="center" vertical="center"/>
    </xf>
    <xf numFmtId="9" fontId="9" fillId="9" borderId="21" xfId="3" applyFont="1" applyFill="1" applyBorder="1" applyAlignment="1">
      <alignment vertical="center"/>
    </xf>
    <xf numFmtId="9" fontId="2" fillId="3" borderId="20" xfId="1" applyNumberFormat="1" applyBorder="1" applyAlignment="1">
      <alignment horizontal="center" vertical="center"/>
    </xf>
    <xf numFmtId="0" fontId="2" fillId="3" borderId="20" xfId="1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5" xfId="0" applyBorder="1"/>
    <xf numFmtId="0" fontId="0" fillId="0" borderId="21" xfId="0" applyBorder="1" applyAlignment="1">
      <alignment vertical="center" wrapText="1"/>
    </xf>
    <xf numFmtId="0" fontId="0" fillId="0" borderId="24" xfId="0" applyBorder="1" applyAlignment="1">
      <alignment vertical="center"/>
    </xf>
    <xf numFmtId="9" fontId="0" fillId="0" borderId="4" xfId="3" applyFont="1" applyBorder="1" applyAlignment="1">
      <alignment horizontal="center" vertical="center"/>
    </xf>
    <xf numFmtId="9" fontId="0" fillId="0" borderId="7" xfId="3" applyFont="1" applyBorder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3" fillId="9" borderId="4" xfId="0" applyFont="1" applyFill="1" applyBorder="1" applyAlignment="1">
      <alignment horizontal="center"/>
    </xf>
    <xf numFmtId="0" fontId="3" fillId="9" borderId="5" xfId="0" applyFont="1" applyFill="1" applyBorder="1" applyAlignment="1">
      <alignment horizontal="center"/>
    </xf>
    <xf numFmtId="0" fontId="3" fillId="9" borderId="6" xfId="0" applyFont="1" applyFill="1" applyBorder="1" applyAlignment="1">
      <alignment horizontal="center"/>
    </xf>
    <xf numFmtId="0" fontId="0" fillId="12" borderId="0" xfId="0" applyFill="1"/>
    <xf numFmtId="0" fontId="1" fillId="12" borderId="0" xfId="0" applyFont="1" applyFill="1"/>
    <xf numFmtId="9" fontId="2" fillId="0" borderId="12" xfId="1" applyNumberFormat="1" applyFill="1" applyBorder="1" applyAlignment="1">
      <alignment horizontal="center" vertical="center"/>
    </xf>
    <xf numFmtId="9" fontId="2" fillId="0" borderId="8" xfId="1" applyNumberFormat="1" applyFill="1" applyBorder="1" applyAlignment="1">
      <alignment horizontal="center" vertical="center"/>
    </xf>
    <xf numFmtId="0" fontId="0" fillId="11" borderId="0" xfId="0" applyFill="1" applyAlignment="1">
      <alignment horizontal="right"/>
    </xf>
    <xf numFmtId="0" fontId="3" fillId="9" borderId="3" xfId="0" applyFont="1" applyFill="1" applyBorder="1" applyAlignment="1">
      <alignment horizontal="left"/>
    </xf>
    <xf numFmtId="9" fontId="2" fillId="0" borderId="14" xfId="1" applyNumberFormat="1" applyFill="1" applyBorder="1" applyAlignment="1">
      <alignment horizontal="center" vertical="center"/>
    </xf>
    <xf numFmtId="0" fontId="1" fillId="0" borderId="7" xfId="0" applyFont="1" applyBorder="1" applyAlignment="1">
      <alignment horizontal="left" wrapText="1"/>
    </xf>
    <xf numFmtId="9" fontId="0" fillId="0" borderId="6" xfId="0" applyNumberFormat="1" applyBorder="1" applyAlignment="1">
      <alignment horizontal="center" vertical="center"/>
    </xf>
    <xf numFmtId="9" fontId="9" fillId="9" borderId="10" xfId="3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right" vertical="top"/>
    </xf>
    <xf numFmtId="0" fontId="12" fillId="10" borderId="8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Continuous"/>
    </xf>
    <xf numFmtId="166" fontId="0" fillId="0" borderId="0" xfId="0" applyNumberFormat="1"/>
    <xf numFmtId="166" fontId="0" fillId="11" borderId="0" xfId="0" applyNumberFormat="1" applyFill="1"/>
    <xf numFmtId="0" fontId="2" fillId="3" borderId="0" xfId="1" applyNumberFormat="1" applyBorder="1" applyAlignment="1">
      <alignment horizontal="left" vertical="top" wrapText="1"/>
    </xf>
    <xf numFmtId="165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14" fillId="0" borderId="0" xfId="0" applyFont="1" applyAlignment="1">
      <alignment wrapText="1"/>
    </xf>
    <xf numFmtId="0" fontId="0" fillId="0" borderId="7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3" fillId="9" borderId="3" xfId="0" applyFont="1" applyFill="1" applyBorder="1" applyAlignment="1">
      <alignment horizontal="center"/>
    </xf>
    <xf numFmtId="0" fontId="3" fillId="9" borderId="4" xfId="0" applyFont="1" applyFill="1" applyBorder="1" applyAlignment="1">
      <alignment horizontal="center"/>
    </xf>
    <xf numFmtId="0" fontId="3" fillId="9" borderId="5" xfId="0" applyFont="1" applyFill="1" applyBorder="1" applyAlignment="1">
      <alignment horizontal="center"/>
    </xf>
    <xf numFmtId="0" fontId="3" fillId="9" borderId="6" xfId="0" applyFont="1" applyFill="1" applyBorder="1" applyAlignment="1">
      <alignment horizontal="center"/>
    </xf>
    <xf numFmtId="0" fontId="0" fillId="0" borderId="7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6" xfId="0" applyBorder="1" applyAlignment="1">
      <alignment horizontal="left" wrapText="1"/>
    </xf>
  </cellXfs>
  <cellStyles count="4">
    <cellStyle name="Bueno" xfId="1" builtinId="26"/>
    <cellStyle name="Hipervínculo" xfId="2" builtinId="8"/>
    <cellStyle name="Normal" xfId="0" builtinId="0"/>
    <cellStyle name="Porcentaje" xfId="3" builtinId="5"/>
  </cellStyles>
  <dxfs count="107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yyyy/mm/dd\ hh:mm:ss"/>
    </dxf>
    <dxf>
      <numFmt numFmtId="0" formatCode="General"/>
    </dxf>
    <dxf>
      <numFmt numFmtId="0" formatCode="General"/>
    </dxf>
    <dxf>
      <numFmt numFmtId="164" formatCode="yyyy/mm/dd\ hh:mm:ss"/>
    </dxf>
    <dxf>
      <numFmt numFmtId="164" formatCode="yyyy/mm/dd\ hh:mm:ss"/>
    </dxf>
    <dxf>
      <numFmt numFmtId="164" formatCode="yyyy/mm/dd\ hh:mm:ss"/>
    </dxf>
    <dxf>
      <numFmt numFmtId="0" formatCode="General"/>
    </dxf>
    <dxf>
      <numFmt numFmtId="164" formatCode="yyyy/mm/dd\ hh:mm:ss"/>
    </dxf>
    <dxf>
      <numFmt numFmtId="164" formatCode="yyyy/mm/dd\ hh:mm:ss"/>
    </dxf>
    <dxf>
      <numFmt numFmtId="0" formatCode="General"/>
    </dxf>
    <dxf>
      <numFmt numFmtId="164" formatCode="yyyy/mm/dd\ hh:mm:ss"/>
    </dxf>
    <dxf>
      <numFmt numFmtId="0" formatCode="General"/>
    </dxf>
    <dxf>
      <numFmt numFmtId="165" formatCode="dd:hh:mm:ss"/>
    </dxf>
    <dxf>
      <numFmt numFmtId="0" formatCode="General"/>
    </dxf>
    <dxf>
      <numFmt numFmtId="164" formatCode="yyyy/mm/dd\ hh:mm:ss"/>
    </dxf>
    <dxf>
      <numFmt numFmtId="164" formatCode="yyyy/mm/dd\ hh:mm:ss"/>
    </dxf>
    <dxf>
      <numFmt numFmtId="164" formatCode="yyyy/mm/dd\ hh:mm:ss"/>
    </dxf>
    <dxf>
      <numFmt numFmtId="164" formatCode="yyyy/mm/dd\ hh:mm:ss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165" formatCode="dd:hh:mm:ss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yyyy/mm/dd\ hh:mm:ss"/>
    </dxf>
    <dxf>
      <numFmt numFmtId="164" formatCode="yyyy/mm/dd\ hh:mm:ss"/>
    </dxf>
    <dxf>
      <numFmt numFmtId="164" formatCode="yyyy/mm/dd\ hh:mm:ss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165" formatCode="dd:hh:mm:ss"/>
    </dxf>
    <dxf>
      <numFmt numFmtId="0" formatCode="General"/>
    </dxf>
    <dxf>
      <numFmt numFmtId="165" formatCode="dd:hh:mm:ss"/>
    </dxf>
    <dxf>
      <numFmt numFmtId="0" formatCode="General"/>
    </dxf>
    <dxf>
      <numFmt numFmtId="165" formatCode="dd: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9" formatCode="yyyy/mm/dd"/>
    </dxf>
    <dxf>
      <numFmt numFmtId="164" formatCode="yyyy/mm/dd\ hh:mm:ss"/>
    </dxf>
    <dxf>
      <numFmt numFmtId="164" formatCode="yyyy/mm/dd\ hh:mm:ss"/>
    </dxf>
    <dxf>
      <numFmt numFmtId="164" formatCode="yyyy/mm/dd\ hh:mm:ss"/>
    </dxf>
    <dxf>
      <numFmt numFmtId="165" formatCode="dd:hh:mm:ss"/>
    </dxf>
    <dxf>
      <numFmt numFmtId="165" formatCode="dd:hh:mm:ss"/>
    </dxf>
    <dxf>
      <numFmt numFmtId="165" formatCode="dd:hh:mm:ss"/>
    </dxf>
    <dxf>
      <alignment horizontal="general" vertical="bottom" textRotation="0" wrapText="1" indent="0" justifyLastLine="0" shrinkToFit="0" readingOrder="0"/>
    </dxf>
  </dxfs>
  <tableStyles count="0" defaultTableStyle="TableStyleMedium9" defaultPivotStyle="PivotStyleLight16"/>
  <colors>
    <mruColors>
      <color rgb="FFFFFF99"/>
      <color rgb="FF66FFFF"/>
      <color rgb="FFCCFFCC"/>
      <color rgb="FFCC9900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[Proyectos IT Control v010.xlsm]Dashboard Base!TablaDinámica1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Tickets aperturados por</a:t>
            </a:r>
            <a:r>
              <a:rPr lang="en-US" baseline="0"/>
              <a:t> fecha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'Dashboard Base'!$C$2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'Dashboard Base'!$B$3:$B$111</c:f>
              <c:multiLvlStrCache>
                <c:ptCount val="97"/>
                <c:lvl>
                  <c:pt idx="0">
                    <c:v>13-Aug</c:v>
                  </c:pt>
                  <c:pt idx="1">
                    <c:v>19-Aug</c:v>
                  </c:pt>
                  <c:pt idx="2">
                    <c:v>20-Aug</c:v>
                  </c:pt>
                  <c:pt idx="3">
                    <c:v>19-Aug</c:v>
                  </c:pt>
                  <c:pt idx="4">
                    <c:v>20-Aug</c:v>
                  </c:pt>
                  <c:pt idx="5">
                    <c:v>13-Aug</c:v>
                  </c:pt>
                  <c:pt idx="6">
                    <c:v>19-Aug</c:v>
                  </c:pt>
                  <c:pt idx="7">
                    <c:v>20-Aug</c:v>
                  </c:pt>
                  <c:pt idx="8">
                    <c:v>16-Jul</c:v>
                  </c:pt>
                  <c:pt idx="9">
                    <c:v>17-Jul</c:v>
                  </c:pt>
                  <c:pt idx="10">
                    <c:v>18-Jul</c:v>
                  </c:pt>
                  <c:pt idx="11">
                    <c:v>19-Jul</c:v>
                  </c:pt>
                  <c:pt idx="12">
                    <c:v>22-Jul</c:v>
                  </c:pt>
                  <c:pt idx="13">
                    <c:v>23-Jul</c:v>
                  </c:pt>
                  <c:pt idx="14">
                    <c:v>24-Jul</c:v>
                  </c:pt>
                  <c:pt idx="15">
                    <c:v>25-Jul</c:v>
                  </c:pt>
                  <c:pt idx="16">
                    <c:v>26-Jul</c:v>
                  </c:pt>
                  <c:pt idx="17">
                    <c:v>29-Jul</c:v>
                  </c:pt>
                  <c:pt idx="18">
                    <c:v>30-Jul</c:v>
                  </c:pt>
                  <c:pt idx="19">
                    <c:v>31-Jul</c:v>
                  </c:pt>
                  <c:pt idx="20">
                    <c:v>02-Aug</c:v>
                  </c:pt>
                  <c:pt idx="21">
                    <c:v>05-Aug</c:v>
                  </c:pt>
                  <c:pt idx="22">
                    <c:v>06-Aug</c:v>
                  </c:pt>
                  <c:pt idx="23">
                    <c:v>07-Aug</c:v>
                  </c:pt>
                  <c:pt idx="24">
                    <c:v>08-Aug</c:v>
                  </c:pt>
                  <c:pt idx="25">
                    <c:v>09-Aug</c:v>
                  </c:pt>
                  <c:pt idx="26">
                    <c:v>12-Aug</c:v>
                  </c:pt>
                  <c:pt idx="27">
                    <c:v>13-Aug</c:v>
                  </c:pt>
                  <c:pt idx="28">
                    <c:v>14-Aug</c:v>
                  </c:pt>
                  <c:pt idx="29">
                    <c:v>16-Aug</c:v>
                  </c:pt>
                  <c:pt idx="30">
                    <c:v>19-Aug</c:v>
                  </c:pt>
                  <c:pt idx="31">
                    <c:v>20-Aug</c:v>
                  </c:pt>
                  <c:pt idx="32">
                    <c:v>19-Aug</c:v>
                  </c:pt>
                  <c:pt idx="33">
                    <c:v>13-Aug</c:v>
                  </c:pt>
                  <c:pt idx="34">
                    <c:v>18-Jul</c:v>
                  </c:pt>
                  <c:pt idx="35">
                    <c:v>19-Jul</c:v>
                  </c:pt>
                  <c:pt idx="36">
                    <c:v>22-Jul</c:v>
                  </c:pt>
                  <c:pt idx="37">
                    <c:v>23-Jul</c:v>
                  </c:pt>
                  <c:pt idx="38">
                    <c:v>25-Jul</c:v>
                  </c:pt>
                  <c:pt idx="39">
                    <c:v>26-Jul</c:v>
                  </c:pt>
                  <c:pt idx="40">
                    <c:v>27-Jul</c:v>
                  </c:pt>
                  <c:pt idx="41">
                    <c:v>29-Jul</c:v>
                  </c:pt>
                  <c:pt idx="42">
                    <c:v>30-Jul</c:v>
                  </c:pt>
                  <c:pt idx="43">
                    <c:v>01-Aug</c:v>
                  </c:pt>
                  <c:pt idx="44">
                    <c:v>06-Aug</c:v>
                  </c:pt>
                  <c:pt idx="45">
                    <c:v>07-Aug</c:v>
                  </c:pt>
                  <c:pt idx="46">
                    <c:v>08-Aug</c:v>
                  </c:pt>
                  <c:pt idx="47">
                    <c:v>09-Aug</c:v>
                  </c:pt>
                  <c:pt idx="48">
                    <c:v>10-Aug</c:v>
                  </c:pt>
                  <c:pt idx="49">
                    <c:v>12-Aug</c:v>
                  </c:pt>
                  <c:pt idx="50">
                    <c:v>13-Aug</c:v>
                  </c:pt>
                  <c:pt idx="51">
                    <c:v>14-Aug</c:v>
                  </c:pt>
                  <c:pt idx="52">
                    <c:v>16-Aug</c:v>
                  </c:pt>
                  <c:pt idx="53">
                    <c:v>17-Aug</c:v>
                  </c:pt>
                  <c:pt idx="54">
                    <c:v>19-Aug</c:v>
                  </c:pt>
                  <c:pt idx="55">
                    <c:v>20-Aug</c:v>
                  </c:pt>
                  <c:pt idx="56">
                    <c:v>15-Jul</c:v>
                  </c:pt>
                  <c:pt idx="57">
                    <c:v>18-Jul</c:v>
                  </c:pt>
                  <c:pt idx="58">
                    <c:v>19-Jul</c:v>
                  </c:pt>
                  <c:pt idx="59">
                    <c:v>25-Jul</c:v>
                  </c:pt>
                  <c:pt idx="60">
                    <c:v>31-Jul</c:v>
                  </c:pt>
                  <c:pt idx="61">
                    <c:v>07-Aug</c:v>
                  </c:pt>
                  <c:pt idx="62">
                    <c:v>16-Jul</c:v>
                  </c:pt>
                  <c:pt idx="63">
                    <c:v>17-Jul</c:v>
                  </c:pt>
                  <c:pt idx="64">
                    <c:v>18-Jul</c:v>
                  </c:pt>
                  <c:pt idx="65">
                    <c:v>19-Jul</c:v>
                  </c:pt>
                  <c:pt idx="66">
                    <c:v>26-Jul</c:v>
                  </c:pt>
                  <c:pt idx="67">
                    <c:v>29-Jul</c:v>
                  </c:pt>
                  <c:pt idx="68">
                    <c:v>31-Jul</c:v>
                  </c:pt>
                  <c:pt idx="69">
                    <c:v>05-Aug</c:v>
                  </c:pt>
                  <c:pt idx="70">
                    <c:v>07-Aug</c:v>
                  </c:pt>
                  <c:pt idx="71">
                    <c:v>14-Aug</c:v>
                  </c:pt>
                  <c:pt idx="72">
                    <c:v>16-Aug</c:v>
                  </c:pt>
                  <c:pt idx="73">
                    <c:v>19-Aug</c:v>
                  </c:pt>
                  <c:pt idx="74">
                    <c:v>20-Aug</c:v>
                  </c:pt>
                  <c:pt idx="75">
                    <c:v>18-Jul</c:v>
                  </c:pt>
                  <c:pt idx="76">
                    <c:v>23-Jul</c:v>
                  </c:pt>
                  <c:pt idx="77">
                    <c:v>26-Jul</c:v>
                  </c:pt>
                  <c:pt idx="78">
                    <c:v>05-Aug</c:v>
                  </c:pt>
                  <c:pt idx="79">
                    <c:v>14-Aug</c:v>
                  </c:pt>
                  <c:pt idx="80">
                    <c:v>16-Aug</c:v>
                  </c:pt>
                  <c:pt idx="81">
                    <c:v>15-Jul</c:v>
                  </c:pt>
                  <c:pt idx="82">
                    <c:v>17-Jul</c:v>
                  </c:pt>
                  <c:pt idx="83">
                    <c:v>18-Jul</c:v>
                  </c:pt>
                  <c:pt idx="84">
                    <c:v>19-Jul</c:v>
                  </c:pt>
                  <c:pt idx="85">
                    <c:v>22-Jul</c:v>
                  </c:pt>
                  <c:pt idx="86">
                    <c:v>25-Jul</c:v>
                  </c:pt>
                  <c:pt idx="87">
                    <c:v>26-Jul</c:v>
                  </c:pt>
                  <c:pt idx="88">
                    <c:v>29-Jul</c:v>
                  </c:pt>
                  <c:pt idx="89">
                    <c:v>30-Jul</c:v>
                  </c:pt>
                  <c:pt idx="90">
                    <c:v>31-Jul</c:v>
                  </c:pt>
                  <c:pt idx="91">
                    <c:v>01-Aug</c:v>
                  </c:pt>
                  <c:pt idx="92">
                    <c:v>06-Aug</c:v>
                  </c:pt>
                  <c:pt idx="93">
                    <c:v>13-Aug</c:v>
                  </c:pt>
                  <c:pt idx="94">
                    <c:v>16-Aug</c:v>
                  </c:pt>
                  <c:pt idx="95">
                    <c:v>19-Aug</c:v>
                  </c:pt>
                  <c:pt idx="96">
                    <c:v>20-Aug</c:v>
                  </c:pt>
                </c:lvl>
                <c:lvl>
                  <c:pt idx="0">
                    <c:v>Alex Solorzano</c:v>
                  </c:pt>
                  <c:pt idx="3">
                    <c:v>Luis Prado</c:v>
                  </c:pt>
                  <c:pt idx="5">
                    <c:v>Ester Daniela Lopez Cruz</c:v>
                  </c:pt>
                  <c:pt idx="8">
                    <c:v>Rosario Lic</c:v>
                  </c:pt>
                  <c:pt idx="32">
                    <c:v>Nery Ixcot</c:v>
                  </c:pt>
                  <c:pt idx="33">
                    <c:v>Monica Barahona</c:v>
                  </c:pt>
                  <c:pt idx="34">
                    <c:v>José Julajuj Chumil</c:v>
                  </c:pt>
                  <c:pt idx="56">
                    <c:v>Andres de León</c:v>
                  </c:pt>
                  <c:pt idx="62">
                    <c:v>Carlos Carias</c:v>
                  </c:pt>
                  <c:pt idx="75">
                    <c:v>Yosselyn Ignacio</c:v>
                  </c:pt>
                  <c:pt idx="81">
                    <c:v>Juan Carlos Barillas</c:v>
                  </c:pt>
                </c:lvl>
              </c:multiLvlStrCache>
            </c:multiLvlStrRef>
          </c:cat>
          <c:val>
            <c:numRef>
              <c:f>'Dashboard Base'!$C$3:$C$111</c:f>
              <c:numCache>
                <c:formatCode>General</c:formatCode>
                <c:ptCount val="97"/>
                <c:pt idx="0">
                  <c:v>1</c:v>
                </c:pt>
                <c:pt idx="1">
                  <c:v>9</c:v>
                </c:pt>
                <c:pt idx="2">
                  <c:v>3</c:v>
                </c:pt>
                <c:pt idx="3">
                  <c:v>7</c:v>
                </c:pt>
                <c:pt idx="4">
                  <c:v>1</c:v>
                </c:pt>
                <c:pt idx="5">
                  <c:v>1</c:v>
                </c:pt>
                <c:pt idx="6">
                  <c:v>16</c:v>
                </c:pt>
                <c:pt idx="7">
                  <c:v>9</c:v>
                </c:pt>
                <c:pt idx="8">
                  <c:v>7</c:v>
                </c:pt>
                <c:pt idx="9">
                  <c:v>6</c:v>
                </c:pt>
                <c:pt idx="10">
                  <c:v>10</c:v>
                </c:pt>
                <c:pt idx="11">
                  <c:v>3</c:v>
                </c:pt>
                <c:pt idx="12">
                  <c:v>9</c:v>
                </c:pt>
                <c:pt idx="13">
                  <c:v>6</c:v>
                </c:pt>
                <c:pt idx="14">
                  <c:v>12</c:v>
                </c:pt>
                <c:pt idx="15">
                  <c:v>5</c:v>
                </c:pt>
                <c:pt idx="16">
                  <c:v>6</c:v>
                </c:pt>
                <c:pt idx="17">
                  <c:v>15</c:v>
                </c:pt>
                <c:pt idx="18">
                  <c:v>14</c:v>
                </c:pt>
                <c:pt idx="19">
                  <c:v>9</c:v>
                </c:pt>
                <c:pt idx="20">
                  <c:v>5</c:v>
                </c:pt>
                <c:pt idx="21">
                  <c:v>8</c:v>
                </c:pt>
                <c:pt idx="22">
                  <c:v>3</c:v>
                </c:pt>
                <c:pt idx="23">
                  <c:v>10</c:v>
                </c:pt>
                <c:pt idx="24">
                  <c:v>7</c:v>
                </c:pt>
                <c:pt idx="25">
                  <c:v>4</c:v>
                </c:pt>
                <c:pt idx="26">
                  <c:v>21</c:v>
                </c:pt>
                <c:pt idx="27">
                  <c:v>22</c:v>
                </c:pt>
                <c:pt idx="28">
                  <c:v>10</c:v>
                </c:pt>
                <c:pt idx="29">
                  <c:v>5</c:v>
                </c:pt>
                <c:pt idx="30">
                  <c:v>18</c:v>
                </c:pt>
                <c:pt idx="31">
                  <c:v>3</c:v>
                </c:pt>
                <c:pt idx="32">
                  <c:v>10</c:v>
                </c:pt>
                <c:pt idx="33">
                  <c:v>1</c:v>
                </c:pt>
                <c:pt idx="34">
                  <c:v>23</c:v>
                </c:pt>
                <c:pt idx="35">
                  <c:v>9</c:v>
                </c:pt>
                <c:pt idx="36">
                  <c:v>19</c:v>
                </c:pt>
                <c:pt idx="37">
                  <c:v>21</c:v>
                </c:pt>
                <c:pt idx="38">
                  <c:v>27</c:v>
                </c:pt>
                <c:pt idx="39">
                  <c:v>10</c:v>
                </c:pt>
                <c:pt idx="40">
                  <c:v>2</c:v>
                </c:pt>
                <c:pt idx="41">
                  <c:v>4</c:v>
                </c:pt>
                <c:pt idx="42">
                  <c:v>17</c:v>
                </c:pt>
                <c:pt idx="43">
                  <c:v>3</c:v>
                </c:pt>
                <c:pt idx="44">
                  <c:v>20</c:v>
                </c:pt>
                <c:pt idx="45">
                  <c:v>23</c:v>
                </c:pt>
                <c:pt idx="46">
                  <c:v>4</c:v>
                </c:pt>
                <c:pt idx="47">
                  <c:v>10</c:v>
                </c:pt>
                <c:pt idx="48">
                  <c:v>4</c:v>
                </c:pt>
                <c:pt idx="49">
                  <c:v>15</c:v>
                </c:pt>
                <c:pt idx="50">
                  <c:v>25</c:v>
                </c:pt>
                <c:pt idx="51">
                  <c:v>17</c:v>
                </c:pt>
                <c:pt idx="52">
                  <c:v>31</c:v>
                </c:pt>
                <c:pt idx="53">
                  <c:v>13</c:v>
                </c:pt>
                <c:pt idx="54">
                  <c:v>30</c:v>
                </c:pt>
                <c:pt idx="55">
                  <c:v>9</c:v>
                </c:pt>
                <c:pt idx="56">
                  <c:v>1</c:v>
                </c:pt>
                <c:pt idx="57">
                  <c:v>1</c:v>
                </c:pt>
                <c:pt idx="58">
                  <c:v>4</c:v>
                </c:pt>
                <c:pt idx="59">
                  <c:v>1</c:v>
                </c:pt>
                <c:pt idx="60">
                  <c:v>3</c:v>
                </c:pt>
                <c:pt idx="61">
                  <c:v>4</c:v>
                </c:pt>
                <c:pt idx="62">
                  <c:v>3</c:v>
                </c:pt>
                <c:pt idx="63">
                  <c:v>8</c:v>
                </c:pt>
                <c:pt idx="64">
                  <c:v>14</c:v>
                </c:pt>
                <c:pt idx="65">
                  <c:v>3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5</c:v>
                </c:pt>
                <c:pt idx="70">
                  <c:v>1</c:v>
                </c:pt>
                <c:pt idx="71">
                  <c:v>1</c:v>
                </c:pt>
                <c:pt idx="72">
                  <c:v>7</c:v>
                </c:pt>
                <c:pt idx="73">
                  <c:v>6</c:v>
                </c:pt>
                <c:pt idx="74">
                  <c:v>6</c:v>
                </c:pt>
                <c:pt idx="75">
                  <c:v>8</c:v>
                </c:pt>
                <c:pt idx="76">
                  <c:v>1</c:v>
                </c:pt>
                <c:pt idx="77">
                  <c:v>1</c:v>
                </c:pt>
                <c:pt idx="78">
                  <c:v>7</c:v>
                </c:pt>
                <c:pt idx="79">
                  <c:v>3</c:v>
                </c:pt>
                <c:pt idx="80">
                  <c:v>5</c:v>
                </c:pt>
                <c:pt idx="81">
                  <c:v>1</c:v>
                </c:pt>
                <c:pt idx="82">
                  <c:v>6</c:v>
                </c:pt>
                <c:pt idx="83">
                  <c:v>19</c:v>
                </c:pt>
                <c:pt idx="84">
                  <c:v>2</c:v>
                </c:pt>
                <c:pt idx="85">
                  <c:v>4</c:v>
                </c:pt>
                <c:pt idx="86">
                  <c:v>3</c:v>
                </c:pt>
                <c:pt idx="87">
                  <c:v>1</c:v>
                </c:pt>
                <c:pt idx="88">
                  <c:v>6</c:v>
                </c:pt>
                <c:pt idx="89">
                  <c:v>2</c:v>
                </c:pt>
                <c:pt idx="90">
                  <c:v>9</c:v>
                </c:pt>
                <c:pt idx="91">
                  <c:v>1</c:v>
                </c:pt>
                <c:pt idx="92">
                  <c:v>5</c:v>
                </c:pt>
                <c:pt idx="93">
                  <c:v>2</c:v>
                </c:pt>
                <c:pt idx="94">
                  <c:v>5</c:v>
                </c:pt>
                <c:pt idx="95">
                  <c:v>8</c:v>
                </c:pt>
                <c:pt idx="9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2-4B2D-A3F2-478644DFA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4556895"/>
        <c:axId val="1344557375"/>
      </c:lineChart>
      <c:catAx>
        <c:axId val="134455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344557375"/>
        <c:crosses val="autoZero"/>
        <c:auto val="1"/>
        <c:lblAlgn val="ctr"/>
        <c:lblOffset val="100"/>
        <c:noMultiLvlLbl val="0"/>
      </c:catAx>
      <c:valAx>
        <c:axId val="1344557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344556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457199</xdr:colOff>
      <xdr:row>0</xdr:row>
      <xdr:rowOff>185737</xdr:rowOff>
    </xdr:from>
    <xdr:to>
      <xdr:col>7</xdr:col>
      <xdr:colOff>314324</xdr:colOff>
      <xdr:row>21</xdr:row>
      <xdr:rowOff>66675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57EE384-D8CC-D940-510B-BF92D5D646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io de León" refreshedDate="45524.634648842592" createdVersion="8" refreshedVersion="8" minRefreshableVersion="3" recordCount="793" xr:uid="{697FCBC3-6184-4D5A-9AFA-36D6555BC99F}">
  <cacheSource type="worksheet">
    <worksheetSource name="_tbldatosOdoo"/>
  </cacheSource>
  <cacheFields count="70">
    <cacheField name="TCK TICKET" numFmtId="0">
      <sharedItems containsSemiMixedTypes="0" containsString="0" containsNumber="1" containsInteger="1" minValue="2540" maxValue="4601"/>
    </cacheField>
    <cacheField name="PH TIEMPO" numFmtId="0">
      <sharedItems containsString="0" containsBlank="1" containsNumber="1" minValue="-0.233333333333333" maxValue="4.5"/>
    </cacheField>
    <cacheField name="PH TIEMPO 60" numFmtId="165">
      <sharedItems containsDate="1" containsString="0" containsBlank="1" containsMixedTypes="1" minDate="1899-12-30T00:00:00" maxDate="1899-12-30T04:30:00"/>
    </cacheField>
    <cacheField name="TCK ETAPA" numFmtId="164">
      <sharedItems containsNonDate="0"/>
    </cacheField>
    <cacheField name="TCK PRIORIDAD" numFmtId="164">
      <sharedItems containsSemiMixedTypes="0" containsNonDate="0" containsDate="1" containsString="0" minDate="1899-12-31T00:00:00" maxDate="1900-01-03T00:00:00"/>
    </cacheField>
    <cacheField name="TCK FECHA CREACIÓN" numFmtId="164">
      <sharedItems containsSemiMixedTypes="0" containsNonDate="0" containsDate="1" containsString="0" minDate="2024-07-15T15:48:29" maxDate="2024-08-20T20:37:31" count="340">
        <d v="2024-08-20T16:23:57"/>
        <d v="2024-08-20T16:17:41"/>
        <d v="2024-08-20T16:16:28"/>
        <d v="2024-08-20T15:57:16"/>
        <d v="2024-08-20T14:34:53"/>
        <d v="2024-08-20T14:06:26"/>
        <d v="2024-08-20T13:46:46"/>
        <d v="2024-08-19T23:47:46"/>
        <d v="2024-08-19T22:39:37"/>
        <d v="2024-08-19T21:44:03"/>
        <d v="2024-08-19T21:28:41"/>
        <d v="2024-08-19T20:07:58"/>
        <d v="2024-08-19T18:34:21"/>
        <d v="2024-08-19T17:14:55"/>
        <d v="2024-08-19T16:46:08"/>
        <d v="2024-08-19T16:43:54"/>
        <d v="2024-08-19T16:28:46"/>
        <d v="2024-08-19T16:15:26"/>
        <d v="2024-08-19T15:59:17"/>
        <d v="2024-08-19T15:56:18"/>
        <d v="2024-08-19T15:46:56"/>
        <d v="2024-08-19T15:16:48"/>
        <d v="2024-08-19T15:13:25"/>
        <d v="2024-08-19T14:50:23"/>
        <d v="2024-08-19T14:43:10"/>
        <d v="2024-08-14T14:41:02"/>
        <d v="2024-08-13T23:37:14"/>
        <d v="2024-08-13T23:05:54"/>
        <d v="2024-08-13T23:05:49"/>
        <d v="2024-08-13T23:03:26"/>
        <d v="2024-08-13T21:15:09"/>
        <d v="2024-08-13T20:50:36"/>
        <d v="2024-08-13T17:55:48"/>
        <d v="2024-08-13T17:30:09"/>
        <d v="2024-08-13T15:24:03"/>
        <d v="2024-08-12T17:54:59"/>
        <d v="2024-08-12T17:53:12"/>
        <d v="2024-08-12T17:42:49"/>
        <d v="2024-08-09T20:26:39"/>
        <d v="2024-08-09T16:00:58"/>
        <d v="2024-08-08T16:50:43"/>
        <d v="2024-08-08T15:44:15"/>
        <d v="2024-08-07T23:18:31"/>
        <d v="2024-08-07T18:24:04"/>
        <d v="2024-08-05T22:26:32"/>
        <d v="2024-08-05T17:50:30"/>
        <d v="2024-08-05T14:35:24"/>
        <d v="2024-08-02T18:22:18"/>
        <d v="2024-08-02T18:04:46"/>
        <d v="2024-07-31T17:51:36"/>
        <d v="2024-07-30T18:05:29"/>
        <d v="2024-07-30T15:31:27"/>
        <d v="2024-07-29T18:47:23"/>
        <d v="2024-07-29T14:05:10"/>
        <d v="2024-07-26T22:59:06"/>
        <d v="2024-07-26T17:40:30"/>
        <d v="2024-07-26T17:01:34"/>
        <d v="2024-07-26T14:38:36"/>
        <d v="2024-07-25T23:55:50"/>
        <d v="2024-07-25T17:20:23"/>
        <d v="2024-07-25T15:47:56"/>
        <d v="2024-07-25T15:16:13"/>
        <d v="2024-07-23T14:33:15"/>
        <d v="2024-07-22T23:10:33"/>
        <d v="2024-07-22T18:34:55"/>
        <d v="2024-07-19T21:56:23"/>
        <d v="2024-07-19T21:46:09"/>
        <d v="2024-07-19T18:14:06"/>
        <d v="2024-07-19T15:37:05"/>
        <d v="2024-07-19T15:36:19"/>
        <d v="2024-07-19T15:29:50"/>
        <d v="2024-07-19T15:12:54"/>
        <d v="2024-07-18T23:00:00"/>
        <d v="2024-07-18T22:53:04"/>
        <d v="2024-07-18T20:31:25"/>
        <d v="2024-07-18T18:26:11"/>
        <d v="2024-07-18T17:47:20"/>
        <d v="2024-07-17T23:55:28"/>
        <d v="2024-07-17T18:46:06"/>
        <d v="2024-07-16T23:02:28"/>
        <d v="2024-07-16T17:44:35"/>
        <d v="2024-07-15T15:48:29"/>
        <d v="2024-08-20T20:16:29"/>
        <d v="2024-08-20T18:49:35"/>
        <d v="2024-08-20T18:47:30"/>
        <d v="2024-08-20T18:23:07"/>
        <d v="2024-08-20T18:20:44"/>
        <d v="2024-08-20T17:34:14"/>
        <d v="2024-08-20T17:30:32"/>
        <d v="2024-08-20T17:25:52"/>
        <d v="2024-08-20T16:59:40"/>
        <d v="2024-08-20T16:01:09"/>
        <d v="2024-08-20T14:43:42"/>
        <d v="2024-08-20T14:22:44"/>
        <d v="2024-08-20T13:21:17"/>
        <d v="2024-08-19T23:23:45"/>
        <d v="2024-08-19T22:57:20"/>
        <d v="2024-08-19T22:44:35"/>
        <d v="2024-08-19T20:53:16"/>
        <d v="2024-08-19T20:52:08"/>
        <d v="2024-08-19T20:14:31"/>
        <d v="2024-08-19T18:54:31"/>
        <d v="2024-08-19T17:34:48"/>
        <d v="2024-08-19T17:31:58"/>
        <d v="2024-08-19T17:30:03"/>
        <d v="2024-08-19T17:24:27"/>
        <d v="2024-08-19T17:07:07"/>
        <d v="2024-08-19T16:44:37"/>
        <d v="2024-08-19T16:39:11"/>
        <d v="2024-08-19T16:25:40"/>
        <d v="2024-08-19T15:54:43"/>
        <d v="2024-08-19T15:49:53"/>
        <d v="2024-08-19T15:46:38"/>
        <d v="2024-08-19T15:08:44"/>
        <d v="2024-08-19T15:04:20"/>
        <d v="2024-08-19T15:02:01"/>
        <d v="2024-08-17T17:04:51"/>
        <d v="2024-08-17T15:28:55"/>
        <d v="2024-08-16T18:55:16"/>
        <d v="2024-08-16T18:54:25"/>
        <d v="2024-08-16T18:52:48"/>
        <d v="2024-08-16T17:36:37"/>
        <d v="2024-08-16T17:17:11"/>
        <d v="2024-08-16T16:52:52"/>
        <d v="2024-08-16T16:23:10"/>
        <d v="2024-08-16T15:46:43"/>
        <d v="2024-08-16T15:40:02"/>
        <d v="2024-08-16T14:46:24"/>
        <d v="2024-08-14T22:48:44"/>
        <d v="2024-08-14T21:05:57"/>
        <d v="2024-08-14T18:06:07"/>
        <d v="2024-08-14T17:54:23"/>
        <d v="2024-08-14T16:23:46"/>
        <d v="2024-08-14T16:17:36"/>
        <d v="2024-08-14T16:08:58"/>
        <d v="2024-08-14T15:45:23"/>
        <d v="2024-08-14T15:29:32"/>
        <d v="2024-08-14T14:49:44"/>
        <d v="2024-08-13T23:20:42"/>
        <d v="2024-08-13T22:39:45"/>
        <d v="2024-08-13T22:35:51"/>
        <d v="2024-08-13T21:29:32"/>
        <d v="2024-08-13T20:54:17"/>
        <d v="2024-08-13T20:18:52"/>
        <d v="2024-08-13T20:13:14"/>
        <d v="2024-08-13T20:08:35"/>
        <d v="2024-08-13T18:25:19"/>
        <d v="2024-08-13T18:01:29"/>
        <d v="2024-08-13T17:26:30"/>
        <d v="2024-08-13T17:21:01"/>
        <d v="2024-08-13T16:34:28"/>
        <d v="2024-08-13T16:11:43"/>
        <d v="2024-08-12T22:35:33"/>
        <d v="2024-08-12T22:18:06"/>
        <d v="2024-08-12T18:25:38"/>
        <d v="2024-08-12T18:22:40"/>
        <d v="2024-08-12T17:58:16"/>
        <d v="2024-08-12T17:57:09"/>
        <d v="2024-08-12T17:56:34"/>
        <d v="2024-08-12T17:47:06"/>
        <d v="2024-08-12T17:29:25"/>
        <d v="2024-08-12T17:01:25"/>
        <d v="2024-08-12T16:33:58"/>
        <d v="2024-08-12T15:53:06"/>
        <d v="2024-08-12T15:09:31"/>
        <d v="2024-08-10T18:20:58"/>
        <d v="2024-08-10T16:13:55"/>
        <d v="2024-08-09T23:34:11"/>
        <d v="2024-08-09T22:11:09"/>
        <d v="2024-08-09T16:16:11"/>
        <d v="2024-08-09T15:17:16"/>
        <d v="2024-08-09T14:46:07"/>
        <d v="2024-08-08T22:35:01"/>
        <d v="2024-08-08T22:06:44"/>
        <d v="2024-08-08T19:01:57"/>
        <d v="2024-08-08T18:26:14"/>
        <d v="2024-08-08T16:40:33"/>
        <d v="2024-08-08T14:41:28"/>
        <d v="2024-08-07T18:37:55"/>
        <d v="2024-08-07T17:35:23"/>
        <d v="2024-08-07T17:32:59"/>
        <d v="2024-08-07T17:05:53"/>
        <d v="2024-08-07T16:40:03"/>
        <d v="2024-08-06T23:51:36"/>
        <d v="2024-08-06T22:21:56"/>
        <d v="2024-08-06T22:09:38"/>
        <d v="2024-08-06T22:07:22"/>
        <d v="2024-08-06T20:58:57"/>
        <d v="2024-08-06T18:20:52"/>
        <d v="2024-08-06T17:41:28"/>
        <d v="2024-08-06T17:38:31"/>
        <d v="2024-08-06T16:34:01"/>
        <d v="2024-08-06T16:11:24"/>
        <d v="2024-08-06T16:06:30"/>
        <d v="2024-08-05T22:21:01"/>
        <d v="2024-08-05T18:01:44"/>
        <d v="2024-08-05T16:40:53"/>
        <d v="2024-08-05T16:17:20"/>
        <d v="2024-08-05T15:24:16"/>
        <d v="2024-08-02T23:49:11"/>
        <d v="2024-08-02T18:08:42"/>
        <d v="2024-08-02T17:45:50"/>
        <d v="2024-08-01T21:00:14"/>
        <d v="2024-08-01T15:59:15"/>
        <d v="2024-08-01T15:25:05"/>
        <d v="2024-07-31T22:09:04"/>
        <d v="2024-07-31T21:58:35"/>
        <d v="2024-07-31T17:19:23"/>
        <d v="2024-07-31T16:53:39"/>
        <d v="2024-07-31T15:44:39"/>
        <d v="2024-07-30T22:49:43"/>
        <d v="2024-07-30T18:12:05"/>
        <d v="2024-07-30T17:55:43"/>
        <d v="2024-07-30T17:54:06"/>
        <d v="2024-07-30T17:29:19"/>
        <d v="2024-07-30T16:27:20"/>
        <d v="2024-07-30T15:32:27"/>
        <d v="2024-07-30T15:05:13"/>
        <d v="2024-07-29T23:58:45"/>
        <d v="2024-07-29T23:44:28"/>
        <d v="2024-07-29T23:36:23"/>
        <d v="2024-07-29T22:00:25"/>
        <d v="2024-07-29T18:20:10"/>
        <d v="2024-07-29T15:45:51"/>
        <d v="2024-07-29T15:42:44"/>
        <d v="2024-07-29T15:37:10"/>
        <d v="2024-07-29T14:57:26"/>
        <d v="2024-07-27T17:18:29"/>
        <d v="2024-07-27T15:15:06"/>
        <d v="2024-07-26T22:32:26"/>
        <d v="2024-07-26T22:30:53"/>
        <d v="2024-07-26T21:05:46"/>
        <d v="2024-07-26T20:34:43"/>
        <d v="2024-07-26T18:07:19"/>
        <d v="2024-07-26T17:44:13"/>
        <d v="2024-07-26T15:14:23"/>
        <d v="2024-07-26T15:11:23"/>
        <d v="2024-07-25T23:01:21"/>
        <d v="2024-07-25T17:54:54"/>
        <d v="2024-07-25T17:21:13"/>
        <d v="2024-07-25T16:09:25"/>
        <d v="2024-07-24T18:33:53"/>
        <d v="2024-07-23T23:21:33"/>
        <d v="2024-07-23T23:05:48"/>
        <d v="2024-07-23T22:29:57"/>
        <d v="2024-07-23T18:08:48"/>
        <d v="2024-07-23T16:28:27"/>
        <d v="2024-07-23T15:08:04"/>
        <d v="2024-07-22T23:56:44"/>
        <d v="2024-07-22T23:14:08"/>
        <d v="2024-07-22T22:53:27"/>
        <d v="2024-07-22T22:49:45"/>
        <d v="2024-07-22T22:48:58"/>
        <d v="2024-07-22T22:44:41"/>
        <d v="2024-07-22T20:10:30"/>
        <d v="2024-07-19T23:56:19"/>
        <d v="2024-07-19T20:16:29"/>
        <d v="2024-07-19T18:21:42"/>
        <d v="2024-07-19T16:59:22"/>
        <d v="2024-07-18T23:33:51"/>
        <d v="2024-07-18T23:14:23"/>
        <d v="2024-07-18T20:36:55"/>
        <d v="2024-07-18T20:30:41"/>
        <d v="2024-07-18T18:28:47"/>
        <d v="2024-07-18T18:07:35"/>
        <d v="2024-07-18T17:36:05"/>
        <d v="2024-07-18T17:34:33"/>
        <d v="2024-07-18T17:13:54"/>
        <d v="2024-07-18T17:03:57"/>
        <d v="2024-07-18T16:48:32"/>
        <d v="2024-07-18T16:08:38"/>
        <d v="2024-07-18T16:06:41"/>
        <d v="2024-07-18T15:13:00"/>
        <d v="2024-07-17T23:59:16"/>
        <d v="2024-07-17T23:54:49"/>
        <d v="2024-07-17T23:39:54"/>
        <d v="2024-07-17T23:26:19"/>
        <d v="2024-07-17T23:17:27"/>
        <d v="2024-07-17T22:16:51"/>
        <d v="2024-07-17T20:49:50"/>
        <d v="2024-07-17T00:20:48"/>
        <d v="2024-07-16T23:27:28"/>
        <d v="2024-07-16T23:02:25"/>
        <d v="2024-07-16T20:56:07"/>
        <d v="2024-07-16T16:40:15"/>
        <d v="2024-07-16T15:33:18"/>
        <d v="2024-07-15T22:00:03"/>
        <d v="2024-08-20T20:37:31"/>
        <d v="2024-08-20T20:36:04"/>
        <d v="2024-08-20T20:20:01"/>
        <d v="2024-08-20T18:32:51"/>
        <d v="2024-08-20T18:09:06"/>
        <d v="2024-08-20T18:07:48"/>
        <d v="2024-08-20T15:18:57"/>
        <d v="2024-08-20T15:10:50"/>
        <d v="2024-08-20T14:46:08"/>
        <d v="2024-08-20T14:45:01"/>
        <d v="2024-08-20T00:12:15"/>
        <d v="2024-08-19T22:15:42"/>
        <d v="2024-08-19T22:05:23"/>
        <d v="2024-08-19T21:59:39"/>
        <d v="2024-08-19T21:26:47"/>
        <d v="2024-08-19T18:34:04"/>
        <d v="2024-08-19T18:25:15"/>
        <d v="2024-08-19T16:47:03"/>
        <d v="2024-08-19T16:29:33"/>
        <d v="2024-08-19T16:13:08"/>
        <d v="2024-08-19T15:47:15"/>
        <d v="2024-08-19T14:46:37"/>
        <d v="2024-08-19T14:38:05"/>
        <d v="2024-08-19T14:37:54"/>
        <d v="2024-08-19T14:28:00"/>
        <d v="2024-08-17T17:09:28"/>
        <d v="2024-08-16T23:16:25"/>
        <d v="2024-08-16T22:08:46"/>
        <d v="2024-08-16T22:03:51"/>
        <d v="2024-08-16T21:17:46"/>
        <d v="2024-08-16T20:03:35"/>
        <d v="2024-08-16T18:11:25"/>
        <d v="2024-08-16T18:07:36"/>
        <d v="2024-08-16T17:19:13"/>
        <d v="2024-08-16T17:04:58"/>
        <d v="2024-08-16T16:40:20"/>
        <d v="2024-08-16T16:25:12"/>
        <d v="2024-08-16T16:05:44"/>
        <d v="2024-08-16T15:33:40"/>
        <d v="2024-08-18T23:55:46" u="1"/>
        <d v="2024-08-18T23:24:59" u="1"/>
        <d v="2024-08-18T22:44:31" u="1"/>
        <d v="2024-08-09T13:04:31" u="1"/>
        <d v="2024-08-08T20:56:46" u="1"/>
        <d v="2024-08-08T18:51:19" u="1"/>
        <d v="2024-08-08T18:38:57" u="1"/>
        <d v="2024-08-18T23:34:45" u="1"/>
        <d v="2024-08-18T22:29:55" u="1"/>
        <d v="2024-08-18T22:24:33" u="1"/>
        <d v="2024-08-18T22:24:01" u="1"/>
        <d v="2024-08-13T18:14:36" u="1"/>
        <d v="2024-08-06T11:21:02" u="1"/>
        <d v="2024-08-05T16:38:28" u="1"/>
      </sharedItems>
      <fieldGroup par="66"/>
    </cacheField>
    <cacheField name="TCK CN003_FECHA_CIERRE_OFRECIDA" numFmtId="164">
      <sharedItems containsSemiMixedTypes="0" containsNonDate="0" containsDate="1" containsString="0" minDate="2024-07-15T00:00:00" maxDate="2024-09-21T00:00:00"/>
    </cacheField>
    <cacheField name="TCK CN003_FECHA_APERTURA_REPORTE" numFmtId="164">
      <sharedItems containsSemiMixedTypes="0" containsNonDate="0" containsDate="1" containsString="0" minDate="2024-07-15T15:48:29" maxDate="2024-08-20T20:36:33"/>
    </cacheField>
    <cacheField name="TCK CN003_FECHA_CIERRE_REPORTE" numFmtId="164">
      <sharedItems containsSemiMixedTypes="0" containsNonDate="0" containsDate="1" containsString="0" minDate="1899-12-31T00:00:00" maxDate="2024-08-20T20:37:34" count="171">
        <d v="2024-08-20T16:36:28"/>
        <d v="2024-08-20T16:27:29"/>
        <d v="2024-08-20T17:31:19"/>
        <d v="2024-08-20T16:53:00"/>
        <d v="1899-12-31T00:00:00"/>
        <d v="2024-08-20T14:22:20"/>
        <d v="2024-08-20T14:05:44"/>
        <d v="2024-08-20T04:03:06"/>
        <d v="2024-08-19T23:05:17"/>
        <d v="2024-08-20T00:45:23"/>
        <d v="2024-08-19T23:06:47"/>
        <d v="2024-08-19T22:06:05"/>
        <d v="2024-08-19T17:29:19"/>
        <d v="2024-08-19T16:53:28"/>
        <d v="2024-08-19T16:45:11"/>
        <d v="2024-08-19T16:28:17"/>
        <d v="2024-08-19T23:10:14"/>
        <d v="2024-08-19T15:58:25"/>
        <d v="2024-08-19T19:07:08"/>
        <d v="2024-08-14T15:40:26"/>
        <d v="2024-08-13T23:39:14"/>
        <d v="2024-08-19T01:00:53"/>
        <d v="2024-08-13T23:12:32"/>
        <d v="2024-08-13T23:06:10"/>
        <d v="2024-08-13T18:01:00"/>
        <d v="2024-08-16T16:25:01"/>
        <d v="2024-08-16T15:00:16"/>
        <d v="2024-08-12T23:26:55"/>
        <d v="2024-08-12T22:39:56"/>
        <d v="2024-08-09T16:03:52"/>
        <d v="2024-08-08T22:34:23"/>
        <d v="2024-08-08T20:11:16"/>
        <d v="2024-08-07T20:26:43"/>
        <d v="2024-08-07T21:57:22"/>
        <d v="2024-08-09T18:34:17"/>
        <d v="2024-08-09T18:34:22"/>
        <d v="2024-08-11T01:01:14"/>
        <d v="2024-08-07T23:38:00"/>
        <d v="2024-08-16T22:34:42"/>
        <d v="2024-08-09T18:34:25"/>
        <d v="2024-08-05T07:03:31"/>
        <d v="2024-08-20T18:51:58"/>
        <d v="2024-08-20T18:48:32"/>
        <d v="2024-08-20T18:43:50"/>
        <d v="2024-08-20T18:34:25"/>
        <d v="2024-08-20T18:01:48"/>
        <d v="2024-08-20T17:00:50"/>
        <d v="2024-08-20T16:14:37"/>
        <d v="2024-08-20T14:42:59"/>
        <d v="2024-08-19T23:27:10"/>
        <d v="2024-08-19T23:22:07"/>
        <d v="2024-08-19T21:07:26"/>
        <d v="2024-08-19T20:31:05"/>
        <d v="2024-08-19T17:47:15"/>
        <d v="2024-08-19T17:31:42"/>
        <d v="2024-08-19T17:27:44"/>
        <d v="2024-08-19T17:08:17"/>
        <d v="2024-08-19T17:23:35"/>
        <d v="2024-08-19T16:42:11"/>
        <d v="2024-08-19T23:15:09"/>
        <d v="2024-08-19T15:53:45"/>
        <d v="2024-08-19T15:48:10"/>
        <d v="2024-08-19T15:40:07"/>
        <d v="2024-08-19T15:39:41"/>
        <d v="2024-08-19T15:19:26"/>
        <d v="2024-08-17T17:07:16"/>
        <d v="2024-08-17T15:39:26"/>
        <d v="2024-08-16T22:32:38"/>
        <d v="2024-08-16T22:32:39"/>
        <d v="2024-08-16T18:53:50"/>
        <d v="2024-08-16T20:29:22"/>
        <d v="2024-08-17T17:07:43"/>
        <d v="2024-08-16T22:32:40"/>
        <d v="2024-08-16T16:25:55"/>
        <d v="2024-08-19T15:48:55"/>
        <d v="2024-08-16T15:42:18"/>
        <d v="2024-08-16T14:59:13"/>
        <d v="2024-08-14T22:51:34"/>
        <d v="2024-08-14T18:11:51"/>
        <d v="2024-08-14T18:01:31"/>
        <d v="2024-08-14T23:10:38"/>
        <d v="2024-08-14T16:09:41"/>
        <d v="2024-08-14T15:32:30"/>
        <d v="2024-08-14T22:47:10"/>
        <d v="2024-08-14T18:12:08"/>
        <d v="2024-08-13T20:57:19"/>
        <d v="2024-08-13T21:26:48"/>
        <d v="2024-08-13T20:14:36"/>
        <d v="2024-08-13T20:12:33"/>
        <d v="2024-08-13T18:39:15"/>
        <d v="2024-08-13T18:04:34"/>
        <d v="2024-08-13T17:22:09"/>
        <d v="2024-08-13T16:37:45"/>
        <d v="2024-08-13T18:05:14"/>
        <d v="2024-08-12T22:21:01"/>
        <d v="2024-08-12T23:27:26"/>
        <d v="2024-08-13T17:55:48"/>
        <d v="2024-08-12T17:36:56"/>
        <d v="2024-08-12T17:06:23"/>
        <d v="2024-08-12T15:53:51"/>
        <d v="2024-08-12T15:11:24"/>
        <d v="2024-08-10T18:22:05"/>
        <d v="2024-08-12T14:37:23"/>
        <d v="2024-08-16T23:59:58"/>
        <d v="2024-08-09T22:13:45"/>
        <d v="2024-08-10T14:28:07"/>
        <d v="2024-08-09T23:45:29"/>
        <d v="2024-08-09T23:44:58"/>
        <d v="2024-08-08T23:32:00"/>
        <d v="2024-08-08T23:09:32"/>
        <d v="2024-08-08T19:02:09"/>
        <d v="2024-08-08T22:38:27"/>
        <d v="2024-08-08T22:38:29"/>
        <d v="2024-08-08T22:38:31"/>
        <d v="2024-08-10T18:13:07"/>
        <d v="2024-08-10T17:53:33"/>
        <d v="2024-08-12T15:20:07"/>
        <d v="2024-08-07T21:07:40"/>
        <d v="2024-08-12T01:01:14"/>
        <d v="2024-08-06T23:12:24"/>
        <d v="2024-08-10T17:53:51"/>
        <d v="2024-08-12T17:40:12"/>
        <d v="2024-08-09T23:43:34"/>
        <d v="2024-08-10T17:54:00"/>
        <d v="2024-08-10T17:56:31"/>
        <d v="2024-08-10T17:56:35"/>
        <d v="2024-08-09T23:40:03"/>
        <d v="2024-08-10T17:56:40"/>
        <d v="2024-08-10T17:57:03"/>
        <d v="2024-08-05T22:22:32"/>
        <d v="2024-08-05T20:23:58"/>
        <d v="2024-08-05T16:03:51"/>
        <d v="2024-08-07T23:34:04"/>
        <d v="2024-08-10T17:57:05"/>
        <d v="2024-08-10T17:57:07"/>
        <d v="2024-08-12T22:22:36"/>
        <d v="2024-08-10T17:57:10"/>
        <d v="2024-08-10T17:57:14"/>
        <d v="2024-08-13T01:01:33"/>
        <d v="2024-08-20T20:37:34"/>
        <d v="2024-08-20T20:35:58"/>
        <d v="2024-08-20T19:10:09"/>
        <d v="2024-08-20T18:08:04"/>
        <d v="2024-08-20T18:30:21"/>
        <d v="2024-08-20T18:07:16"/>
        <d v="2024-08-20T16:20:18"/>
        <d v="2024-08-20T00:12:34"/>
        <d v="2024-08-19T22:35:58"/>
        <d v="2024-08-19T21:27:07"/>
        <d v="2024-08-19T20:05:42"/>
        <d v="2024-08-19T18:25:57"/>
        <d v="2024-08-19T16:29:50"/>
        <d v="2024-08-19T16:47:51"/>
        <d v="2024-08-19T23:05:28"/>
        <d v="2024-08-19T15:36:16"/>
        <d v="2024-08-19T23:08:04"/>
        <d v="2024-08-19T15:45:10"/>
        <d v="2024-08-19T16:19:35"/>
        <d v="2024-08-16T23:35:48"/>
        <d v="2024-08-19T20:11:03"/>
        <d v="2024-08-16T22:39:22"/>
        <d v="2024-08-16T23:08:23"/>
        <d v="2024-08-17T17:08:28"/>
        <d v="2024-08-16T17:48:03"/>
        <d v="2024-08-16T23:08:54"/>
        <d v="2024-08-16T23:14:07"/>
        <d v="2024-08-16T15:41:34"/>
        <d v="2024-08-08T20:19:23" u="1"/>
        <d v="2024-08-13T14:47:19" u="1"/>
        <d v="2024-08-20T13:13:00" u="1"/>
        <d v="2024-08-10T14:50:59" u="1"/>
      </sharedItems>
      <fieldGroup par="69"/>
    </cacheField>
    <cacheField name="TCK TIEMPO ABIERTO SEGUNDOS" numFmtId="0">
      <sharedItems containsSemiMixedTypes="0" containsDate="1" containsString="0" containsMixedTypes="1" minDate="1899-12-31T00:00:00" maxDate="1900-01-10T06:11:04"/>
    </cacheField>
    <cacheField name="TCK TIEMPO ABIERTO FORMATO" numFmtId="165">
      <sharedItems containsSemiMixedTypes="0" containsNonDate="0" containsDate="1" containsString="0" minDate="1899-12-30T00:00:00" maxDate="1900-01-24T06:32:46"/>
    </cacheField>
    <cacheField name="TCK FECHA OPERACIÓN" numFmtId="14">
      <sharedItems containsSemiMixedTypes="0" containsNonDate="0" containsDate="1" containsString="0" minDate="2024-07-15T00:00:00" maxDate="2024-08-21T00:00:00"/>
    </cacheField>
    <cacheField name="TCK CN003_FECHA_APERTURA" numFmtId="164">
      <sharedItems containsSemiMixedTypes="0" containsNonDate="0" containsDate="1" containsString="0" minDate="2024-07-15T15:48:29" maxDate="2024-08-20T20:36:33"/>
    </cacheField>
    <cacheField name="TCK CN003_FECHA_APERTURA_FLAG" numFmtId="164">
      <sharedItems containsNonDate="0" containsBlank="1"/>
    </cacheField>
    <cacheField name="TCK CN003_FECHA_APERTURA_MANUAL" numFmtId="164">
      <sharedItems containsSemiMixedTypes="0" containsNonDate="0" containsDate="1" containsString="0" minDate="1899-12-31T00:00:00" maxDate="2024-08-20T20:36:33"/>
    </cacheField>
    <cacheField name="TCK CN003_FECHA_CIERRE" numFmtId="164">
      <sharedItems containsSemiMixedTypes="0" containsNonDate="0" containsDate="1" containsString="0" minDate="1899-12-31T00:00:00" maxDate="2024-08-20T20:37:34"/>
    </cacheField>
    <cacheField name="TCK CN003_FECHA_CIERRE_FLAG" numFmtId="164">
      <sharedItems containsNonDate="0" containsBlank="1"/>
    </cacheField>
    <cacheField name="TCK CN003_FECHA_CIERRE_MANUAL" numFmtId="164">
      <sharedItems containsSemiMixedTypes="0" containsNonDate="0" containsDate="1" containsString="0" minDate="1899-12-31T00:00:00" maxDate="2024-08-20T20:37:34"/>
    </cacheField>
    <cacheField name="TCK FECHA ÚLTIMA ACTUALIZACIÓN" numFmtId="164">
      <sharedItems containsSemiMixedTypes="0" containsNonDate="0" containsDate="1" containsString="0" minDate="2024-08-20T19:15:38" maxDate="2024-08-20T20:37:39"/>
    </cacheField>
    <cacheField name="TCK FECHA MODIFICACIÓN" numFmtId="164">
      <sharedItems containsSemiMixedTypes="0" containsNonDate="0" containsDate="1" containsString="0" minDate="2024-08-20T19:15:38" maxDate="2024-08-20T20:37:39"/>
    </cacheField>
    <cacheField name="TCK CIERRE TIPO" numFmtId="0">
      <sharedItems containsBlank="1"/>
    </cacheField>
    <cacheField name="TCK CIERRE DESCRIPCIÓN" numFmtId="0">
      <sharedItems containsBlank="1"/>
    </cacheField>
    <cacheField name="PH FECHA" numFmtId="164">
      <sharedItems containsNonDate="0" containsDate="1" containsString="0" containsBlank="1" minDate="2024-07-15T00:00:00" maxDate="2024-08-21T00:00:00"/>
    </cacheField>
    <cacheField name="PH DESCRIPCIÓN" numFmtId="0">
      <sharedItems containsBlank="1" longText="1"/>
    </cacheField>
    <cacheField name="TCK TÉCNICO" numFmtId="0">
      <sharedItems containsBlank="1" count="13">
        <s v="Alex Solorzano"/>
        <s v="Luis Prado"/>
        <s v="Ester Daniela Lopez Cruz"/>
        <s v="Rosario Lic"/>
        <s v="Nery Ixcot"/>
        <s v="Monica Barahona"/>
        <s v="José Julajuj Chumil"/>
        <s v="Andres de León"/>
        <s v="Carlos Carias"/>
        <s v="Yosselyn Ignacio"/>
        <s v="Juan Carlos Barillas"/>
        <s v="Julio de León" u="1"/>
        <m u="1"/>
      </sharedItems>
    </cacheField>
    <cacheField name="TCK TIPO SOPORTE" numFmtId="0">
      <sharedItems containsBlank="1"/>
    </cacheField>
    <cacheField name="TCK CANAL ATENCIÓN" numFmtId="0">
      <sharedItems containsBlank="1" count="3">
        <s v="Llamada"/>
        <s v="Correo"/>
        <m/>
      </sharedItems>
    </cacheField>
    <cacheField name="TCK APLICACIÓN" numFmtId="0">
      <sharedItems containsBlank="1"/>
    </cacheField>
    <cacheField name="TCK MÓDULO" numFmtId="0">
      <sharedItems containsBlank="1"/>
    </cacheField>
    <cacheField name="TCK PROYECTO" numFmtId="0">
      <sharedItems containsBlank="1"/>
    </cacheField>
    <cacheField name="TCK CLIENTE EMPRESA" numFmtId="0">
      <sharedItems containsBlank="1"/>
    </cacheField>
    <cacheField name="TCK CLIENTE DEPARTAMENTO" numFmtId="0">
      <sharedItems containsBlank="1"/>
    </cacheField>
    <cacheField name="__TCK_INTERNO_ID" numFmtId="0">
      <sharedItems containsSemiMixedTypes="0" containsString="0" containsNumber="1" containsInteger="1" minValue="2442" maxValue="4503"/>
    </cacheField>
    <cacheField name="TCK MESA ID" numFmtId="0">
      <sharedItems containsSemiMixedTypes="0" containsString="0" containsNumber="1" containsInteger="1" minValue="35" maxValue="35"/>
    </cacheField>
    <cacheField name="TCK MESA" numFmtId="0">
      <sharedItems/>
    </cacheField>
    <cacheField name="TCK CLIENTE ID" numFmtId="0">
      <sharedItems containsString="0" containsBlank="1" containsNumber="1" containsInteger="1" minValue="264" maxValue="254983"/>
    </cacheField>
    <cacheField name="TCK CLIENTE" numFmtId="0">
      <sharedItems containsBlank="1"/>
    </cacheField>
    <cacheField name="TCK TÉCNICO ID" numFmtId="0">
      <sharedItems containsSemiMixedTypes="0" containsString="0" containsNumber="1" containsInteger="1" minValue="171" maxValue="2766"/>
    </cacheField>
    <cacheField name="__TCK_INTERNO_EMPRESA" numFmtId="0">
      <sharedItems/>
    </cacheField>
    <cacheField name="TCK TIPO SOPORTE ID" numFmtId="0">
      <sharedItems containsString="0" containsBlank="1" containsNumber="1" containsInteger="1" minValue="1" maxValue="13"/>
    </cacheField>
    <cacheField name="TCK APLICACIÓN ID" numFmtId="0">
      <sharedItems containsString="0" containsBlank="1" containsNumber="1" containsInteger="1" minValue="1" maxValue="44"/>
    </cacheField>
    <cacheField name="TCK MÓDULO ID" numFmtId="0">
      <sharedItems containsString="0" containsBlank="1" containsNumber="1" containsInteger="1" minValue="5" maxValue="84"/>
    </cacheField>
    <cacheField name="TCK PROYECTO ID" numFmtId="0">
      <sharedItems containsString="0" containsBlank="1" containsNumber="1" containsInteger="1" minValue="1" maxValue="5"/>
    </cacheField>
    <cacheField name="__TCK_INTERNO_COMPANY_ID" numFmtId="0">
      <sharedItems containsSemiMixedTypes="0" containsString="0" containsNumber="1" containsInteger="1" minValue="1" maxValue="1"/>
    </cacheField>
    <cacheField name="__TCK_INTERNO_COMPANY" numFmtId="0">
      <sharedItems/>
    </cacheField>
    <cacheField name="__TCK_INTERNO_CREATE_UID_ID" numFmtId="0">
      <sharedItems containsSemiMixedTypes="0" containsString="0" containsNumber="1" containsInteger="1" minValue="171" maxValue="2766"/>
    </cacheField>
    <cacheField name="__INTERNO_TCK_CREATE_UID" numFmtId="0">
      <sharedItems/>
    </cacheField>
    <cacheField name="TCK DESCRIPTION" numFmtId="0">
      <sharedItems containsBlank="1" longText="1"/>
    </cacheField>
    <cacheField name="TCK KANBAN_STATE" numFmtId="0">
      <sharedItems/>
    </cacheField>
    <cacheField name="TCK KANBAN" numFmtId="0">
      <sharedItems/>
    </cacheField>
    <cacheField name="TCK DESCRIPCIÓN CORTA" numFmtId="0">
      <sharedItems/>
    </cacheField>
    <cacheField name="TCK STAGE_ID" numFmtId="0">
      <sharedItems containsSemiMixedTypes="0" containsString="0" containsNumber="1" containsInteger="1" minValue="69" maxValue="72"/>
    </cacheField>
    <cacheField name="TCK STAGE_FOLD" numFmtId="0">
      <sharedItems containsBlank="1"/>
    </cacheField>
    <cacheField name="TCK PARTES DE HORAS ASOCIADOS" numFmtId="0">
      <sharedItems containsMixedTypes="1" containsNumber="1" containsInteger="1" minValue="18389" maxValue="28117"/>
    </cacheField>
    <cacheField name="TCK CIERRE TIPO ID" numFmtId="0">
      <sharedItems containsString="0" containsBlank="1" containsNumber="1" containsInteger="1" minValue="2" maxValue="2"/>
    </cacheField>
    <cacheField name="TCK CLIENTE EMAIL" numFmtId="0">
      <sharedItems/>
    </cacheField>
    <cacheField name="PH PARTE DE HORAS" numFmtId="0">
      <sharedItems containsString="0" containsBlank="1" containsNumber="1" containsInteger="1" minValue="18248" maxValue="28139"/>
    </cacheField>
    <cacheField name="__INTERNO_TIMESHEET_AMOUNT" numFmtId="0">
      <sharedItems containsString="0" containsBlank="1" containsNumber="1" containsInteger="1" minValue="0" maxValue="0"/>
    </cacheField>
    <cacheField name="PH TÉCNICO ID" numFmtId="0">
      <sharedItems containsString="0" containsBlank="1" containsNumber="1" containsInteger="1" minValue="171" maxValue="2766"/>
    </cacheField>
    <cacheField name="__INTERNO_TIMESHEET_ACCOUNT_ID" numFmtId="0">
      <sharedItems containsString="0" containsBlank="1" containsNumber="1" containsInteger="1" minValue="8777" maxValue="8777"/>
    </cacheField>
    <cacheField name="__INTERNO_TIMESHEET_ACCOUNT" numFmtId="0">
      <sharedItems containsBlank="1"/>
    </cacheField>
    <cacheField name="TCK TIEMPO ABIERTO" numFmtId="0">
      <sharedItems containsSemiMixedTypes="0" containsString="0" containsNumber="1" minValue="0" maxValue="606.54611111111103"/>
    </cacheField>
    <cacheField name="TCK PARTE HORAS ID" numFmtId="0">
      <sharedItems containsNonDate="0" containsString="0" containsBlank="1"/>
    </cacheField>
    <cacheField name="Segundos (TCK FECHA CREACIÓN)" numFmtId="0" databaseField="0">
      <fieldGroup base="5">
        <rangePr groupBy="seconds" startDate="2024-07-15T15:48:29" endDate="2024-08-20T20:37:31"/>
        <groupItems count="62">
          <s v="&lt;2024-07-1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024-08-20"/>
        </groupItems>
      </fieldGroup>
    </cacheField>
    <cacheField name="Minutos (TCK FECHA CREACIÓN)" numFmtId="0" databaseField="0">
      <fieldGroup base="5">
        <rangePr groupBy="minutes" startDate="2024-07-15T15:48:29" endDate="2024-08-20T20:37:31"/>
        <groupItems count="62">
          <s v="&lt;2024-07-1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024-08-20"/>
        </groupItems>
      </fieldGroup>
    </cacheField>
    <cacheField name="Horas (TCK FECHA CREACIÓN)" numFmtId="0" databaseField="0">
      <fieldGroup base="5">
        <rangePr groupBy="hours" startDate="2024-07-15T15:48:29" endDate="2024-08-20T20:37:31"/>
        <groupItems count="26">
          <s v="&lt;2024-07-1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024-08-20"/>
        </groupItems>
      </fieldGroup>
    </cacheField>
    <cacheField name="Días (TCK FECHA CREACIÓN)" numFmtId="0" databaseField="0">
      <fieldGroup base="5">
        <rangePr groupBy="days" startDate="2024-07-15T15:48:29" endDate="2024-08-20T20:37:31"/>
        <groupItems count="368">
          <s v="&lt;2024-07-1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024-08-20"/>
        </groupItems>
      </fieldGroup>
    </cacheField>
    <cacheField name="Meses (TCK CN003_FECHA_CIERRE_REPORTE)" numFmtId="0" databaseField="0">
      <fieldGroup base="8">
        <rangePr groupBy="months" startDate="1899-12-31T00:00:00" endDate="2024-08-20T20:37:34"/>
        <groupItems count="14">
          <s v="&lt;1900-01-0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24-08-20"/>
        </groupItems>
      </fieldGroup>
    </cacheField>
    <cacheField name="Trimestres (TCK CN003_FECHA_CIERRE_REPORTE)" numFmtId="0" databaseField="0">
      <fieldGroup base="8">
        <rangePr groupBy="quarters" startDate="1899-12-31T00:00:00" endDate="2024-08-20T20:37:34"/>
        <groupItems count="6">
          <s v="&lt;1900-01-01"/>
          <s v="Trim.1"/>
          <s v="Trim.2"/>
          <s v="Trim.3"/>
          <s v="Trim.4"/>
          <s v="&gt;2024-08-20"/>
        </groupItems>
      </fieldGroup>
    </cacheField>
    <cacheField name="Años (TCK CN003_FECHA_CIERRE_REPORTE)" numFmtId="0" databaseField="0">
      <fieldGroup base="8">
        <rangePr groupBy="years" startDate="1899-12-31T00:00:00" endDate="2024-08-20T20:37:34"/>
        <groupItems count="127">
          <s v="&lt;1900-01-01"/>
          <s v="1900"/>
          <s v="1901"/>
          <s v="1902"/>
          <s v="1903"/>
          <s v="1904"/>
          <s v="1905"/>
          <s v="1906"/>
          <s v="1907"/>
          <s v="1908"/>
          <s v="1909"/>
          <s v="1910"/>
          <s v="1911"/>
          <s v="1912"/>
          <s v="1913"/>
          <s v="1914"/>
          <s v="1915"/>
          <s v="1916"/>
          <s v="1917"/>
          <s v="1918"/>
          <s v="1919"/>
          <s v="1920"/>
          <s v="1921"/>
          <s v="1922"/>
          <s v="1923"/>
          <s v="1924"/>
          <s v="1925"/>
          <s v="1926"/>
          <s v="1927"/>
          <s v="1928"/>
          <s v="1929"/>
          <s v="1930"/>
          <s v="1931"/>
          <s v="1932"/>
          <s v="1933"/>
          <s v="1934"/>
          <s v="1935"/>
          <s v="1936"/>
          <s v="1937"/>
          <s v="1938"/>
          <s v="1939"/>
          <s v="1940"/>
          <s v="1941"/>
          <s v="1942"/>
          <s v="1943"/>
          <s v="1944"/>
          <s v="1945"/>
          <s v="1946"/>
          <s v="1947"/>
          <s v="1948"/>
          <s v="1949"/>
          <s v="1950"/>
          <s v="1951"/>
          <s v="1952"/>
          <s v="1953"/>
          <s v="1954"/>
          <s v="1955"/>
          <s v="1956"/>
          <s v="1957"/>
          <s v="1958"/>
          <s v="1959"/>
          <s v="1960"/>
          <s v="1961"/>
          <s v="1962"/>
          <s v="1963"/>
          <s v="1964"/>
          <s v="1965"/>
          <s v="1966"/>
          <s v="1967"/>
          <s v="1968"/>
          <s v="1969"/>
          <s v="1970"/>
          <s v="1971"/>
          <s v="1972"/>
          <s v="1973"/>
          <s v="1974"/>
          <s v="1975"/>
          <s v="1976"/>
          <s v="1977"/>
          <s v="1978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&gt;2024-08-20"/>
        </groupItems>
      </fieldGroup>
    </cacheField>
  </cacheFields>
  <extLst>
    <ext xmlns:x14="http://schemas.microsoft.com/office/spreadsheetml/2009/9/main" uri="{725AE2AE-9491-48be-B2B4-4EB974FC3084}">
      <x14:pivotCacheDefinition pivotCacheId="19776191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3">
  <r>
    <n v="4569"/>
    <n v="0.2"/>
    <d v="1899-12-30T00:12:00"/>
    <s v="50-Finalizado"/>
    <d v="1900-01-02T00:00:00"/>
    <x v="0"/>
    <d v="2024-08-20T00:00:00"/>
    <d v="2024-08-20T16:23:57"/>
    <x v="0"/>
    <d v="1899-12-30T05:00:24"/>
    <d v="1899-12-30T00:12:31"/>
    <d v="2024-08-20T00:00:00"/>
    <d v="2024-08-20T16:23:57"/>
    <m/>
    <d v="1899-12-31T00:00:00"/>
    <d v="2024-08-20T16:36:28"/>
    <m/>
    <d v="1899-12-31T00:00:00"/>
    <d v="2024-08-20T20:12:36"/>
    <d v="2024-08-20T20:12:36"/>
    <m/>
    <m/>
    <d v="2024-08-20T00:00:00"/>
    <s v="Se resolvio el ticket agregando su código de vendedor al sistema sap"/>
    <x v="0"/>
    <s v="Actualización de Datos"/>
    <x v="0"/>
    <s v="SAP"/>
    <s v="Facturación, Notas Crédito"/>
    <m/>
    <s v="CANELLA, SOCIEDAD ANONIMA"/>
    <s v="YAMAHA LIBERACION"/>
    <n v="4471"/>
    <n v="35"/>
    <s v="Mesa Ayuda Infraestructura"/>
    <n v="247678"/>
    <s v="NANYBANY RUBEN ARANA NUÑEZ"/>
    <n v="339"/>
    <s v="CANELLA"/>
    <n v="11"/>
    <n v="5"/>
    <n v="56"/>
    <m/>
    <n v="1"/>
    <s v="CANELLA"/>
    <n v="339"/>
    <s v="Alex Solorzano"/>
    <m/>
    <s v="normal"/>
    <s v="En proceso"/>
    <s v="Creación de un código de vendedor de motocicletas"/>
    <n v="72"/>
    <b v="1"/>
    <s v="[28069]"/>
    <m/>
    <s v="05030@general.tbd"/>
    <n v="28069"/>
    <n v="0"/>
    <n v="339"/>
    <n v="8777"/>
    <s v="Mesa Ayuda Infraestructura"/>
    <n v="0.208611111111111"/>
    <m/>
  </r>
  <r>
    <n v="4567"/>
    <n v="8.3333333333333301E-2"/>
    <d v="1899-12-30T00:05:00"/>
    <s v="50-Finalizado"/>
    <d v="1900-01-02T00:00:00"/>
    <x v="1"/>
    <d v="2024-08-20T00:00:00"/>
    <d v="2024-08-20T16:17:41"/>
    <x v="1"/>
    <n v="0.163333333333333"/>
    <d v="1899-12-30T00:09:48"/>
    <d v="2024-08-20T00:00:00"/>
    <d v="2024-08-20T16:17:41"/>
    <m/>
    <d v="1899-12-31T00:00:00"/>
    <d v="2024-08-20T16:27:29"/>
    <b v="1"/>
    <d v="2024-08-20T16:27:29"/>
    <d v="2024-08-20T20:12:37"/>
    <d v="2024-08-20T20:12:37"/>
    <m/>
    <m/>
    <d v="2024-08-20T00:00:00"/>
    <s v="/"/>
    <x v="1"/>
    <s v="Configuracion Software"/>
    <x v="0"/>
    <s v="SAP"/>
    <s v="Facturación, Notas Crédito"/>
    <s v="Proyecto IT"/>
    <s v="INVERSIONES QATAR, SOCIEDAD ANONIMA"/>
    <s v="GERENCIA GENERAL INVERSIONES QATAR, SOCIEDAD ANONIMA"/>
    <n v="4469"/>
    <n v="35"/>
    <s v="Mesa Ayuda Infraestructura"/>
    <n v="246898"/>
    <s v="CARLOS HUMBERTO GONZALEZ"/>
    <n v="267"/>
    <s v="CANELLA"/>
    <n v="2"/>
    <n v="5"/>
    <n v="56"/>
    <n v="5"/>
    <n v="1"/>
    <s v="CANELLA"/>
    <n v="267"/>
    <s v="Luis Prado"/>
    <m/>
    <s v="normal"/>
    <s v="En proceso"/>
    <s v="Factura que indicaba que bodega no la tenia asignada"/>
    <n v="72"/>
    <b v="1"/>
    <s v="[28057]"/>
    <m/>
    <s v="06796@general.tbd"/>
    <n v="28057"/>
    <n v="0"/>
    <n v="267"/>
    <n v="8777"/>
    <s v="Mesa Ayuda Infraestructura"/>
    <n v="0.163333333333333"/>
    <m/>
  </r>
  <r>
    <n v="4566"/>
    <n v="1.11666666666666"/>
    <d v="1899-12-30T01:07:00"/>
    <s v="50-Finalizado"/>
    <d v="1900-01-02T00:00:00"/>
    <x v="2"/>
    <d v="2024-08-20T00:00:00"/>
    <d v="2024-08-20T16:16:28"/>
    <x v="2"/>
    <n v="1.2475000000000001"/>
    <d v="1899-12-30T01:14:51"/>
    <d v="2024-08-20T00:00:00"/>
    <d v="2024-08-20T16:16:28"/>
    <m/>
    <d v="1899-12-31T00:00:00"/>
    <d v="2024-08-20T17:31:19"/>
    <m/>
    <d v="1899-12-31T00:00:00"/>
    <d v="2024-08-20T20:12:37"/>
    <d v="2024-08-20T20:12:37"/>
    <m/>
    <m/>
    <d v="2024-08-20T00:00:00"/>
    <s v="/"/>
    <x v="2"/>
    <s v="Lentitud o Errores con Sistema"/>
    <x v="1"/>
    <s v="SISCON"/>
    <m/>
    <m/>
    <s v="CANELLA, SOCIEDAD ANONIMA"/>
    <s v="UNIDAD DE SOLUCIONES DIGITALES"/>
    <n v="4468"/>
    <n v="35"/>
    <s v="Mesa Ayuda Infraestructura"/>
    <n v="247533"/>
    <s v="RICARDO MIGUEL RAFAEL LOPEZ REYES"/>
    <n v="446"/>
    <s v="CANELLA"/>
    <n v="13"/>
    <n v="44"/>
    <m/>
    <m/>
    <n v="1"/>
    <s v="CANELLA"/>
    <n v="446"/>
    <s v="Ester Daniela Lopez Cruz"/>
    <m/>
    <s v="normal"/>
    <s v="En proceso"/>
    <s v="Equipo no sale serie para retirar equipo de contrato"/>
    <n v="72"/>
    <b v="1"/>
    <s v="[28079]"/>
    <m/>
    <s v="05734@general.tbd"/>
    <n v="28079"/>
    <n v="0"/>
    <n v="446"/>
    <n v="8777"/>
    <s v="Mesa Ayuda Infraestructura"/>
    <n v="1.2475000000000001"/>
    <m/>
  </r>
  <r>
    <n v="4560"/>
    <n v="0.75"/>
    <d v="1899-12-30T00:45:00"/>
    <s v="50-Finalizado"/>
    <d v="1900-01-02T00:00:00"/>
    <x v="3"/>
    <d v="2024-09-20T00:00:00"/>
    <d v="2024-08-20T15:57:16"/>
    <x v="3"/>
    <n v="0.92888888888888799"/>
    <d v="1899-12-30T00:55:44"/>
    <d v="2024-08-20T00:00:00"/>
    <d v="2024-08-20T15:57:16"/>
    <m/>
    <d v="1899-12-31T00:00:00"/>
    <d v="2024-08-20T16:53:00"/>
    <m/>
    <d v="1899-12-31T00:00:00"/>
    <d v="2024-08-20T20:12:38"/>
    <d v="2024-08-20T20:12:38"/>
    <m/>
    <m/>
    <d v="2024-08-20T00:00:00"/>
    <s v="Se le agregaron las autorizaciones y las parametrizaciones respectivas a a su usario"/>
    <x v="0"/>
    <s v="Capacitaciones"/>
    <x v="0"/>
    <s v="SAP"/>
    <s v="Doctos. Informática OC"/>
    <m/>
    <s v="CANELLA, SOCIEDAD ANONIMA"/>
    <s v="CONTABILIDAD, CANELLA, S. A."/>
    <n v="4462"/>
    <n v="35"/>
    <s v="Mesa Ayuda Infraestructura"/>
    <n v="247519"/>
    <s v="RUDY ELI GARCIA CORTEZ"/>
    <n v="339"/>
    <s v="CANELLA"/>
    <n v="4"/>
    <n v="5"/>
    <n v="42"/>
    <m/>
    <n v="1"/>
    <s v="CANELLA"/>
    <n v="339"/>
    <s v="Alex Solorzano"/>
    <m/>
    <s v="normal"/>
    <s v="En proceso"/>
    <s v="No le deja cambiar medios de pago en factura de deudores"/>
    <n v="72"/>
    <b v="1"/>
    <s v="[28074]"/>
    <m/>
    <s v="05770@general.tbd"/>
    <n v="28074"/>
    <n v="0"/>
    <n v="339"/>
    <n v="8777"/>
    <s v="Mesa Ayuda Infraestructura"/>
    <n v="0.92888888888888799"/>
    <m/>
  </r>
  <r>
    <n v="4550"/>
    <n v="0.28333333333333299"/>
    <d v="1899-12-30T00:17:00"/>
    <s v="40-Esperando cliente"/>
    <d v="1900-01-02T00:00:00"/>
    <x v="4"/>
    <d v="2024-08-20T00:00:00"/>
    <d v="2024-08-20T14:34:53"/>
    <x v="4"/>
    <n v="0"/>
    <d v="1899-12-30T00:00:00"/>
    <d v="2024-08-20T00:00:00"/>
    <d v="2024-08-20T14:34:53"/>
    <m/>
    <d v="1899-12-31T00:00:00"/>
    <d v="1899-12-31T00:00:00"/>
    <m/>
    <d v="1899-12-31T00:00:00"/>
    <d v="2024-08-20T20:12:40"/>
    <d v="2024-08-20T20:12:40"/>
    <m/>
    <s v="Se procede a generar reporte para envío a Administrativo para creación de orden de compra. "/>
    <d v="2024-08-20T00:00:00"/>
    <s v="Se procede a generar reporte para envío a Administrativo para creación de orden de compra."/>
    <x v="3"/>
    <s v="Actualización de Datos"/>
    <x v="1"/>
    <s v="Office 365"/>
    <s v="Excel"/>
    <m/>
    <s v="No Partner"/>
    <s v="No Partner"/>
    <n v="4452"/>
    <n v="35"/>
    <s v="Mesa Ayuda Infraestructura"/>
    <m/>
    <m/>
    <n v="299"/>
    <s v="CANELLA"/>
    <n v="11"/>
    <n v="7"/>
    <n v="18"/>
    <m/>
    <n v="1"/>
    <s v="CANELLA"/>
    <n v="299"/>
    <s v="Rosario Lic"/>
    <s v="&lt;p&gt;Se procede a generar reporte para envío a Administrativo para creación de orden de compra. &lt;/p&gt;"/>
    <s v="normal"/>
    <s v="En proceso"/>
    <s v="Reporte de asignación para creación de orden de compra"/>
    <n v="71"/>
    <m/>
    <n v="28013"/>
    <m/>
    <s v="No Partner"/>
    <n v="28014"/>
    <n v="0"/>
    <n v="299"/>
    <n v="8777"/>
    <s v="Mesa Ayuda Infraestructura"/>
    <n v="0"/>
    <m/>
  </r>
  <r>
    <n v="4550"/>
    <n v="0.2"/>
    <d v="1899-12-30T00:12:00"/>
    <s v="40-Esperando cliente"/>
    <d v="1900-01-02T00:00:00"/>
    <x v="4"/>
    <d v="2024-08-20T00:00:00"/>
    <d v="2024-08-20T14:34:53"/>
    <x v="4"/>
    <n v="0"/>
    <d v="1899-12-30T00:00:00"/>
    <d v="2024-08-20T00:00:00"/>
    <d v="2024-08-20T14:34:53"/>
    <m/>
    <d v="1899-12-31T00:00:00"/>
    <d v="1899-12-31T00:00:00"/>
    <m/>
    <d v="1899-12-31T00:00:00"/>
    <d v="2024-08-20T20:12:40"/>
    <d v="2024-08-20T20:12:40"/>
    <m/>
    <s v="Se procede a generar reporte para envío a Administrativo para creación de orden de compra. "/>
    <d v="2024-08-19T00:00:00"/>
    <s v="Se procede a generar reporte para envío a Administrativo para creación de orden de compra."/>
    <x v="3"/>
    <s v="Actualización de Datos"/>
    <x v="1"/>
    <s v="Office 365"/>
    <s v="Excel"/>
    <m/>
    <s v="No Partner"/>
    <s v="No Partner"/>
    <n v="4452"/>
    <n v="35"/>
    <s v="Mesa Ayuda Infraestructura"/>
    <m/>
    <m/>
    <n v="299"/>
    <s v="CANELLA"/>
    <n v="11"/>
    <n v="7"/>
    <n v="18"/>
    <m/>
    <n v="1"/>
    <s v="CANELLA"/>
    <n v="299"/>
    <s v="Rosario Lic"/>
    <s v="&lt;p&gt;Se procede a generar reporte para envío a Administrativo para creación de orden de compra. &lt;/p&gt;"/>
    <s v="normal"/>
    <s v="En proceso"/>
    <s v="Reporte de asignación para creación de orden de compra"/>
    <n v="71"/>
    <m/>
    <n v="28013"/>
    <m/>
    <s v="No Partner"/>
    <n v="28013"/>
    <n v="0"/>
    <n v="299"/>
    <n v="8777"/>
    <s v="Mesa Ayuda Infraestructura"/>
    <n v="0"/>
    <m/>
  </r>
  <r>
    <n v="4548"/>
    <n v="0.25"/>
    <d v="1899-12-30T00:15:00"/>
    <s v="50-Finalizado"/>
    <d v="1900-01-02T00:00:00"/>
    <x v="5"/>
    <d v="2024-08-20T00:00:00"/>
    <d v="2024-08-20T14:06:26"/>
    <x v="5"/>
    <n v="0.26500000000000001"/>
    <d v="1899-12-30T00:15:54"/>
    <d v="2024-08-20T00:00:00"/>
    <d v="2024-08-20T14:06:26"/>
    <m/>
    <d v="1899-12-31T00:00:00"/>
    <d v="2024-08-20T14:22:20"/>
    <m/>
    <d v="1899-12-31T00:00:00"/>
    <d v="2024-08-20T20:12:41"/>
    <d v="2024-08-20T20:12:41"/>
    <m/>
    <m/>
    <d v="2024-08-20T00:00:00"/>
    <s v="/"/>
    <x v="2"/>
    <s v="Actualización de Datos"/>
    <x v="1"/>
    <s v="STOD"/>
    <s v="Contratos de Mantto."/>
    <m/>
    <s v="CANELLA, SOCIEDAD ANONIMA"/>
    <s v="ISUZU PERIFERICO"/>
    <n v="4450"/>
    <n v="35"/>
    <s v="Mesa Ayuda Infraestructura"/>
    <n v="247581"/>
    <s v="NICOLAS LOPEZ PACAY"/>
    <n v="446"/>
    <s v="CANELLA"/>
    <n v="11"/>
    <n v="8"/>
    <n v="37"/>
    <m/>
    <n v="1"/>
    <s v="CANELLA"/>
    <n v="446"/>
    <s v="Ester Daniela Lopez Cruz"/>
    <m/>
    <s v="normal"/>
    <s v="En proceso"/>
    <s v="Cambio de código de contrato # 152, Llamada 519627, Servicio 15,000"/>
    <n v="72"/>
    <b v="1"/>
    <s v="[28009]"/>
    <m/>
    <s v="05588@general.tbd"/>
    <n v="28009"/>
    <n v="0"/>
    <n v="446"/>
    <n v="8777"/>
    <s v="Mesa Ayuda Infraestructura"/>
    <n v="0.26500000000000001"/>
    <m/>
  </r>
  <r>
    <n v="4547"/>
    <n v="0.3"/>
    <d v="1899-12-30T00:18:00"/>
    <s v="50-Finalizado"/>
    <d v="1900-01-02T00:00:00"/>
    <x v="6"/>
    <d v="2024-08-20T00:00:00"/>
    <d v="2024-08-20T13:46:46"/>
    <x v="6"/>
    <n v="0.31611111111111101"/>
    <d v="1899-12-30T00:18:58"/>
    <d v="2024-08-20T00:00:00"/>
    <d v="2024-08-20T13:46:46"/>
    <m/>
    <d v="1899-12-31T00:00:00"/>
    <d v="2024-08-20T14:05:44"/>
    <m/>
    <d v="1899-12-31T00:00:00"/>
    <d v="2024-08-20T20:12:41"/>
    <d v="2024-08-20T20:12:41"/>
    <m/>
    <m/>
    <d v="2024-08-20T00:00:00"/>
    <s v="/"/>
    <x v="2"/>
    <s v="Actualización de Datos"/>
    <x v="1"/>
    <s v="STOD"/>
    <s v="Contratos de Mantto."/>
    <m/>
    <s v="CANELLA, SOCIEDAD ANONIMA"/>
    <s v="ISUZU PERIFERICO"/>
    <n v="4449"/>
    <n v="35"/>
    <s v="Mesa Ayuda Infraestructura"/>
    <n v="247136"/>
    <s v="KEVIN WILSON SOTO HERRERA"/>
    <n v="446"/>
    <s v="CANELLA"/>
    <n v="11"/>
    <n v="8"/>
    <n v="37"/>
    <m/>
    <n v="1"/>
    <s v="CANELLA"/>
    <n v="446"/>
    <s v="Ester Daniela Lopez Cruz"/>
    <m/>
    <s v="normal"/>
    <s v="En proceso"/>
    <s v="MODIFICACION DE CONTRATO #118 SERVICIO DE 20,000 KMS LLAMADA 519379"/>
    <n v="72"/>
    <b v="1"/>
    <s v="[28000]"/>
    <m/>
    <s v="06502@general.tbd"/>
    <n v="28000"/>
    <n v="0"/>
    <n v="446"/>
    <n v="8777"/>
    <s v="Mesa Ayuda Infraestructura"/>
    <n v="0.31611111111111101"/>
    <m/>
  </r>
  <r>
    <n v="4541"/>
    <n v="1.5"/>
    <d v="1899-12-30T01:30:00"/>
    <s v="50-Finalizado"/>
    <d v="1900-01-02T00:00:00"/>
    <x v="7"/>
    <d v="2024-08-19T00:00:00"/>
    <d v="2024-08-19T23:47:46"/>
    <x v="7"/>
    <n v="4.2555555555555502"/>
    <d v="1899-12-30T04:15:20"/>
    <d v="2024-08-19T00:00:00"/>
    <d v="2024-08-19T23:47:46"/>
    <m/>
    <d v="1899-12-31T00:00:00"/>
    <d v="2024-08-20T04:03:06"/>
    <m/>
    <d v="1899-12-31T00:00:00"/>
    <d v="2024-08-20T19:15:38"/>
    <d v="2024-08-20T19:15:38"/>
    <m/>
    <m/>
    <d v="2024-08-19T00:00:00"/>
    <s v="/"/>
    <x v="1"/>
    <s v="Configuracion Software"/>
    <x v="1"/>
    <s v="SAP"/>
    <s v="Actualización de Datos"/>
    <s v="Proyecto IT"/>
    <s v="CANELLA, SOCIEDAD ANONIMA"/>
    <s v="INFORMATICA"/>
    <n v="4443"/>
    <n v="35"/>
    <s v="Mesa Ayuda Infraestructura"/>
    <n v="247813"/>
    <s v="OSCAR RAUL HERNANDEZ REYNA"/>
    <n v="267"/>
    <s v="CANELLA"/>
    <n v="2"/>
    <n v="5"/>
    <n v="14"/>
    <n v="5"/>
    <n v="1"/>
    <s v="CANELLA"/>
    <n v="267"/>
    <s v="Luis Prado"/>
    <m/>
    <s v="normal"/>
    <s v="En proceso"/>
    <s v="Actualización de Correo electrónico"/>
    <n v="72"/>
    <b v="1"/>
    <s v="[27942]"/>
    <m/>
    <s v="04025@general.tbd"/>
    <n v="27942"/>
    <n v="0"/>
    <n v="267"/>
    <n v="8777"/>
    <s v="Mesa Ayuda Infraestructura"/>
    <n v="4.2555555555555502"/>
    <m/>
  </r>
  <r>
    <n v="4532"/>
    <n v="0.43333333333333302"/>
    <d v="1899-12-30T00:26:00"/>
    <s v="50-Finalizado"/>
    <d v="1900-01-02T00:00:00"/>
    <x v="8"/>
    <d v="2024-08-19T00:00:00"/>
    <d v="2024-08-19T22:39:37"/>
    <x v="8"/>
    <n v="0.42777777777777698"/>
    <d v="1899-12-30T00:25:40"/>
    <d v="2024-08-19T00:00:00"/>
    <d v="2024-08-19T22:39:37"/>
    <m/>
    <d v="1899-12-31T00:00:00"/>
    <d v="2024-08-19T23:05:17"/>
    <m/>
    <d v="1899-12-31T00:00:00"/>
    <d v="2024-08-20T19:15:38"/>
    <d v="2024-08-20T19:15:38"/>
    <m/>
    <m/>
    <d v="2024-08-19T00:00:00"/>
    <s v="/"/>
    <x v="2"/>
    <s v="Actualización de Datos"/>
    <x v="1"/>
    <m/>
    <s v="Recibos de Caja"/>
    <m/>
    <s v="CANELLA, SOCIEDAD ANONIMA"/>
    <s v="YAMAHA EL FRUTAL"/>
    <n v="4434"/>
    <n v="35"/>
    <s v="Mesa Ayuda Infraestructura"/>
    <n v="247643"/>
    <s v="CRISHNA BRISSETH LOPEZ GUZMAN"/>
    <n v="446"/>
    <s v="CANELLA"/>
    <n v="11"/>
    <m/>
    <n v="84"/>
    <m/>
    <n v="1"/>
    <s v="CANELLA"/>
    <n v="446"/>
    <s v="Ester Daniela Lopez Cruz"/>
    <m/>
    <s v="normal"/>
    <s v="En proceso"/>
    <s v="Recibo de caja no procesado"/>
    <n v="72"/>
    <b v="1"/>
    <s v="[27905]"/>
    <m/>
    <s v="05276@general.tbd"/>
    <n v="27905"/>
    <n v="0"/>
    <n v="446"/>
    <n v="8777"/>
    <s v="Mesa Ayuda Infraestructura"/>
    <n v="0.42777777777777698"/>
    <m/>
  </r>
  <r>
    <n v="4525"/>
    <n v="1.7166666666666599"/>
    <d v="1899-12-30T01:43:00"/>
    <s v="40-Esperando cliente"/>
    <d v="1900-01-02T00:00:00"/>
    <x v="9"/>
    <d v="2024-08-19T00:00:00"/>
    <d v="2024-08-19T21:44:03"/>
    <x v="4"/>
    <n v="0"/>
    <d v="1899-12-30T00:00:00"/>
    <d v="2024-08-19T00:00:00"/>
    <d v="2024-08-19T21:44:03"/>
    <m/>
    <d v="1899-12-31T00:00:00"/>
    <d v="1899-12-31T00:00:00"/>
    <m/>
    <d v="1899-12-31T00:00:00"/>
    <d v="2024-08-20T19:15:38"/>
    <d v="2024-08-20T19:15:38"/>
    <m/>
    <s v="Se procede a realizar informé de compra de licencias  SAP, de años 2023 y 2024"/>
    <d v="2024-08-20T00:00:00"/>
    <s v="Modificación de archivo"/>
    <x v="3"/>
    <s v="Orden de compra"/>
    <x v="1"/>
    <s v="SAP"/>
    <m/>
    <m/>
    <s v="CANELLA, SOCIEDAD ANONIMA"/>
    <s v="INFORMATICA"/>
    <n v="4427"/>
    <n v="35"/>
    <s v="Mesa Ayuda Infraestructura"/>
    <n v="247813"/>
    <s v="OSCAR RAUL HERNANDEZ REYNA"/>
    <n v="299"/>
    <s v="CANELLA"/>
    <n v="6"/>
    <n v="5"/>
    <m/>
    <m/>
    <n v="1"/>
    <s v="CANELLA"/>
    <n v="299"/>
    <s v="Rosario Lic"/>
    <s v="&lt;p&gt;Se procede a realizar informé de compra de licencias&amp;nbsp; SAP, de años 2023 y 2024&lt;/p&gt;"/>
    <s v="normal"/>
    <s v="En proceso"/>
    <s v="Reporte por compra de licencias SAP en 2023 - 2024"/>
    <n v="71"/>
    <m/>
    <n v="27998"/>
    <m/>
    <s v="04025@general.tbd"/>
    <n v="28051"/>
    <n v="0"/>
    <n v="299"/>
    <n v="8777"/>
    <s v="Mesa Ayuda Infraestructura"/>
    <n v="0"/>
    <m/>
  </r>
  <r>
    <n v="4525"/>
    <n v="3.7"/>
    <d v="1899-12-30T03:42:00"/>
    <s v="40-Esperando cliente"/>
    <d v="1900-01-02T00:00:00"/>
    <x v="9"/>
    <d v="2024-08-19T00:00:00"/>
    <d v="2024-08-19T21:44:03"/>
    <x v="4"/>
    <n v="0"/>
    <d v="1899-12-30T00:00:00"/>
    <d v="2024-08-19T00:00:00"/>
    <d v="2024-08-19T21:44:03"/>
    <m/>
    <d v="1899-12-31T00:00:00"/>
    <d v="1899-12-31T00:00:00"/>
    <m/>
    <d v="1899-12-31T00:00:00"/>
    <d v="2024-08-20T19:15:38"/>
    <d v="2024-08-20T19:15:38"/>
    <m/>
    <s v="Se procede a realizar informé de compra de licencias  SAP, de años 2023 y 2024"/>
    <d v="2024-08-19T00:00:00"/>
    <s v="Se procede a realizar informé de compra de licencias  SAP, de años 2023 y 2024"/>
    <x v="3"/>
    <s v="Orden de compra"/>
    <x v="1"/>
    <s v="SAP"/>
    <m/>
    <m/>
    <s v="CANELLA, SOCIEDAD ANONIMA"/>
    <s v="INFORMATICA"/>
    <n v="4427"/>
    <n v="35"/>
    <s v="Mesa Ayuda Infraestructura"/>
    <n v="247813"/>
    <s v="OSCAR RAUL HERNANDEZ REYNA"/>
    <n v="299"/>
    <s v="CANELLA"/>
    <n v="6"/>
    <n v="5"/>
    <m/>
    <m/>
    <n v="1"/>
    <s v="CANELLA"/>
    <n v="299"/>
    <s v="Rosario Lic"/>
    <s v="&lt;p&gt;Se procede a realizar informé de compra de licencias&amp;nbsp; SAP, de años 2023 y 2024&lt;/p&gt;"/>
    <s v="normal"/>
    <s v="En proceso"/>
    <s v="Reporte por compra de licencias SAP en 2023 - 2024"/>
    <n v="71"/>
    <m/>
    <n v="27998"/>
    <m/>
    <s v="04025@general.tbd"/>
    <n v="27998"/>
    <n v="0"/>
    <n v="299"/>
    <n v="8777"/>
    <s v="Mesa Ayuda Infraestructura"/>
    <n v="0"/>
    <m/>
  </r>
  <r>
    <n v="4524"/>
    <n v="0.5"/>
    <d v="1899-12-30T00:30:00"/>
    <s v="50-Finalizado"/>
    <d v="1900-01-02T00:00:00"/>
    <x v="10"/>
    <d v="2024-08-19T00:00:00"/>
    <d v="2024-08-19T21:28:41"/>
    <x v="9"/>
    <n v="3.2783333333333302"/>
    <d v="1899-12-30T03:16:42"/>
    <d v="2024-08-19T00:00:00"/>
    <d v="2024-08-19T21:28:41"/>
    <m/>
    <d v="1899-12-31T00:00:00"/>
    <d v="2024-08-20T00:45:23"/>
    <m/>
    <d v="1899-12-31T00:00:00"/>
    <d v="2024-08-20T19:15:38"/>
    <d v="2024-08-20T19:15:38"/>
    <m/>
    <m/>
    <d v="2024-08-19T00:00:00"/>
    <s v="/"/>
    <x v="1"/>
    <s v="Configuracion Software"/>
    <x v="1"/>
    <s v="SAP"/>
    <s v="Reportería"/>
    <s v="Proyecto IT"/>
    <s v="CANELLA, SOCIEDAD ANONIMA"/>
    <s v="INFORMATICA"/>
    <n v="4426"/>
    <n v="35"/>
    <s v="Mesa Ayuda Infraestructura"/>
    <n v="247813"/>
    <s v="OSCAR RAUL HERNANDEZ REYNA"/>
    <n v="267"/>
    <s v="CANELLA"/>
    <n v="2"/>
    <n v="5"/>
    <n v="65"/>
    <n v="5"/>
    <n v="1"/>
    <s v="CANELLA"/>
    <n v="267"/>
    <s v="Luis Prado"/>
    <m/>
    <s v="normal"/>
    <s v="En proceso"/>
    <s v="Estadística de asignación de Licencias"/>
    <n v="72"/>
    <b v="1"/>
    <s v="[27887]"/>
    <m/>
    <s v="04025@general.tbd"/>
    <n v="27887"/>
    <n v="0"/>
    <n v="267"/>
    <n v="8777"/>
    <s v="Mesa Ayuda Infraestructura"/>
    <n v="3.2783333333333302"/>
    <m/>
  </r>
  <r>
    <n v="4514"/>
    <n v="0.5"/>
    <d v="1899-12-30T00:30:00"/>
    <s v="50-Finalizado"/>
    <d v="1900-01-02T00:00:00"/>
    <x v="11"/>
    <d v="2024-08-19T00:00:00"/>
    <d v="2024-08-19T20:07:58"/>
    <x v="10"/>
    <n v="2.9802777777777698"/>
    <d v="1899-12-30T02:58:49"/>
    <d v="2024-08-19T00:00:00"/>
    <d v="2024-08-19T20:07:58"/>
    <m/>
    <d v="1899-12-31T00:00:00"/>
    <d v="2024-08-19T23:06:47"/>
    <m/>
    <d v="1899-12-31T00:00:00"/>
    <d v="2024-08-20T19:15:38"/>
    <d v="2024-08-20T19:15:38"/>
    <m/>
    <m/>
    <d v="2024-08-19T00:00:00"/>
    <s v="Se soluciono pero dependía del departamento de contabilidad ya se arreglo"/>
    <x v="0"/>
    <s v="Ajuste al Sistema"/>
    <x v="0"/>
    <s v="STOD"/>
    <s v="Módulo de Viáticos"/>
    <m/>
    <s v="VEHICULOS ECONOMICOS, SOCIEDAD ANONIMA"/>
    <s v="AGENCIA CENTRAL ZONA 9"/>
    <n v="4416"/>
    <n v="35"/>
    <s v="Mesa Ayuda Infraestructura"/>
    <n v="247805"/>
    <s v="HENRY DANILO ARCE DE PAZ"/>
    <n v="339"/>
    <s v="CANELLA"/>
    <n v="10"/>
    <n v="8"/>
    <n v="82"/>
    <m/>
    <n v="1"/>
    <s v="CANELLA"/>
    <n v="339"/>
    <s v="Alex Solorzano"/>
    <m/>
    <s v="normal"/>
    <s v="En proceso"/>
    <s v="No le deja imprimir liquidación del modulo de viaticos"/>
    <n v="72"/>
    <b v="1"/>
    <s v="[27907]"/>
    <m/>
    <s v="04105@general.tbd"/>
    <n v="27907"/>
    <n v="0"/>
    <n v="339"/>
    <n v="8777"/>
    <s v="Mesa Ayuda Infraestructura"/>
    <n v="2.9802777777777698"/>
    <m/>
  </r>
  <r>
    <n v="4510"/>
    <n v="1"/>
    <d v="1899-12-30T01:00:00"/>
    <s v="50-Finalizado"/>
    <d v="1900-01-02T00:00:00"/>
    <x v="12"/>
    <d v="2024-08-19T00:00:00"/>
    <d v="2024-08-19T18:34:21"/>
    <x v="11"/>
    <n v="3.5288888888888801"/>
    <d v="1899-12-30T03:31:44"/>
    <d v="2024-08-19T00:00:00"/>
    <d v="2024-08-19T18:34:21"/>
    <m/>
    <d v="1899-12-31T00:00:00"/>
    <d v="2024-08-19T22:06:05"/>
    <m/>
    <d v="1899-12-31T00:00:00"/>
    <d v="2024-08-20T19:15:38"/>
    <d v="2024-08-20T19:15:38"/>
    <m/>
    <m/>
    <d v="2024-08-19T00:00:00"/>
    <s v="/"/>
    <x v="1"/>
    <s v="Configuracion Software"/>
    <x v="1"/>
    <s v="SAP"/>
    <s v="Reportería"/>
    <s v="Proyecto IT"/>
    <s v="CANELLA, SOCIEDAD ANONIMA"/>
    <s v="INFORMATICA"/>
    <n v="4412"/>
    <n v="35"/>
    <s v="Mesa Ayuda Infraestructura"/>
    <n v="247813"/>
    <s v="OSCAR RAUL HERNANDEZ REYNA"/>
    <n v="267"/>
    <s v="CANELLA"/>
    <n v="2"/>
    <n v="5"/>
    <n v="65"/>
    <n v="5"/>
    <n v="1"/>
    <s v="CANELLA"/>
    <n v="267"/>
    <s v="Luis Prado"/>
    <m/>
    <s v="normal"/>
    <s v="En proceso"/>
    <s v="Listado de Licencias Actuales"/>
    <n v="72"/>
    <b v="1"/>
    <n v="27860"/>
    <m/>
    <s v="04025@general.tbd"/>
    <n v="27889"/>
    <n v="0"/>
    <n v="267"/>
    <n v="8777"/>
    <s v="Mesa Ayuda Infraestructura"/>
    <n v="3.5288888888888801"/>
    <m/>
  </r>
  <r>
    <n v="4510"/>
    <n v="1.5"/>
    <d v="1899-12-30T01:30:00"/>
    <s v="50-Finalizado"/>
    <d v="1900-01-02T00:00:00"/>
    <x v="12"/>
    <d v="2024-08-19T00:00:00"/>
    <d v="2024-08-19T18:34:21"/>
    <x v="11"/>
    <n v="3.5288888888888801"/>
    <d v="1899-12-30T03:31:44"/>
    <d v="2024-08-19T00:00:00"/>
    <d v="2024-08-19T18:34:21"/>
    <m/>
    <d v="1899-12-31T00:00:00"/>
    <d v="2024-08-19T22:06:05"/>
    <m/>
    <d v="1899-12-31T00:00:00"/>
    <d v="2024-08-20T19:15:38"/>
    <d v="2024-08-20T19:15:38"/>
    <m/>
    <m/>
    <d v="2024-08-19T00:00:00"/>
    <s v="/"/>
    <x v="1"/>
    <s v="Configuracion Software"/>
    <x v="1"/>
    <s v="SAP"/>
    <s v="Reportería"/>
    <s v="Proyecto IT"/>
    <s v="CANELLA, SOCIEDAD ANONIMA"/>
    <s v="INFORMATICA"/>
    <n v="4412"/>
    <n v="35"/>
    <s v="Mesa Ayuda Infraestructura"/>
    <n v="247813"/>
    <s v="OSCAR RAUL HERNANDEZ REYNA"/>
    <n v="267"/>
    <s v="CANELLA"/>
    <n v="2"/>
    <n v="5"/>
    <n v="65"/>
    <n v="5"/>
    <n v="1"/>
    <s v="CANELLA"/>
    <n v="267"/>
    <s v="Luis Prado"/>
    <m/>
    <s v="normal"/>
    <s v="En proceso"/>
    <s v="Listado de Licencias Actuales"/>
    <n v="72"/>
    <b v="1"/>
    <n v="27860"/>
    <m/>
    <s v="04025@general.tbd"/>
    <n v="27860"/>
    <n v="0"/>
    <n v="267"/>
    <n v="8777"/>
    <s v="Mesa Ayuda Infraestructura"/>
    <n v="3.5288888888888801"/>
    <m/>
  </r>
  <r>
    <n v="4488"/>
    <n v="0.233333333333333"/>
    <d v="1899-12-30T00:14:00"/>
    <s v="50-Finalizado"/>
    <d v="1900-01-02T00:00:00"/>
    <x v="13"/>
    <d v="2024-08-19T00:00:00"/>
    <d v="2024-08-19T17:14:55"/>
    <x v="12"/>
    <n v="0.24"/>
    <d v="1899-12-30T00:14:24"/>
    <d v="2024-08-19T00:00:00"/>
    <d v="2024-08-19T17:14:55"/>
    <m/>
    <d v="1899-12-31T00:00:00"/>
    <d v="2024-08-19T17:29:19"/>
    <m/>
    <d v="1899-12-31T00:00:00"/>
    <d v="2024-08-20T19:15:38"/>
    <d v="2024-08-20T19:15:38"/>
    <m/>
    <m/>
    <d v="2024-08-19T00:00:00"/>
    <s v="/"/>
    <x v="2"/>
    <s v="Actualización de Datos"/>
    <x v="1"/>
    <s v="STOD"/>
    <s v="Contratos de Mantto."/>
    <m/>
    <s v="CANELLA, SOCIEDAD ANONIMA"/>
    <s v="ISUZU RIO HONDO"/>
    <n v="4390"/>
    <n v="35"/>
    <s v="Mesa Ayuda Infraestructura"/>
    <n v="247801"/>
    <s v="LEBI ELIU OAJACA ACEITUNO"/>
    <n v="446"/>
    <s v="CANELLA"/>
    <n v="11"/>
    <n v="8"/>
    <n v="37"/>
    <m/>
    <n v="1"/>
    <s v="CANELLA"/>
    <n v="446"/>
    <s v="Ester Daniela Lopez Cruz"/>
    <m/>
    <s v="normal"/>
    <s v="En proceso"/>
    <s v="Cambio de códigos de artículos en contrato de mantenimiento 91"/>
    <n v="72"/>
    <b v="1"/>
    <s v="[27828]"/>
    <m/>
    <s v="04181@general.tbd"/>
    <n v="27828"/>
    <n v="0"/>
    <n v="446"/>
    <n v="8777"/>
    <s v="Mesa Ayuda Infraestructura"/>
    <n v="0.24"/>
    <m/>
  </r>
  <r>
    <n v="4474"/>
    <n v="0.116666666666666"/>
    <d v="1899-12-30T00:07:00"/>
    <s v="50-Finalizado"/>
    <d v="1900-01-02T00:00:00"/>
    <x v="14"/>
    <d v="2024-08-19T00:00:00"/>
    <d v="2024-08-19T16:46:08"/>
    <x v="13"/>
    <n v="0.122222222222222"/>
    <d v="1899-12-30T00:07:20"/>
    <d v="2024-08-19T00:00:00"/>
    <d v="2024-08-19T16:46:08"/>
    <m/>
    <d v="1899-12-31T00:00:00"/>
    <d v="2024-08-19T16:53:28"/>
    <m/>
    <d v="1899-12-31T00:00:00"/>
    <d v="2024-08-20T19:15:38"/>
    <d v="2024-08-20T19:15:38"/>
    <m/>
    <m/>
    <d v="2024-08-19T00:00:00"/>
    <s v="Se cambio de contraseña de sap con éxito"/>
    <x v="0"/>
    <s v="Actualización de Datos"/>
    <x v="0"/>
    <s v="SAP"/>
    <s v="Otros (no específico)"/>
    <m/>
    <s v="CANELLA, SOCIEDAD ANONIMA"/>
    <s v="AGENCIA ISUZU MAJADAS"/>
    <n v="4376"/>
    <n v="35"/>
    <s v="Mesa Ayuda Infraestructura"/>
    <n v="246971"/>
    <s v="MARIA FERNANDA DIAZ CASTILLO"/>
    <n v="339"/>
    <s v="CANELLA"/>
    <n v="11"/>
    <n v="5"/>
    <n v="12"/>
    <m/>
    <n v="1"/>
    <s v="CANELLA"/>
    <n v="339"/>
    <s v="Alex Solorzano"/>
    <m/>
    <s v="normal"/>
    <s v="En proceso"/>
    <s v="Cambio de contraseña en sap"/>
    <n v="72"/>
    <b v="1"/>
    <s v="[27772]"/>
    <m/>
    <s v="06713@general.tbd"/>
    <n v="27772"/>
    <n v="0"/>
    <n v="339"/>
    <n v="8777"/>
    <s v="Mesa Ayuda Infraestructura"/>
    <n v="0.122222222222222"/>
    <m/>
  </r>
  <r>
    <n v="4472"/>
    <n v="0.25"/>
    <d v="1899-12-30T00:15:00"/>
    <s v="20-Asignado"/>
    <d v="1900-01-02T00:00:00"/>
    <x v="15"/>
    <d v="2024-08-23T00:00:00"/>
    <d v="2024-08-19T16:43:54"/>
    <x v="4"/>
    <n v="0"/>
    <d v="1899-12-30T00:00:00"/>
    <d v="2024-08-19T00:00:00"/>
    <d v="2024-08-19T16:43:54"/>
    <m/>
    <d v="1899-12-31T00:00:00"/>
    <d v="1899-12-31T00:00:00"/>
    <m/>
    <d v="1899-12-31T00:00:00"/>
    <d v="2024-08-20T19:15:38"/>
    <d v="2024-08-20T19:15:38"/>
    <m/>
    <m/>
    <d v="2024-08-20T00:00:00"/>
    <s v="Seguimiento de equipos de computo de nueva agencia Home Office Santalu - Jose Miguel Garcia"/>
    <x v="4"/>
    <s v="Configuracion Software"/>
    <x v="2"/>
    <m/>
    <m/>
    <m/>
    <s v="CANELLA, SOCIEDAD ANONIMA"/>
    <s v="INFORMATICA"/>
    <n v="4374"/>
    <n v="35"/>
    <s v="Mesa Ayuda Infraestructura"/>
    <n v="247552"/>
    <s v="YOSSELYN ANETT IGNACIO PASCUAL"/>
    <n v="458"/>
    <s v="CANELLA"/>
    <n v="2"/>
    <m/>
    <m/>
    <m/>
    <n v="1"/>
    <s v="CANELLA"/>
    <n v="458"/>
    <s v="Nery Ixcot"/>
    <m/>
    <s v="normal"/>
    <s v="En proceso"/>
    <s v="Seguimientos de tickes"/>
    <n v="69"/>
    <m/>
    <s v="[28098, 28078, 28059, 28058, 28048, 27766, 27765, 27764, 27763, 27762]"/>
    <m/>
    <s v="05681@general.tbd"/>
    <n v="28098"/>
    <n v="0"/>
    <n v="458"/>
    <n v="8777"/>
    <s v="Mesa Ayuda Infraestructura"/>
    <n v="0"/>
    <m/>
  </r>
  <r>
    <n v="4472"/>
    <n v="0.16666666666666599"/>
    <d v="1899-12-30T00:10:00"/>
    <s v="20-Asignado"/>
    <d v="1900-01-02T00:00:00"/>
    <x v="15"/>
    <d v="2024-08-23T00:00:00"/>
    <d v="2024-08-19T16:43:54"/>
    <x v="4"/>
    <n v="0"/>
    <d v="1899-12-30T00:00:00"/>
    <d v="2024-08-19T00:00:00"/>
    <d v="2024-08-19T16:43:54"/>
    <m/>
    <d v="1899-12-31T00:00:00"/>
    <d v="1899-12-31T00:00:00"/>
    <m/>
    <d v="1899-12-31T00:00:00"/>
    <d v="2024-08-20T19:15:38"/>
    <d v="2024-08-20T19:15:38"/>
    <m/>
    <m/>
    <d v="2024-08-20T00:00:00"/>
    <s v="Seguimiento de equipo de computo de Ulises Roman - Diagnostico"/>
    <x v="4"/>
    <s v="Configuracion Software"/>
    <x v="2"/>
    <m/>
    <m/>
    <m/>
    <s v="CANELLA, SOCIEDAD ANONIMA"/>
    <s v="INFORMATICA"/>
    <n v="4374"/>
    <n v="35"/>
    <s v="Mesa Ayuda Infraestructura"/>
    <n v="247552"/>
    <s v="YOSSELYN ANETT IGNACIO PASCUAL"/>
    <n v="458"/>
    <s v="CANELLA"/>
    <n v="2"/>
    <m/>
    <m/>
    <m/>
    <n v="1"/>
    <s v="CANELLA"/>
    <n v="458"/>
    <s v="Nery Ixcot"/>
    <m/>
    <s v="normal"/>
    <s v="En proceso"/>
    <s v="Seguimientos de tickes"/>
    <n v="69"/>
    <m/>
    <s v="[28098, 28078, 28059, 28058, 28048, 27766, 27765, 27764, 27763, 27762]"/>
    <m/>
    <s v="05681@general.tbd"/>
    <n v="28078"/>
    <n v="0"/>
    <n v="458"/>
    <n v="8777"/>
    <s v="Mesa Ayuda Infraestructura"/>
    <n v="0"/>
    <m/>
  </r>
  <r>
    <n v="4472"/>
    <n v="0.25"/>
    <d v="1899-12-30T00:15:00"/>
    <s v="20-Asignado"/>
    <d v="1900-01-02T00:00:00"/>
    <x v="15"/>
    <d v="2024-08-23T00:00:00"/>
    <d v="2024-08-19T16:43:54"/>
    <x v="4"/>
    <n v="0"/>
    <d v="1899-12-30T00:00:00"/>
    <d v="2024-08-19T00:00:00"/>
    <d v="2024-08-19T16:43:54"/>
    <m/>
    <d v="1899-12-31T00:00:00"/>
    <d v="1899-12-31T00:00:00"/>
    <m/>
    <d v="1899-12-31T00:00:00"/>
    <d v="2024-08-20T19:15:38"/>
    <d v="2024-08-20T19:15:38"/>
    <m/>
    <m/>
    <d v="2024-08-20T00:00:00"/>
    <s v="Seguimiento de correo de Juan Manuel, Cambio de maquina de escritorio a portátil de Miguel Lopez, programado para el 22/08"/>
    <x v="4"/>
    <s v="Configuracion Software"/>
    <x v="2"/>
    <m/>
    <m/>
    <m/>
    <s v="CANELLA, SOCIEDAD ANONIMA"/>
    <s v="INFORMATICA"/>
    <n v="4374"/>
    <n v="35"/>
    <s v="Mesa Ayuda Infraestructura"/>
    <n v="247552"/>
    <s v="YOSSELYN ANETT IGNACIO PASCUAL"/>
    <n v="458"/>
    <s v="CANELLA"/>
    <n v="2"/>
    <m/>
    <m/>
    <m/>
    <n v="1"/>
    <s v="CANELLA"/>
    <n v="458"/>
    <s v="Nery Ixcot"/>
    <m/>
    <s v="normal"/>
    <s v="En proceso"/>
    <s v="Seguimientos de tickes"/>
    <n v="69"/>
    <m/>
    <s v="[28098, 28078, 28059, 28058, 28048, 27766, 27765, 27764, 27763, 27762]"/>
    <m/>
    <s v="05681@general.tbd"/>
    <n v="28059"/>
    <n v="0"/>
    <n v="458"/>
    <n v="8777"/>
    <s v="Mesa Ayuda Infraestructura"/>
    <n v="0"/>
    <m/>
  </r>
  <r>
    <n v="4472"/>
    <n v="0.25"/>
    <d v="1899-12-30T00:15:00"/>
    <s v="20-Asignado"/>
    <d v="1900-01-02T00:00:00"/>
    <x v="15"/>
    <d v="2024-08-23T00:00:00"/>
    <d v="2024-08-19T16:43:54"/>
    <x v="4"/>
    <n v="0"/>
    <d v="1899-12-30T00:00:00"/>
    <d v="2024-08-19T00:00:00"/>
    <d v="2024-08-19T16:43:54"/>
    <m/>
    <d v="1899-12-31T00:00:00"/>
    <d v="1899-12-31T00:00:00"/>
    <m/>
    <d v="1899-12-31T00:00:00"/>
    <d v="2024-08-20T19:15:38"/>
    <d v="2024-08-20T19:15:38"/>
    <m/>
    <m/>
    <d v="2024-08-20T00:00:00"/>
    <s v="Seguimiento de desvio de correo de Yoselin Xiquin a Gustavo Castillo"/>
    <x v="4"/>
    <s v="Configuracion Software"/>
    <x v="2"/>
    <m/>
    <m/>
    <m/>
    <s v="CANELLA, SOCIEDAD ANONIMA"/>
    <s v="INFORMATICA"/>
    <n v="4374"/>
    <n v="35"/>
    <s v="Mesa Ayuda Infraestructura"/>
    <n v="247552"/>
    <s v="YOSSELYN ANETT IGNACIO PASCUAL"/>
    <n v="458"/>
    <s v="CANELLA"/>
    <n v="2"/>
    <m/>
    <m/>
    <m/>
    <n v="1"/>
    <s v="CANELLA"/>
    <n v="458"/>
    <s v="Nery Ixcot"/>
    <m/>
    <s v="normal"/>
    <s v="En proceso"/>
    <s v="Seguimientos de tickes"/>
    <n v="69"/>
    <m/>
    <s v="[28098, 28078, 28059, 28058, 28048, 27766, 27765, 27764, 27763, 27762]"/>
    <m/>
    <s v="05681@general.tbd"/>
    <n v="28058"/>
    <n v="0"/>
    <n v="458"/>
    <n v="8777"/>
    <s v="Mesa Ayuda Infraestructura"/>
    <n v="0"/>
    <m/>
  </r>
  <r>
    <n v="4472"/>
    <n v="0.25"/>
    <d v="1899-12-30T00:15:00"/>
    <s v="20-Asignado"/>
    <d v="1900-01-02T00:00:00"/>
    <x v="15"/>
    <d v="2024-08-23T00:00:00"/>
    <d v="2024-08-19T16:43:54"/>
    <x v="4"/>
    <n v="0"/>
    <d v="1899-12-30T00:00:00"/>
    <d v="2024-08-19T00:00:00"/>
    <d v="2024-08-19T16:43:54"/>
    <m/>
    <d v="1899-12-31T00:00:00"/>
    <d v="1899-12-31T00:00:00"/>
    <m/>
    <d v="1899-12-31T00:00:00"/>
    <d v="2024-08-20T19:15:38"/>
    <d v="2024-08-20T19:15:38"/>
    <m/>
    <m/>
    <d v="2024-08-20T00:00:00"/>
    <s v="Seguimiento de desvio de correo de Bladimir Guerra a David de Leon Juarez"/>
    <x v="4"/>
    <s v="Configuracion Software"/>
    <x v="2"/>
    <m/>
    <m/>
    <m/>
    <s v="CANELLA, SOCIEDAD ANONIMA"/>
    <s v="INFORMATICA"/>
    <n v="4374"/>
    <n v="35"/>
    <s v="Mesa Ayuda Infraestructura"/>
    <n v="247552"/>
    <s v="YOSSELYN ANETT IGNACIO PASCUAL"/>
    <n v="458"/>
    <s v="CANELLA"/>
    <n v="2"/>
    <m/>
    <m/>
    <m/>
    <n v="1"/>
    <s v="CANELLA"/>
    <n v="458"/>
    <s v="Nery Ixcot"/>
    <m/>
    <s v="normal"/>
    <s v="En proceso"/>
    <s v="Seguimientos de tickes"/>
    <n v="69"/>
    <m/>
    <s v="[28098, 28078, 28059, 28058, 28048, 27766, 27765, 27764, 27763, 27762]"/>
    <m/>
    <s v="05681@general.tbd"/>
    <n v="28048"/>
    <n v="0"/>
    <n v="458"/>
    <n v="8777"/>
    <s v="Mesa Ayuda Infraestructura"/>
    <n v="0"/>
    <m/>
  </r>
  <r>
    <n v="4472"/>
    <n v="0.16666666666666599"/>
    <d v="1899-12-30T00:10:00"/>
    <s v="20-Asignado"/>
    <d v="1900-01-02T00:00:00"/>
    <x v="15"/>
    <d v="2024-08-23T00:00:00"/>
    <d v="2024-08-19T16:43:54"/>
    <x v="4"/>
    <n v="0"/>
    <d v="1899-12-30T00:00:00"/>
    <d v="2024-08-19T00:00:00"/>
    <d v="2024-08-19T16:43:54"/>
    <m/>
    <d v="1899-12-31T00:00:00"/>
    <d v="1899-12-31T00:00:00"/>
    <m/>
    <d v="1899-12-31T00:00:00"/>
    <d v="2024-08-20T19:15:38"/>
    <d v="2024-08-20T19:15:38"/>
    <m/>
    <m/>
    <d v="2024-08-19T00:00:00"/>
    <s v="Calendarización de equipo de computo de: Ingrid Garcia-Vesa"/>
    <x v="4"/>
    <s v="Configuracion Software"/>
    <x v="2"/>
    <m/>
    <m/>
    <m/>
    <s v="CANELLA, SOCIEDAD ANONIMA"/>
    <s v="INFORMATICA"/>
    <n v="4374"/>
    <n v="35"/>
    <s v="Mesa Ayuda Infraestructura"/>
    <n v="247552"/>
    <s v="YOSSELYN ANETT IGNACIO PASCUAL"/>
    <n v="458"/>
    <s v="CANELLA"/>
    <n v="2"/>
    <m/>
    <m/>
    <m/>
    <n v="1"/>
    <s v="CANELLA"/>
    <n v="458"/>
    <s v="Nery Ixcot"/>
    <m/>
    <s v="normal"/>
    <s v="En proceso"/>
    <s v="Seguimientos de tickes"/>
    <n v="69"/>
    <m/>
    <s v="[28098, 28078, 28059, 28058, 28048, 27766, 27765, 27764, 27763, 27762]"/>
    <m/>
    <s v="05681@general.tbd"/>
    <n v="27766"/>
    <n v="0"/>
    <n v="458"/>
    <n v="8777"/>
    <s v="Mesa Ayuda Infraestructura"/>
    <n v="0"/>
    <m/>
  </r>
  <r>
    <n v="4472"/>
    <n v="0.16666666666666599"/>
    <d v="1899-12-30T00:10:00"/>
    <s v="20-Asignado"/>
    <d v="1900-01-02T00:00:00"/>
    <x v="15"/>
    <d v="2024-08-23T00:00:00"/>
    <d v="2024-08-19T16:43:54"/>
    <x v="4"/>
    <n v="0"/>
    <d v="1899-12-30T00:00:00"/>
    <d v="2024-08-19T00:00:00"/>
    <d v="2024-08-19T16:43:54"/>
    <m/>
    <d v="1899-12-31T00:00:00"/>
    <d v="1899-12-31T00:00:00"/>
    <m/>
    <d v="1899-12-31T00:00:00"/>
    <d v="2024-08-20T19:15:38"/>
    <d v="2024-08-20T19:15:38"/>
    <m/>
    <m/>
    <d v="2024-08-19T00:00:00"/>
    <s v="Calendarización de equipo de computo de: Manuel Osorio-Corporativo"/>
    <x v="4"/>
    <s v="Configuracion Software"/>
    <x v="2"/>
    <m/>
    <m/>
    <m/>
    <s v="CANELLA, SOCIEDAD ANONIMA"/>
    <s v="INFORMATICA"/>
    <n v="4374"/>
    <n v="35"/>
    <s v="Mesa Ayuda Infraestructura"/>
    <n v="247552"/>
    <s v="YOSSELYN ANETT IGNACIO PASCUAL"/>
    <n v="458"/>
    <s v="CANELLA"/>
    <n v="2"/>
    <m/>
    <m/>
    <m/>
    <n v="1"/>
    <s v="CANELLA"/>
    <n v="458"/>
    <s v="Nery Ixcot"/>
    <m/>
    <s v="normal"/>
    <s v="En proceso"/>
    <s v="Seguimientos de tickes"/>
    <n v="69"/>
    <m/>
    <s v="[28098, 28078, 28059, 28058, 28048, 27766, 27765, 27764, 27763, 27762]"/>
    <m/>
    <s v="05681@general.tbd"/>
    <n v="27765"/>
    <n v="0"/>
    <n v="458"/>
    <n v="8777"/>
    <s v="Mesa Ayuda Infraestructura"/>
    <n v="0"/>
    <m/>
  </r>
  <r>
    <n v="4472"/>
    <n v="0.16666666666666599"/>
    <d v="1899-12-30T00:10:00"/>
    <s v="20-Asignado"/>
    <d v="1900-01-02T00:00:00"/>
    <x v="15"/>
    <d v="2024-08-23T00:00:00"/>
    <d v="2024-08-19T16:43:54"/>
    <x v="4"/>
    <n v="0"/>
    <d v="1899-12-30T00:00:00"/>
    <d v="2024-08-19T00:00:00"/>
    <d v="2024-08-19T16:43:54"/>
    <m/>
    <d v="1899-12-31T00:00:00"/>
    <d v="1899-12-31T00:00:00"/>
    <m/>
    <d v="1899-12-31T00:00:00"/>
    <d v="2024-08-20T19:15:38"/>
    <d v="2024-08-20T19:15:38"/>
    <m/>
    <m/>
    <d v="2024-08-19T00:00:00"/>
    <s v="Calendarización de equipo de computo de: Suly Chun-Contabilidad"/>
    <x v="4"/>
    <s v="Configuracion Software"/>
    <x v="2"/>
    <m/>
    <m/>
    <m/>
    <s v="CANELLA, SOCIEDAD ANONIMA"/>
    <s v="INFORMATICA"/>
    <n v="4374"/>
    <n v="35"/>
    <s v="Mesa Ayuda Infraestructura"/>
    <n v="247552"/>
    <s v="YOSSELYN ANETT IGNACIO PASCUAL"/>
    <n v="458"/>
    <s v="CANELLA"/>
    <n v="2"/>
    <m/>
    <m/>
    <m/>
    <n v="1"/>
    <s v="CANELLA"/>
    <n v="458"/>
    <s v="Nery Ixcot"/>
    <m/>
    <s v="normal"/>
    <s v="En proceso"/>
    <s v="Seguimientos de tickes"/>
    <n v="69"/>
    <m/>
    <s v="[28098, 28078, 28059, 28058, 28048, 27766, 27765, 27764, 27763, 27762]"/>
    <m/>
    <s v="05681@general.tbd"/>
    <n v="27764"/>
    <n v="0"/>
    <n v="458"/>
    <n v="8777"/>
    <s v="Mesa Ayuda Infraestructura"/>
    <n v="0"/>
    <m/>
  </r>
  <r>
    <n v="4472"/>
    <n v="0.16666666666666599"/>
    <d v="1899-12-30T00:10:00"/>
    <s v="20-Asignado"/>
    <d v="1900-01-02T00:00:00"/>
    <x v="15"/>
    <d v="2024-08-23T00:00:00"/>
    <d v="2024-08-19T16:43:54"/>
    <x v="4"/>
    <n v="0"/>
    <d v="1899-12-30T00:00:00"/>
    <d v="2024-08-19T00:00:00"/>
    <d v="2024-08-19T16:43:54"/>
    <m/>
    <d v="1899-12-31T00:00:00"/>
    <d v="1899-12-31T00:00:00"/>
    <m/>
    <d v="1899-12-31T00:00:00"/>
    <d v="2024-08-20T19:15:38"/>
    <d v="2024-08-20T19:15:38"/>
    <m/>
    <m/>
    <d v="2024-08-19T00:00:00"/>
    <s v="Calendarización de equipo de computo de: Lorena Cuzal-DFSK"/>
    <x v="4"/>
    <s v="Configuracion Software"/>
    <x v="2"/>
    <m/>
    <m/>
    <m/>
    <s v="CANELLA, SOCIEDAD ANONIMA"/>
    <s v="INFORMATICA"/>
    <n v="4374"/>
    <n v="35"/>
    <s v="Mesa Ayuda Infraestructura"/>
    <n v="247552"/>
    <s v="YOSSELYN ANETT IGNACIO PASCUAL"/>
    <n v="458"/>
    <s v="CANELLA"/>
    <n v="2"/>
    <m/>
    <m/>
    <m/>
    <n v="1"/>
    <s v="CANELLA"/>
    <n v="458"/>
    <s v="Nery Ixcot"/>
    <m/>
    <s v="normal"/>
    <s v="En proceso"/>
    <s v="Seguimientos de tickes"/>
    <n v="69"/>
    <m/>
    <s v="[28098, 28078, 28059, 28058, 28048, 27766, 27765, 27764, 27763, 27762]"/>
    <m/>
    <s v="05681@general.tbd"/>
    <n v="27763"/>
    <n v="0"/>
    <n v="458"/>
    <n v="8777"/>
    <s v="Mesa Ayuda Infraestructura"/>
    <n v="0"/>
    <m/>
  </r>
  <r>
    <n v="4472"/>
    <n v="0.16666666666666599"/>
    <d v="1899-12-30T00:10:00"/>
    <s v="20-Asignado"/>
    <d v="1900-01-02T00:00:00"/>
    <x v="15"/>
    <d v="2024-08-23T00:00:00"/>
    <d v="2024-08-19T16:43:54"/>
    <x v="4"/>
    <n v="0"/>
    <d v="1899-12-30T00:00:00"/>
    <d v="2024-08-19T00:00:00"/>
    <d v="2024-08-19T16:43:54"/>
    <m/>
    <d v="1899-12-31T00:00:00"/>
    <d v="1899-12-31T00:00:00"/>
    <m/>
    <d v="1899-12-31T00:00:00"/>
    <d v="2024-08-20T19:15:38"/>
    <d v="2024-08-20T19:15:38"/>
    <m/>
    <m/>
    <d v="2024-08-19T00:00:00"/>
    <s v="Calendarización de equipo de computo de: Brayan Caballeros-DFSK"/>
    <x v="4"/>
    <s v="Configuracion Software"/>
    <x v="2"/>
    <m/>
    <m/>
    <m/>
    <s v="CANELLA, SOCIEDAD ANONIMA"/>
    <s v="INFORMATICA"/>
    <n v="4374"/>
    <n v="35"/>
    <s v="Mesa Ayuda Infraestructura"/>
    <n v="247552"/>
    <s v="YOSSELYN ANETT IGNACIO PASCUAL"/>
    <n v="458"/>
    <s v="CANELLA"/>
    <n v="2"/>
    <m/>
    <m/>
    <m/>
    <n v="1"/>
    <s v="CANELLA"/>
    <n v="458"/>
    <s v="Nery Ixcot"/>
    <m/>
    <s v="normal"/>
    <s v="En proceso"/>
    <s v="Seguimientos de tickes"/>
    <n v="69"/>
    <m/>
    <s v="[28098, 28078, 28059, 28058, 28048, 27766, 27765, 27764, 27763, 27762]"/>
    <m/>
    <s v="05681@general.tbd"/>
    <n v="27762"/>
    <n v="0"/>
    <n v="458"/>
    <n v="8777"/>
    <s v="Mesa Ayuda Infraestructura"/>
    <n v="0"/>
    <m/>
  </r>
  <r>
    <n v="4469"/>
    <n v="0.266666666666666"/>
    <d v="1899-12-30T00:16:00"/>
    <s v="50-Finalizado"/>
    <d v="1900-01-02T00:00:00"/>
    <x v="16"/>
    <d v="2024-08-19T00:00:00"/>
    <d v="2024-08-19T16:28:46"/>
    <x v="14"/>
    <n v="0.27361111111111103"/>
    <d v="1899-12-30T00:16:25"/>
    <d v="2024-08-19T00:00:00"/>
    <d v="2024-08-19T16:28:46"/>
    <m/>
    <d v="1899-12-31T00:00:00"/>
    <d v="2024-08-19T16:45:11"/>
    <m/>
    <d v="1899-12-31T00:00:00"/>
    <d v="2024-08-20T19:15:38"/>
    <d v="2024-08-20T19:15:38"/>
    <m/>
    <m/>
    <d v="2024-08-19T00:00:00"/>
    <s v="Se cambio con exito el estado del proyecto y se verifico que no hubiera fallos"/>
    <x v="0"/>
    <s v="Actualización de Datos"/>
    <x v="0"/>
    <s v="STOD"/>
    <s v="Facturación Corporativo"/>
    <m/>
    <s v="CANELLA, SOCIEDAD ANONIMA"/>
    <s v="GERENCIA ADMINISTRATIVA/SERVICIOS TI CORPORATIVOS"/>
    <n v="4371"/>
    <n v="35"/>
    <s v="Mesa Ayuda Infraestructura"/>
    <n v="247488"/>
    <s v="DEIDY SAELA MORALES LOPEZ"/>
    <n v="339"/>
    <s v="CANELLA"/>
    <n v="11"/>
    <n v="8"/>
    <n v="69"/>
    <m/>
    <n v="1"/>
    <s v="CANELLA"/>
    <n v="339"/>
    <s v="Alex Solorzano"/>
    <m/>
    <s v="normal"/>
    <s v="En proceso"/>
    <s v="Cambiar el estado de un proyecto a cerrado"/>
    <n v="72"/>
    <b v="1"/>
    <s v="[27767]"/>
    <m/>
    <s v="05845@general.tbd"/>
    <n v="27767"/>
    <n v="0"/>
    <n v="339"/>
    <n v="8777"/>
    <s v="Mesa Ayuda Infraestructura"/>
    <n v="0.27361111111111103"/>
    <m/>
  </r>
  <r>
    <n v="4466"/>
    <n v="0"/>
    <d v="1899-12-30T00:00:00"/>
    <s v="50-Finalizado"/>
    <d v="1900-01-02T00:00:00"/>
    <x v="17"/>
    <d v="2024-08-19T00:00:00"/>
    <d v="2024-08-19T16:15:26"/>
    <x v="15"/>
    <n v="0.21416666666666601"/>
    <d v="1899-12-30T00:12:51"/>
    <d v="2024-08-19T00:00:00"/>
    <d v="2024-08-19T16:15:26"/>
    <m/>
    <d v="1899-12-31T00:00:00"/>
    <d v="2024-08-19T16:28:17"/>
    <m/>
    <d v="1899-12-31T00:00:00"/>
    <d v="2024-08-20T19:15:38"/>
    <d v="2024-08-20T19:15:38"/>
    <m/>
    <m/>
    <d v="2024-08-19T00:00:00"/>
    <s v="/"/>
    <x v="0"/>
    <s v="Ajuste al Sistema"/>
    <x v="0"/>
    <s v="SAP"/>
    <s v="Facturación, Notas Crédito"/>
    <m/>
    <s v="CANELLA, SOCIEDAD ANONIMA"/>
    <s v="YAMAHA ESKALA ROOSEVELT"/>
    <n v="4368"/>
    <n v="35"/>
    <s v="Mesa Ayuda Infraestructura"/>
    <n v="247290"/>
    <s v="MAGNO O BRAYN PEREZ SICAN"/>
    <n v="339"/>
    <s v="CANELLA"/>
    <n v="10"/>
    <n v="5"/>
    <n v="56"/>
    <m/>
    <n v="1"/>
    <s v="CANELLA"/>
    <n v="339"/>
    <s v="Alex Solorzano"/>
    <m/>
    <s v="normal"/>
    <s v="En proceso"/>
    <s v="Modulo de Facturación problemas en la serie"/>
    <n v="72"/>
    <b v="1"/>
    <n v="27751"/>
    <m/>
    <s v="06249@general.tbd"/>
    <n v="27752"/>
    <n v="0"/>
    <n v="339"/>
    <n v="8777"/>
    <s v="Mesa Ayuda Infraestructura"/>
    <n v="0.21416666666666601"/>
    <m/>
  </r>
  <r>
    <n v="4466"/>
    <n v="0.21666666666666601"/>
    <d v="1899-12-30T00:13:00"/>
    <s v="50-Finalizado"/>
    <d v="1900-01-02T00:00:00"/>
    <x v="17"/>
    <d v="2024-08-19T00:00:00"/>
    <d v="2024-08-19T16:15:26"/>
    <x v="15"/>
    <n v="0.21416666666666601"/>
    <d v="1899-12-30T00:12:51"/>
    <d v="2024-08-19T00:00:00"/>
    <d v="2024-08-19T16:15:26"/>
    <m/>
    <d v="1899-12-31T00:00:00"/>
    <d v="2024-08-19T16:28:17"/>
    <m/>
    <d v="1899-12-31T00:00:00"/>
    <d v="2024-08-20T19:15:38"/>
    <d v="2024-08-20T19:15:38"/>
    <m/>
    <m/>
    <d v="2024-08-19T00:00:00"/>
    <s v="/"/>
    <x v="0"/>
    <s v="Ajuste al Sistema"/>
    <x v="0"/>
    <s v="SAP"/>
    <s v="Facturación, Notas Crédito"/>
    <m/>
    <s v="CANELLA, SOCIEDAD ANONIMA"/>
    <s v="YAMAHA ESKALA ROOSEVELT"/>
    <n v="4368"/>
    <n v="35"/>
    <s v="Mesa Ayuda Infraestructura"/>
    <n v="247290"/>
    <s v="MAGNO O BRAYN PEREZ SICAN"/>
    <n v="339"/>
    <s v="CANELLA"/>
    <n v="10"/>
    <n v="5"/>
    <n v="56"/>
    <m/>
    <n v="1"/>
    <s v="CANELLA"/>
    <n v="339"/>
    <s v="Alex Solorzano"/>
    <m/>
    <s v="normal"/>
    <s v="En proceso"/>
    <s v="Modulo de Facturación problemas en la serie"/>
    <n v="72"/>
    <b v="1"/>
    <n v="27751"/>
    <m/>
    <s v="06249@general.tbd"/>
    <n v="27751"/>
    <n v="0"/>
    <n v="339"/>
    <n v="8777"/>
    <s v="Mesa Ayuda Infraestructura"/>
    <n v="0.21416666666666601"/>
    <m/>
  </r>
  <r>
    <n v="4461"/>
    <n v="2.6666666666666599"/>
    <d v="1899-12-30T02:40:00"/>
    <s v="50-Finalizado"/>
    <d v="1900-01-02T00:00:00"/>
    <x v="18"/>
    <d v="2024-08-19T00:00:00"/>
    <d v="2024-08-19T15:59:17"/>
    <x v="16"/>
    <n v="7.1824999999999903"/>
    <d v="1899-12-30T07:10:57"/>
    <d v="2024-08-19T00:00:00"/>
    <d v="2024-08-19T15:59:17"/>
    <m/>
    <d v="1899-12-31T00:00:00"/>
    <d v="2024-08-19T23:10:14"/>
    <m/>
    <d v="1899-12-31T00:00:00"/>
    <d v="2024-08-20T19:15:38"/>
    <d v="2024-08-20T19:15:38"/>
    <m/>
    <m/>
    <d v="2024-08-19T00:00:00"/>
    <s v="Pruebas de acciones en general de la cartera"/>
    <x v="0"/>
    <s v="Funcional"/>
    <x v="1"/>
    <s v="Odoo HP Helpdesk"/>
    <s v="Otros (no específico)"/>
    <s v="Proyecto A (de terceros)"/>
    <s v="CANELLA, SOCIEDAD ANONIMA"/>
    <s v="CENTRO DE COBRO"/>
    <n v="4363"/>
    <n v="35"/>
    <s v="Mesa Ayuda Infraestructura"/>
    <n v="246933"/>
    <s v="EDWARD ANTONY GARCIA ALVARADO"/>
    <n v="339"/>
    <s v="CANELLA"/>
    <n v="3"/>
    <n v="3"/>
    <n v="10"/>
    <n v="1"/>
    <n v="1"/>
    <s v="CANELLA"/>
    <n v="339"/>
    <s v="Alex Solorzano"/>
    <m/>
    <s v="normal"/>
    <s v="En proceso"/>
    <s v="Análisis de las pruebas de acciones y gestiones en la cartera"/>
    <n v="72"/>
    <b v="1"/>
    <s v="[27909, 27861, 27754]"/>
    <m/>
    <s v="06757@general.tbd"/>
    <n v="27909"/>
    <n v="0"/>
    <n v="339"/>
    <n v="8777"/>
    <s v="Mesa Ayuda Infraestructura"/>
    <n v="7.1824999999999903"/>
    <m/>
  </r>
  <r>
    <n v="4461"/>
    <n v="1.75"/>
    <d v="1899-12-30T01:45:00"/>
    <s v="50-Finalizado"/>
    <d v="1900-01-02T00:00:00"/>
    <x v="18"/>
    <d v="2024-08-19T00:00:00"/>
    <d v="2024-08-19T15:59:17"/>
    <x v="16"/>
    <n v="7.1824999999999903"/>
    <d v="1899-12-30T07:10:57"/>
    <d v="2024-08-19T00:00:00"/>
    <d v="2024-08-19T15:59:17"/>
    <m/>
    <d v="1899-12-31T00:00:00"/>
    <d v="2024-08-19T23:10:14"/>
    <m/>
    <d v="1899-12-31T00:00:00"/>
    <d v="2024-08-20T19:15:38"/>
    <d v="2024-08-20T19:15:38"/>
    <m/>
    <m/>
    <d v="2024-08-19T00:00:00"/>
    <s v="Arreglando problemas de los estados de la cartera"/>
    <x v="0"/>
    <s v="Funcional"/>
    <x v="1"/>
    <s v="Odoo HP Helpdesk"/>
    <s v="Otros (no específico)"/>
    <s v="Proyecto A (de terceros)"/>
    <s v="CANELLA, SOCIEDAD ANONIMA"/>
    <s v="CENTRO DE COBRO"/>
    <n v="4363"/>
    <n v="35"/>
    <s v="Mesa Ayuda Infraestructura"/>
    <n v="246933"/>
    <s v="EDWARD ANTONY GARCIA ALVARADO"/>
    <n v="339"/>
    <s v="CANELLA"/>
    <n v="3"/>
    <n v="3"/>
    <n v="10"/>
    <n v="1"/>
    <n v="1"/>
    <s v="CANELLA"/>
    <n v="339"/>
    <s v="Alex Solorzano"/>
    <m/>
    <s v="normal"/>
    <s v="En proceso"/>
    <s v="Análisis de las pruebas de acciones y gestiones en la cartera"/>
    <n v="72"/>
    <b v="1"/>
    <s v="[27909, 27861, 27754]"/>
    <m/>
    <s v="06757@general.tbd"/>
    <n v="27861"/>
    <n v="0"/>
    <n v="339"/>
    <n v="8777"/>
    <s v="Mesa Ayuda Infraestructura"/>
    <n v="7.1824999999999903"/>
    <m/>
  </r>
  <r>
    <n v="4461"/>
    <n v="3"/>
    <d v="1899-12-30T03:00:00"/>
    <s v="50-Finalizado"/>
    <d v="1900-01-02T00:00:00"/>
    <x v="18"/>
    <d v="2024-08-19T00:00:00"/>
    <d v="2024-08-19T15:59:17"/>
    <x v="16"/>
    <n v="7.1824999999999903"/>
    <d v="1899-12-30T07:10:57"/>
    <d v="2024-08-19T00:00:00"/>
    <d v="2024-08-19T15:59:17"/>
    <m/>
    <d v="1899-12-31T00:00:00"/>
    <d v="2024-08-19T23:10:14"/>
    <m/>
    <d v="1899-12-31T00:00:00"/>
    <d v="2024-08-20T19:15:38"/>
    <d v="2024-08-20T19:15:38"/>
    <m/>
    <m/>
    <d v="2024-08-19T00:00:00"/>
    <s v="Inicio de labores en odoo hacer pruebas desde las 7:00 AM"/>
    <x v="0"/>
    <s v="Funcional"/>
    <x v="1"/>
    <s v="Odoo HP Helpdesk"/>
    <s v="Otros (no específico)"/>
    <s v="Proyecto A (de terceros)"/>
    <s v="CANELLA, SOCIEDAD ANONIMA"/>
    <s v="CENTRO DE COBRO"/>
    <n v="4363"/>
    <n v="35"/>
    <s v="Mesa Ayuda Infraestructura"/>
    <n v="246933"/>
    <s v="EDWARD ANTONY GARCIA ALVARADO"/>
    <n v="339"/>
    <s v="CANELLA"/>
    <n v="3"/>
    <n v="3"/>
    <n v="10"/>
    <n v="1"/>
    <n v="1"/>
    <s v="CANELLA"/>
    <n v="339"/>
    <s v="Alex Solorzano"/>
    <m/>
    <s v="normal"/>
    <s v="En proceso"/>
    <s v="Análisis de las pruebas de acciones y gestiones en la cartera"/>
    <n v="72"/>
    <b v="1"/>
    <s v="[27909, 27861, 27754]"/>
    <m/>
    <s v="06757@general.tbd"/>
    <n v="27754"/>
    <n v="0"/>
    <n v="339"/>
    <n v="8777"/>
    <s v="Mesa Ayuda Infraestructura"/>
    <n v="7.1824999999999903"/>
    <m/>
  </r>
  <r>
    <n v="4459"/>
    <n v="1.6666666666666601E-2"/>
    <d v="1899-12-30T00:01:00"/>
    <s v="50-Finalizado"/>
    <d v="1900-01-02T00:00:00"/>
    <x v="19"/>
    <d v="2024-08-19T00:00:00"/>
    <d v="2024-08-19T15:56:18"/>
    <x v="17"/>
    <n v="3.52777777777777E-2"/>
    <d v="1899-12-30T00:02:07"/>
    <d v="2024-08-19T00:00:00"/>
    <d v="2024-08-19T15:56:18"/>
    <m/>
    <d v="1899-12-31T00:00:00"/>
    <d v="2024-08-19T15:58:25"/>
    <m/>
    <d v="1899-12-31T00:00:00"/>
    <d v="2024-08-20T19:15:38"/>
    <d v="2024-08-20T19:15:38"/>
    <s v="Resuelto"/>
    <s v="todo quedo bien el árbol ya esta actualizado"/>
    <d v="2024-08-19T00:00:00"/>
    <s v="prueba"/>
    <x v="1"/>
    <s v="Configuracion Software"/>
    <x v="0"/>
    <s v="SAP"/>
    <s v="Lentitud o Erores con Sistema"/>
    <s v="Proyecto IT"/>
    <s v="CANELLA, SOCIEDAD ANONIMA"/>
    <s v="INFORMATICA"/>
    <n v="4361"/>
    <n v="35"/>
    <s v="Mesa Ayuda Infraestructura"/>
    <n v="247813"/>
    <s v="OSCAR RAUL HERNANDEZ REYNA"/>
    <n v="267"/>
    <s v="CANELLA"/>
    <n v="2"/>
    <n v="5"/>
    <n v="58"/>
    <n v="5"/>
    <n v="1"/>
    <s v="CANELLA"/>
    <n v="267"/>
    <s v="Luis Prado"/>
    <m/>
    <s v="normal"/>
    <s v="En proceso"/>
    <s v="Sap Prueba"/>
    <n v="72"/>
    <b v="1"/>
    <s v="[27742]"/>
    <n v="2"/>
    <s v="04025@general.tbd"/>
    <n v="27742"/>
    <n v="0"/>
    <n v="267"/>
    <n v="8777"/>
    <s v="Mesa Ayuda Infraestructura"/>
    <n v="3.52777777777777E-2"/>
    <m/>
  </r>
  <r>
    <n v="4452"/>
    <n v="0.36666666666666597"/>
    <d v="1899-12-30T00:22:00"/>
    <s v="40-Esperando cliente"/>
    <d v="1900-01-02T00:00:00"/>
    <x v="20"/>
    <d v="2024-08-19T00:00:00"/>
    <d v="2024-08-19T15:46:56"/>
    <x v="4"/>
    <n v="0"/>
    <d v="1899-12-30T00:00:00"/>
    <d v="2024-08-19T00:00:00"/>
    <d v="2024-08-19T15:46:56"/>
    <m/>
    <d v="1899-12-31T00:00:00"/>
    <d v="1899-12-31T00:00:00"/>
    <m/>
    <d v="1899-12-31T00:00:00"/>
    <d v="2024-08-20T19:15:38"/>
    <d v="2024-08-20T19:15:38"/>
    <m/>
    <s v="Se procede a realizar la reserva de dominio ya que administrativo aun no compra el dominio (tiempo de reserva 3 días)"/>
    <d v="2024-08-19T00:00:00"/>
    <s v="comprobación de cuentas"/>
    <x v="3"/>
    <s v="Orden de compra"/>
    <x v="1"/>
    <s v="(N/A) Sin aplicación software"/>
    <s v="(N/A) Sin módulo"/>
    <m/>
    <s v="No Partner"/>
    <s v="No Partner"/>
    <n v="4354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realizar la reserva de dominio ya que administrativo aun no compra el dominio (tiempo de reserva 3 días)&lt;/p&gt;"/>
    <s v="normal"/>
    <s v="En proceso"/>
    <s v="Compra de Dominio canellaconecta.com.gt"/>
    <n v="71"/>
    <m/>
    <s v="[27784, 27771, 27733]"/>
    <m/>
    <s v="No Partner"/>
    <n v="27784"/>
    <n v="0"/>
    <n v="299"/>
    <n v="8777"/>
    <s v="Mesa Ayuda Infraestructura"/>
    <n v="0"/>
    <m/>
  </r>
  <r>
    <n v="4452"/>
    <n v="0.18333333333333299"/>
    <d v="1899-12-30T00:11:00"/>
    <s v="40-Esperando cliente"/>
    <d v="1900-01-02T00:00:00"/>
    <x v="20"/>
    <d v="2024-08-19T00:00:00"/>
    <d v="2024-08-19T15:46:56"/>
    <x v="4"/>
    <n v="0"/>
    <d v="1899-12-30T00:00:00"/>
    <d v="2024-08-19T00:00:00"/>
    <d v="2024-08-19T15:46:56"/>
    <m/>
    <d v="1899-12-31T00:00:00"/>
    <d v="1899-12-31T00:00:00"/>
    <m/>
    <d v="1899-12-31T00:00:00"/>
    <d v="2024-08-20T19:15:38"/>
    <d v="2024-08-20T19:15:38"/>
    <m/>
    <s v="Se procede a realizar la reserva de dominio ya que administrativo aun no compra el dominio (tiempo de reserva 3 días)"/>
    <d v="2024-08-19T00:00:00"/>
    <s v="Administrativo realiza pago a cuenta incorrecta la cual atrasara por 4 días mas la compra del dominio."/>
    <x v="3"/>
    <s v="Orden de compra"/>
    <x v="1"/>
    <s v="(N/A) Sin aplicación software"/>
    <s v="(N/A) Sin módulo"/>
    <m/>
    <s v="No Partner"/>
    <s v="No Partner"/>
    <n v="4354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realizar la reserva de dominio ya que administrativo aun no compra el dominio (tiempo de reserva 3 días)&lt;/p&gt;"/>
    <s v="normal"/>
    <s v="En proceso"/>
    <s v="Compra de Dominio canellaconecta.com.gt"/>
    <n v="71"/>
    <m/>
    <s v="[27784, 27771, 27733]"/>
    <m/>
    <s v="No Partner"/>
    <n v="27771"/>
    <n v="0"/>
    <n v="299"/>
    <n v="8777"/>
    <s v="Mesa Ayuda Infraestructura"/>
    <n v="0"/>
    <m/>
  </r>
  <r>
    <n v="4452"/>
    <n v="0.31666666666666599"/>
    <d v="1899-12-30T00:19:00"/>
    <s v="40-Esperando cliente"/>
    <d v="1900-01-02T00:00:00"/>
    <x v="20"/>
    <d v="2024-08-19T00:00:00"/>
    <d v="2024-08-19T15:46:56"/>
    <x v="4"/>
    <n v="0"/>
    <d v="1899-12-30T00:00:00"/>
    <d v="2024-08-19T00:00:00"/>
    <d v="2024-08-19T15:46:56"/>
    <m/>
    <d v="1899-12-31T00:00:00"/>
    <d v="1899-12-31T00:00:00"/>
    <m/>
    <d v="1899-12-31T00:00:00"/>
    <d v="2024-08-20T19:15:38"/>
    <d v="2024-08-20T19:15:38"/>
    <m/>
    <s v="Se procede a realizar la reserva de dominio ya que administrativo aun no compra el dominio (tiempo de reserva 3 días)"/>
    <d v="2024-08-19T00:00:00"/>
    <s v="Se procede a realizar la reserva de dominio ya que administrativo aun no compra el dominio (tiempo de reserva 3 días)"/>
    <x v="3"/>
    <s v="Orden de compra"/>
    <x v="1"/>
    <s v="(N/A) Sin aplicación software"/>
    <s v="(N/A) Sin módulo"/>
    <m/>
    <s v="No Partner"/>
    <s v="No Partner"/>
    <n v="4354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realizar la reserva de dominio ya que administrativo aun no compra el dominio (tiempo de reserva 3 días)&lt;/p&gt;"/>
    <s v="normal"/>
    <s v="En proceso"/>
    <s v="Compra de Dominio canellaconecta.com.gt"/>
    <n v="71"/>
    <m/>
    <s v="[27784, 27771, 27733]"/>
    <m/>
    <s v="No Partner"/>
    <n v="27733"/>
    <n v="0"/>
    <n v="299"/>
    <n v="8777"/>
    <s v="Mesa Ayuda Infraestructura"/>
    <n v="0"/>
    <m/>
  </r>
  <r>
    <n v="4443"/>
    <n v="0"/>
    <d v="1899-12-30T00:00:00"/>
    <s v="40-Esperando cliente"/>
    <d v="1900-01-02T00:00:00"/>
    <x v="21"/>
    <d v="2024-08-19T00:00:00"/>
    <d v="2024-08-19T15:16:48"/>
    <x v="4"/>
    <n v="0"/>
    <d v="1899-12-30T00:00:00"/>
    <d v="2024-08-19T00:00:00"/>
    <d v="2024-08-19T15:16:48"/>
    <m/>
    <d v="1899-12-31T00:00:00"/>
    <d v="1899-12-31T00:00:00"/>
    <m/>
    <d v="1899-12-31T00:00:00"/>
    <d v="2024-08-20T19:15:38"/>
    <d v="2024-08-20T19:15:38"/>
    <m/>
    <s v="Se procede a solicitar la documentación y los datos necesarios para el debido registro en SAP MAQUIPOS."/>
    <d v="2024-08-19T00:00:00"/>
    <s v="Se procede a solicitar la documentación y los datos necesarios para el debido registro en SAP MAQUIPOS."/>
    <x v="3"/>
    <s v="Orden de compra"/>
    <x v="1"/>
    <s v="(N/A) Sin aplicación software"/>
    <s v="(N/A) Sin módulo"/>
    <m/>
    <s v="No Partner"/>
    <s v="No Partner"/>
    <n v="4345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solicitar la documentación y los datos necesarios para el debido registro en SAP MAQUIPOS.&lt;/p&gt;"/>
    <s v="normal"/>
    <s v="En proceso"/>
    <s v="Registro de Imeqmo como proveedor de Maquipos"/>
    <n v="71"/>
    <m/>
    <s v="[27718]"/>
    <m/>
    <s v="No Partner"/>
    <n v="27718"/>
    <n v="0"/>
    <n v="299"/>
    <n v="8777"/>
    <s v="Mesa Ayuda Infraestructura"/>
    <n v="0"/>
    <m/>
  </r>
  <r>
    <n v="4442"/>
    <n v="0.5"/>
    <d v="1899-12-30T00:30:00"/>
    <s v="40-Esperando cliente"/>
    <d v="1900-01-02T00:00:00"/>
    <x v="22"/>
    <d v="2024-08-19T00:00:00"/>
    <d v="2024-08-19T15:13:25"/>
    <x v="4"/>
    <n v="0"/>
    <d v="1899-12-30T00:00:00"/>
    <d v="2024-08-19T00:00:00"/>
    <d v="2024-08-19T15:13:25"/>
    <m/>
    <d v="1899-12-31T00:00:00"/>
    <d v="1899-12-31T00:00:00"/>
    <m/>
    <d v="1899-12-31T00:00:00"/>
    <d v="2024-08-20T19:15:38"/>
    <d v="2024-08-20T19:15:38"/>
    <m/>
    <s v="Se procede a solicitar la documentación y los datos necesarios para el debido registro en SAP MAQUIPOS."/>
    <d v="2024-08-19T00:00:00"/>
    <s v="Verificación de roles administrativos (envió de contraseña de pago/tiempo de envió/persona administrativa/autorización)"/>
    <x v="3"/>
    <s v="Orden de compra"/>
    <x v="1"/>
    <s v="(N/A) Sin aplicación software"/>
    <s v="(N/A) Sin módulo"/>
    <m/>
    <s v="No Partner"/>
    <s v="No Partner"/>
    <n v="4344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solicitar la documentación y los datos necesarios para el debido registro en SAP MAQUIPOS.&lt;/p&gt;"/>
    <s v="normal"/>
    <s v="En proceso"/>
    <s v="Registro de MD Technology como proveedor de Maquipos"/>
    <n v="71"/>
    <m/>
    <n v="27716"/>
    <m/>
    <s v="No Partner"/>
    <n v="27795"/>
    <n v="0"/>
    <n v="299"/>
    <n v="8777"/>
    <s v="Mesa Ayuda Infraestructura"/>
    <n v="0"/>
    <m/>
  </r>
  <r>
    <n v="4442"/>
    <n v="0.233333333333333"/>
    <d v="1899-12-30T00:14:00"/>
    <s v="40-Esperando cliente"/>
    <d v="1900-01-02T00:00:00"/>
    <x v="22"/>
    <d v="2024-08-19T00:00:00"/>
    <d v="2024-08-19T15:13:25"/>
    <x v="4"/>
    <n v="0"/>
    <d v="1899-12-30T00:00:00"/>
    <d v="2024-08-19T00:00:00"/>
    <d v="2024-08-19T15:13:25"/>
    <m/>
    <d v="1899-12-31T00:00:00"/>
    <d v="1899-12-31T00:00:00"/>
    <m/>
    <d v="1899-12-31T00:00:00"/>
    <d v="2024-08-20T19:15:38"/>
    <d v="2024-08-20T19:15:38"/>
    <m/>
    <s v="Se procede a solicitar la documentación y los datos necesarios para el debido registro en SAP MAQUIPOS."/>
    <d v="2024-08-19T00:00:00"/>
    <s v="Se procede a solicitar la documentación y los datos necesarios para el debido registro en SAP MAQUIPOS."/>
    <x v="3"/>
    <s v="Orden de compra"/>
    <x v="1"/>
    <s v="(N/A) Sin aplicación software"/>
    <s v="(N/A) Sin módulo"/>
    <m/>
    <s v="No Partner"/>
    <s v="No Partner"/>
    <n v="4344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solicitar la documentación y los datos necesarios para el debido registro en SAP MAQUIPOS.&lt;/p&gt;"/>
    <s v="normal"/>
    <s v="En proceso"/>
    <s v="Registro de MD Technology como proveedor de Maquipos"/>
    <n v="71"/>
    <m/>
    <n v="27716"/>
    <m/>
    <s v="No Partner"/>
    <n v="27716"/>
    <n v="0"/>
    <n v="299"/>
    <n v="8777"/>
    <s v="Mesa Ayuda Infraestructura"/>
    <n v="0"/>
    <m/>
  </r>
  <r>
    <n v="4435"/>
    <n v="0.43333333333333302"/>
    <d v="1899-12-30T00:26:00"/>
    <s v="40-Esperando cliente"/>
    <d v="1900-01-02T00:00:00"/>
    <x v="23"/>
    <d v="2024-08-19T00:00:00"/>
    <d v="2024-08-19T14:50:23"/>
    <x v="4"/>
    <n v="0"/>
    <d v="1899-12-30T00:00:00"/>
    <d v="2024-08-19T00:00:00"/>
    <d v="2024-08-19T14:50:23"/>
    <m/>
    <d v="1899-12-31T00:00:00"/>
    <d v="1899-12-31T00:00:00"/>
    <m/>
    <d v="1899-12-31T00:00:00"/>
    <d v="2024-08-20T19:15:38"/>
    <d v="2024-08-20T19:15:38"/>
    <m/>
    <s v="Se procede a realizar la compra de artículos para uso de departamento de Informatica."/>
    <d v="2024-08-20T00:00:00"/>
    <s v="Verificación con bodega y Corporativo de traslados"/>
    <x v="3"/>
    <s v="Orden de compra"/>
    <x v="2"/>
    <s v="(N/A) Sin aplicación software"/>
    <s v="(N/A) Sin módulo"/>
    <m/>
    <s v="No Partner"/>
    <s v="No Partner"/>
    <n v="4337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realizar la compra de artículos para uso de departamento de Informatica.&lt;/p&gt;"/>
    <s v="normal"/>
    <s v="En proceso"/>
    <s v="Compra de artículos para oficina - Portal Compro -"/>
    <n v="71"/>
    <m/>
    <s v="[28032, 28022, 28016, 27712]"/>
    <m/>
    <s v="No Partner"/>
    <n v="28032"/>
    <n v="0"/>
    <n v="299"/>
    <n v="8777"/>
    <s v="Mesa Ayuda Infraestructura"/>
    <n v="0"/>
    <m/>
  </r>
  <r>
    <n v="4435"/>
    <n v="0.7"/>
    <d v="1899-12-30T00:42:00"/>
    <s v="40-Esperando cliente"/>
    <d v="1900-01-02T00:00:00"/>
    <x v="23"/>
    <d v="2024-08-19T00:00:00"/>
    <d v="2024-08-19T14:50:23"/>
    <x v="4"/>
    <n v="0"/>
    <d v="1899-12-30T00:00:00"/>
    <d v="2024-08-19T00:00:00"/>
    <d v="2024-08-19T14:50:23"/>
    <m/>
    <d v="1899-12-31T00:00:00"/>
    <d v="1899-12-31T00:00:00"/>
    <m/>
    <d v="1899-12-31T00:00:00"/>
    <d v="2024-08-20T19:15:38"/>
    <d v="2024-08-20T19:15:38"/>
    <m/>
    <s v="Se procede a realizar la compra de artículos para uso de departamento de Informatica."/>
    <d v="2024-08-20T00:00:00"/>
    <s v="Verificación de movimientos en traslado 10019924"/>
    <x v="3"/>
    <s v="Orden de compra"/>
    <x v="2"/>
    <s v="(N/A) Sin aplicación software"/>
    <s v="(N/A) Sin módulo"/>
    <m/>
    <s v="No Partner"/>
    <s v="No Partner"/>
    <n v="4337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realizar la compra de artículos para uso de departamento de Informatica.&lt;/p&gt;"/>
    <s v="normal"/>
    <s v="En proceso"/>
    <s v="Compra de artículos para oficina - Portal Compro -"/>
    <n v="71"/>
    <m/>
    <s v="[28032, 28022, 28016, 27712]"/>
    <m/>
    <s v="No Partner"/>
    <n v="28022"/>
    <n v="0"/>
    <n v="299"/>
    <n v="8777"/>
    <s v="Mesa Ayuda Infraestructura"/>
    <n v="0"/>
    <m/>
  </r>
  <r>
    <n v="4435"/>
    <n v="0.6"/>
    <d v="1899-12-30T00:36:00"/>
    <s v="40-Esperando cliente"/>
    <d v="1900-01-02T00:00:00"/>
    <x v="23"/>
    <d v="2024-08-19T00:00:00"/>
    <d v="2024-08-19T14:50:23"/>
    <x v="4"/>
    <n v="0"/>
    <d v="1899-12-30T00:00:00"/>
    <d v="2024-08-19T00:00:00"/>
    <d v="2024-08-19T14:50:23"/>
    <m/>
    <d v="1899-12-31T00:00:00"/>
    <d v="1899-12-31T00:00:00"/>
    <m/>
    <d v="1899-12-31T00:00:00"/>
    <d v="2024-08-20T19:15:38"/>
    <d v="2024-08-20T19:15:38"/>
    <m/>
    <s v="Se procede a realizar la compra de artículos para uso de departamento de Informatica."/>
    <d v="2024-08-19T00:00:00"/>
    <s v="Verificación de solicitud a bodega y traslados pendientes dentro de entrega"/>
    <x v="3"/>
    <s v="Orden de compra"/>
    <x v="2"/>
    <s v="(N/A) Sin aplicación software"/>
    <s v="(N/A) Sin módulo"/>
    <m/>
    <s v="No Partner"/>
    <s v="No Partner"/>
    <n v="4337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realizar la compra de artículos para uso de departamento de Informatica.&lt;/p&gt;"/>
    <s v="normal"/>
    <s v="En proceso"/>
    <s v="Compra de artículos para oficina - Portal Compro -"/>
    <n v="71"/>
    <m/>
    <s v="[28032, 28022, 28016, 27712]"/>
    <m/>
    <s v="No Partner"/>
    <n v="28016"/>
    <n v="0"/>
    <n v="299"/>
    <n v="8777"/>
    <s v="Mesa Ayuda Infraestructura"/>
    <n v="0"/>
    <m/>
  </r>
  <r>
    <n v="4435"/>
    <n v="0.35"/>
    <d v="1899-12-30T00:21:00"/>
    <s v="40-Esperando cliente"/>
    <d v="1900-01-02T00:00:00"/>
    <x v="23"/>
    <d v="2024-08-19T00:00:00"/>
    <d v="2024-08-19T14:50:23"/>
    <x v="4"/>
    <n v="0"/>
    <d v="1899-12-30T00:00:00"/>
    <d v="2024-08-19T00:00:00"/>
    <d v="2024-08-19T14:50:23"/>
    <m/>
    <d v="1899-12-31T00:00:00"/>
    <d v="1899-12-31T00:00:00"/>
    <m/>
    <d v="1899-12-31T00:00:00"/>
    <d v="2024-08-20T19:15:38"/>
    <d v="2024-08-20T19:15:38"/>
    <m/>
    <s v="Se procede a realizar la compra de artículos para uso de departamento de Informatica."/>
    <d v="2024-08-19T00:00:00"/>
    <s v="Se procede a realizar la compra de artículos para uso de departamento de Informatica."/>
    <x v="3"/>
    <s v="Orden de compra"/>
    <x v="2"/>
    <s v="(N/A) Sin aplicación software"/>
    <s v="(N/A) Sin módulo"/>
    <m/>
    <s v="No Partner"/>
    <s v="No Partner"/>
    <n v="4337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realizar la compra de artículos para uso de departamento de Informatica.&lt;/p&gt;"/>
    <s v="normal"/>
    <s v="En proceso"/>
    <s v="Compra de artículos para oficina - Portal Compro -"/>
    <n v="71"/>
    <m/>
    <s v="[28032, 28022, 28016, 27712]"/>
    <m/>
    <s v="No Partner"/>
    <n v="27712"/>
    <n v="0"/>
    <n v="299"/>
    <n v="8777"/>
    <s v="Mesa Ayuda Infraestructura"/>
    <n v="0"/>
    <m/>
  </r>
  <r>
    <n v="4433"/>
    <n v="3.5"/>
    <d v="1899-12-30T03:30:00"/>
    <s v="50-Finalizado"/>
    <d v="1900-01-02T00:00:00"/>
    <x v="24"/>
    <d v="2024-08-19T00:00:00"/>
    <d v="2024-08-19T14:43:10"/>
    <x v="18"/>
    <n v="4.3994444444444403"/>
    <d v="1899-12-30T04:23:58"/>
    <d v="2024-08-19T00:00:00"/>
    <d v="2024-08-19T14:43:10"/>
    <m/>
    <d v="1899-12-31T00:00:00"/>
    <d v="2024-08-19T19:07:08"/>
    <m/>
    <d v="1899-12-31T00:00:00"/>
    <d v="2024-08-20T19:15:38"/>
    <d v="2024-08-20T19:15:38"/>
    <m/>
    <m/>
    <d v="2024-08-19T00:00:00"/>
    <s v="/"/>
    <x v="1"/>
    <s v="Actualización de Datos"/>
    <x v="2"/>
    <s v="Página WEB"/>
    <s v="Administración"/>
    <s v="Proyecto IT"/>
    <s v="CANELLA, SOCIEDAD ANONIMA"/>
    <s v="INFORMATICA"/>
    <n v="4335"/>
    <n v="35"/>
    <s v="Mesa Ayuda Infraestructura"/>
    <n v="247813"/>
    <s v="OSCAR RAUL HERNANDEZ REYNA"/>
    <n v="267"/>
    <s v="CANELLA"/>
    <n v="11"/>
    <n v="41"/>
    <n v="48"/>
    <n v="5"/>
    <n v="1"/>
    <s v="CANELLA"/>
    <n v="267"/>
    <s v="Luis Prado"/>
    <s v="&lt;p&gt;.&lt;/p&gt;"/>
    <s v="normal"/>
    <s v="En proceso"/>
    <s v="Análisis de Tickets y supervisión de personal de mesa de ayuda"/>
    <n v="72"/>
    <b v="1"/>
    <n v="27701"/>
    <m/>
    <s v="04025@general.tbd"/>
    <n v="27854"/>
    <n v="0"/>
    <n v="267"/>
    <n v="8777"/>
    <s v="Mesa Ayuda Infraestructura"/>
    <n v="4.3994444444444403"/>
    <m/>
  </r>
  <r>
    <n v="4433"/>
    <n v="0.33333333333333298"/>
    <d v="1899-12-30T00:20:00"/>
    <s v="50-Finalizado"/>
    <d v="1900-01-02T00:00:00"/>
    <x v="24"/>
    <d v="2024-08-19T00:00:00"/>
    <d v="2024-08-19T14:43:10"/>
    <x v="18"/>
    <n v="4.3994444444444403"/>
    <d v="1899-12-30T04:23:58"/>
    <d v="2024-08-19T00:00:00"/>
    <d v="2024-08-19T14:43:10"/>
    <m/>
    <d v="1899-12-31T00:00:00"/>
    <d v="2024-08-19T19:07:08"/>
    <m/>
    <d v="1899-12-31T00:00:00"/>
    <d v="2024-08-20T19:15:38"/>
    <d v="2024-08-20T19:15:38"/>
    <m/>
    <m/>
    <d v="2024-08-19T00:00:00"/>
    <s v="/"/>
    <x v="1"/>
    <s v="Actualización de Datos"/>
    <x v="2"/>
    <s v="Página WEB"/>
    <s v="Administración"/>
    <s v="Proyecto IT"/>
    <s v="CANELLA, SOCIEDAD ANONIMA"/>
    <s v="INFORMATICA"/>
    <n v="4335"/>
    <n v="35"/>
    <s v="Mesa Ayuda Infraestructura"/>
    <n v="247813"/>
    <s v="OSCAR RAUL HERNANDEZ REYNA"/>
    <n v="267"/>
    <s v="CANELLA"/>
    <n v="11"/>
    <n v="41"/>
    <n v="48"/>
    <n v="5"/>
    <n v="1"/>
    <s v="CANELLA"/>
    <n v="267"/>
    <s v="Luis Prado"/>
    <s v="&lt;p&gt;.&lt;/p&gt;"/>
    <s v="normal"/>
    <s v="En proceso"/>
    <s v="Análisis de Tickets y supervisión de personal de mesa de ayuda"/>
    <n v="72"/>
    <b v="1"/>
    <n v="27701"/>
    <m/>
    <s v="04025@general.tbd"/>
    <n v="27701"/>
    <n v="0"/>
    <n v="267"/>
    <n v="8777"/>
    <s v="Mesa Ayuda Infraestructura"/>
    <n v="4.3994444444444403"/>
    <m/>
  </r>
  <r>
    <n v="4306"/>
    <n v="0.1"/>
    <d v="1899-12-30T00:06:00"/>
    <s v="50-Finalizado"/>
    <d v="1900-01-02T00:00:00"/>
    <x v="25"/>
    <d v="2024-08-14T00:00:00"/>
    <d v="2024-08-14T14:41:02"/>
    <x v="19"/>
    <n v="0.99"/>
    <d v="1899-12-30T00:59:24"/>
    <d v="2024-08-14T00:00:00"/>
    <d v="2024-08-14T14:41:02"/>
    <m/>
    <d v="1899-12-31T00:00:00"/>
    <d v="2024-08-14T15:40:26"/>
    <m/>
    <d v="1899-12-31T00:00:00"/>
    <d v="2024-08-20T19:15:38"/>
    <d v="2024-08-20T19:15:38"/>
    <m/>
    <m/>
    <d v="2024-08-14T00:00:00"/>
    <s v="Se brindaron copias de OC de caso de accesorios solicitados por Corporativo."/>
    <x v="3"/>
    <s v="Generación de reportes"/>
    <x v="2"/>
    <s v="(N/A) Sin aplicación software"/>
    <s v="(N/A) Sin módulo"/>
    <m/>
    <s v="CANELLA, SOCIEDAD ANONIMA"/>
    <s v="INFORMATICA"/>
    <n v="4208"/>
    <n v="35"/>
    <s v="Mesa Ayuda Infraestructura"/>
    <n v="247813"/>
    <s v="OSCAR RAUL HERNANDEZ REYNA"/>
    <n v="299"/>
    <s v="CANELLA"/>
    <n v="9"/>
    <n v="6"/>
    <n v="13"/>
    <m/>
    <n v="1"/>
    <s v="CANELLA"/>
    <n v="299"/>
    <s v="Rosario Lic"/>
    <s v="&lt;p&gt;Se procedió a realizar validación física de bodega PM018 con Mario Morales.&lt;/p&gt;"/>
    <s v="normal"/>
    <s v="En proceso"/>
    <s v="INFORME DE AUDITORIA DE INVENTARIO, BODEGAS MOVILES DESPACHO_MO001, MO002, MO012 Y MOA02"/>
    <n v="72"/>
    <b v="1"/>
    <n v="26683"/>
    <m/>
    <s v="04025@general.tbd"/>
    <n v="26684"/>
    <n v="0"/>
    <n v="299"/>
    <n v="8777"/>
    <s v="Mesa Ayuda Infraestructura"/>
    <n v="0.99"/>
    <m/>
  </r>
  <r>
    <n v="4306"/>
    <n v="0.53333333333333299"/>
    <d v="1899-12-30T00:32:00"/>
    <s v="50-Finalizado"/>
    <d v="1900-01-02T00:00:00"/>
    <x v="25"/>
    <d v="2024-08-14T00:00:00"/>
    <d v="2024-08-14T14:41:02"/>
    <x v="19"/>
    <n v="0.99"/>
    <d v="1899-12-30T00:59:24"/>
    <d v="2024-08-14T00:00:00"/>
    <d v="2024-08-14T14:41:02"/>
    <m/>
    <d v="1899-12-31T00:00:00"/>
    <d v="2024-08-14T15:40:26"/>
    <m/>
    <d v="1899-12-31T00:00:00"/>
    <d v="2024-08-20T19:15:38"/>
    <d v="2024-08-20T19:15:38"/>
    <m/>
    <m/>
    <d v="2024-08-14T00:00:00"/>
    <s v="Se procedió a realizar validación física de bodega PM018 con Mario Morales."/>
    <x v="3"/>
    <s v="Generación de reportes"/>
    <x v="2"/>
    <s v="(N/A) Sin aplicación software"/>
    <s v="(N/A) Sin módulo"/>
    <m/>
    <s v="CANELLA, SOCIEDAD ANONIMA"/>
    <s v="INFORMATICA"/>
    <n v="4208"/>
    <n v="35"/>
    <s v="Mesa Ayuda Infraestructura"/>
    <n v="247813"/>
    <s v="OSCAR RAUL HERNANDEZ REYNA"/>
    <n v="299"/>
    <s v="CANELLA"/>
    <n v="9"/>
    <n v="6"/>
    <n v="13"/>
    <m/>
    <n v="1"/>
    <s v="CANELLA"/>
    <n v="299"/>
    <s v="Rosario Lic"/>
    <s v="&lt;p&gt;Se procedió a realizar validación física de bodega PM018 con Mario Morales.&lt;/p&gt;"/>
    <s v="normal"/>
    <s v="En proceso"/>
    <s v="INFORME DE AUDITORIA DE INVENTARIO, BODEGAS MOVILES DESPACHO_MO001, MO002, MO012 Y MOA02"/>
    <n v="72"/>
    <b v="1"/>
    <n v="26683"/>
    <m/>
    <s v="04025@general.tbd"/>
    <n v="26683"/>
    <n v="0"/>
    <n v="299"/>
    <n v="8777"/>
    <s v="Mesa Ayuda Infraestructura"/>
    <n v="0.99"/>
    <m/>
  </r>
  <r>
    <n v="4302"/>
    <n v="0.2"/>
    <d v="1899-12-30T00:12:00"/>
    <s v="50-Finalizado"/>
    <d v="1900-01-02T00:00:00"/>
    <x v="26"/>
    <d v="2024-08-13T00:00:00"/>
    <d v="2024-08-13T23:37:14"/>
    <x v="20"/>
    <n v="3.3333333333333298E-2"/>
    <d v="1899-12-30T00:02:00"/>
    <d v="2024-08-13T00:00:00"/>
    <d v="2024-08-13T23:37:14"/>
    <m/>
    <d v="1899-12-31T00:00:00"/>
    <d v="2024-08-13T23:39:14"/>
    <m/>
    <d v="1899-12-31T00:00:00"/>
    <d v="2024-08-20T19:15:38"/>
    <d v="2024-08-20T19:15:38"/>
    <m/>
    <m/>
    <d v="2024-08-13T00:00:00"/>
    <s v="Resolución de duda acerca de facturación por trabajo de instalación de planta."/>
    <x v="3"/>
    <s v="Orden de compra"/>
    <x v="2"/>
    <s v="(N/A) Sin aplicación software"/>
    <s v="(N/A) Sin módulo"/>
    <m/>
    <s v="CANELLA, SOCIEDAD ANONIMA"/>
    <s v="INFORMATICA"/>
    <n v="4204"/>
    <n v="35"/>
    <s v="Mesa Ayuda Infraestructura"/>
    <n v="247813"/>
    <s v="OSCAR RAUL HERNANDEZ REYNA"/>
    <n v="299"/>
    <s v="CANELLA"/>
    <n v="6"/>
    <n v="6"/>
    <n v="13"/>
    <m/>
    <n v="1"/>
    <s v="CANELLA"/>
    <n v="299"/>
    <s v="Rosario Lic"/>
    <s v="&lt;p&gt;Resolución de duda acerca de facturación por trabajo de instalación de planta.&lt;/p&gt;"/>
    <s v="normal"/>
    <s v="En proceso"/>
    <s v="OFERTA 00250 PLANTA TELEFÓNICA CANELLA UCM6304A"/>
    <n v="72"/>
    <b v="1"/>
    <s v="[26595]"/>
    <m/>
    <s v="04025@general.tbd"/>
    <n v="26595"/>
    <n v="0"/>
    <n v="299"/>
    <n v="8777"/>
    <s v="Mesa Ayuda Infraestructura"/>
    <n v="3.3333333333333298E-2"/>
    <m/>
  </r>
  <r>
    <n v="4298"/>
    <m/>
    <m/>
    <s v="50-Finalizado"/>
    <d v="1900-01-02T00:00:00"/>
    <x v="27"/>
    <d v="2024-08-19T00:00:00"/>
    <d v="2024-08-13T23:05:54"/>
    <x v="21"/>
    <n v="121.91638888888799"/>
    <d v="1900-01-04T01:54:59"/>
    <d v="2024-08-13T00:00:00"/>
    <d v="2024-08-13T23:05:54"/>
    <m/>
    <d v="1899-12-31T00:00:00"/>
    <d v="2024-08-19T01:00:53"/>
    <m/>
    <d v="1899-12-31T00:00:00"/>
    <d v="2024-08-20T19:15:38"/>
    <d v="2024-08-20T19:15:38"/>
    <m/>
    <m/>
    <m/>
    <m/>
    <x v="5"/>
    <s v="Funcional"/>
    <x v="2"/>
    <m/>
    <s v="Área Mesa de Ayuda"/>
    <m/>
    <s v="No Partner"/>
    <s v="No Partner"/>
    <n v="4200"/>
    <n v="35"/>
    <s v="Mesa Ayuda Infraestructura"/>
    <m/>
    <m/>
    <n v="281"/>
    <s v="CANELLA"/>
    <n v="3"/>
    <m/>
    <n v="8"/>
    <m/>
    <n v="1"/>
    <s v="CANELLA"/>
    <n v="281"/>
    <s v="Monica Barahona"/>
    <s v="&lt;p&gt;Cambio de contraseña a usuario en STOD&lt;/p&gt;"/>
    <s v="normal"/>
    <s v="En proceso"/>
    <s v="Cambio de contraseña en STOD"/>
    <n v="72"/>
    <b v="1"/>
    <s v="[]"/>
    <m/>
    <s v="No Partner"/>
    <m/>
    <m/>
    <m/>
    <m/>
    <m/>
    <n v="0"/>
    <m/>
  </r>
  <r>
    <n v="4297"/>
    <m/>
    <m/>
    <s v="50-Finalizado"/>
    <d v="1900-01-02T00:00:00"/>
    <x v="28"/>
    <d v="2024-08-13T00:00:00"/>
    <d v="2024-08-13T23:05:49"/>
    <x v="22"/>
    <n v="0.111944444444444"/>
    <d v="1899-12-30T00:06:43"/>
    <d v="2024-08-13T00:00:00"/>
    <d v="2024-08-13T23:05:49"/>
    <m/>
    <d v="1899-12-31T00:00:00"/>
    <d v="2024-08-13T23:12:32"/>
    <m/>
    <d v="1899-12-31T00:00:00"/>
    <d v="2024-08-20T19:15:38"/>
    <d v="2024-08-20T19:15:38"/>
    <m/>
    <m/>
    <m/>
    <m/>
    <x v="2"/>
    <s v="Capacitaciones"/>
    <x v="2"/>
    <s v="BitFile"/>
    <m/>
    <s v="Proyecto A (de terceros)"/>
    <s v="CANELLA, SOCIEDAD ANONIMA"/>
    <s v="INFORMATICA"/>
    <n v="4199"/>
    <n v="35"/>
    <s v="Mesa Ayuda Infraestructura"/>
    <n v="247630"/>
    <s v="LUIS FERNANDO PRADO PEREZ"/>
    <n v="446"/>
    <s v="CANELLA"/>
    <n v="4"/>
    <n v="15"/>
    <m/>
    <n v="1"/>
    <n v="1"/>
    <s v="CANELLA"/>
    <n v="446"/>
    <s v="Ester Daniela Lopez Cruz"/>
    <m/>
    <s v="normal"/>
    <s v="En proceso"/>
    <s v="Prueba de Ticket"/>
    <n v="72"/>
    <b v="1"/>
    <s v="[]"/>
    <m/>
    <s v="05352@general.tbd"/>
    <m/>
    <m/>
    <m/>
    <m/>
    <m/>
    <n v="0"/>
    <m/>
  </r>
  <r>
    <n v="4296"/>
    <n v="0.55000000000000004"/>
    <d v="1899-12-30T00:33:00"/>
    <s v="50-Finalizado"/>
    <d v="1900-01-02T00:00:00"/>
    <x v="29"/>
    <d v="2024-08-13T00:00:00"/>
    <d v="2024-08-13T23:03:26"/>
    <x v="23"/>
    <n v="4.5555555555555502E-2"/>
    <d v="1899-12-30T00:02:44"/>
    <d v="2024-08-13T00:00:00"/>
    <d v="2024-08-13T23:03:26"/>
    <m/>
    <d v="1899-12-31T00:00:00"/>
    <d v="2024-08-13T23:06:10"/>
    <m/>
    <d v="1899-12-31T00:00:00"/>
    <d v="2024-08-20T19:15:38"/>
    <d v="2024-08-20T19:15:38"/>
    <m/>
    <m/>
    <d v="2024-08-13T00:00:00"/>
    <s v="Se procede a realizar pruebas de reserva desde tablet de sala de reuniones grande."/>
    <x v="3"/>
    <s v="Capacitaciones"/>
    <x v="2"/>
    <s v="(N/A) Sin aplicación software"/>
    <s v="(N/A) Sin módulo"/>
    <m/>
    <s v="CANELLA, SOCIEDAD ANONIMA"/>
    <s v="PROYECTOS Y ORGANIZACION Y METODOS"/>
    <n v="4198"/>
    <n v="35"/>
    <s v="Mesa Ayuda Infraestructura"/>
    <n v="247393"/>
    <s v="MIGUEL EDUARDO PEREZ LOPEZ"/>
    <n v="299"/>
    <s v="CANELLA"/>
    <n v="4"/>
    <n v="6"/>
    <n v="13"/>
    <m/>
    <n v="1"/>
    <s v="CANELLA"/>
    <n v="299"/>
    <s v="Rosario Lic"/>
    <s v="&lt;p&gt;Se procede a realizar pruebas de reserva desde tablet de sala de reuniones grande.&lt;/p&gt;"/>
    <s v="normal"/>
    <s v="En proceso"/>
    <s v="Pruebas de reservación de sala grande con tablet instalada"/>
    <n v="72"/>
    <b v="1"/>
    <s v="[26566]"/>
    <m/>
    <s v="06031@general.tbd"/>
    <n v="26566"/>
    <n v="0"/>
    <n v="299"/>
    <n v="8777"/>
    <s v="Mesa Ayuda Infraestructura"/>
    <n v="4.5555555555555502E-2"/>
    <m/>
  </r>
  <r>
    <n v="4282"/>
    <n v="0.28333333333333299"/>
    <d v="1899-12-30T00:17:00"/>
    <s v="50-Finalizado"/>
    <d v="1900-01-02T00:00:00"/>
    <x v="30"/>
    <d v="2024-08-16T00:00:00"/>
    <d v="2024-08-13T21:15:09"/>
    <x v="4"/>
    <n v="0"/>
    <d v="1899-12-30T00:00:00"/>
    <d v="2024-08-13T00:00:00"/>
    <d v="2024-08-13T21:15:09"/>
    <m/>
    <d v="1899-12-31T00:00:00"/>
    <d v="1899-12-31T00:00:00"/>
    <m/>
    <d v="1899-12-31T00:00:00"/>
    <d v="2024-08-20T19:15:38"/>
    <d v="2024-08-20T19:15:38"/>
    <s v="Resuelto"/>
    <m/>
    <d v="2024-08-19T00:00:00"/>
    <s v="Firma y envió de orden de compra"/>
    <x v="3"/>
    <m/>
    <x v="2"/>
    <s v="SAP"/>
    <m/>
    <m/>
    <s v="CANELLA, SOCIEDAD ANONIMA"/>
    <s v="INFORMATICA"/>
    <n v="4184"/>
    <n v="35"/>
    <s v="Mesa Ayuda Infraestructura"/>
    <n v="247813"/>
    <s v="OSCAR RAUL HERNANDEZ REYNA"/>
    <n v="299"/>
    <s v="CANELLA"/>
    <m/>
    <n v="5"/>
    <m/>
    <m/>
    <n v="1"/>
    <s v="CANELLA"/>
    <n v="299"/>
    <s v="Rosario Lic"/>
    <s v="&lt;p&gt;Se procede a solicitar autorización para creación de orden de compra de Eduardo Neumann&amp;nbsp; &lt;/p&gt;"/>
    <s v="normal"/>
    <s v="En proceso"/>
    <s v="Solicitud de autorización y creación de orden de compra -Eduardo Neumann  -"/>
    <n v="72"/>
    <b v="1"/>
    <s v="[28002, 26820, 26525]"/>
    <n v="2"/>
    <s v="04025@general.tbd"/>
    <n v="28002"/>
    <n v="0"/>
    <n v="299"/>
    <n v="8777"/>
    <s v="Mesa Ayuda Infraestructura"/>
    <n v="0"/>
    <m/>
  </r>
  <r>
    <n v="4282"/>
    <n v="0.3"/>
    <d v="1899-12-30T00:18:00"/>
    <s v="50-Finalizado"/>
    <d v="1900-01-02T00:00:00"/>
    <x v="30"/>
    <d v="2024-08-16T00:00:00"/>
    <d v="2024-08-13T21:15:09"/>
    <x v="4"/>
    <n v="0"/>
    <d v="1899-12-30T00:00:00"/>
    <d v="2024-08-13T00:00:00"/>
    <d v="2024-08-13T21:15:09"/>
    <m/>
    <d v="1899-12-31T00:00:00"/>
    <d v="1899-12-31T00:00:00"/>
    <m/>
    <d v="1899-12-31T00:00:00"/>
    <d v="2024-08-20T19:15:38"/>
    <d v="2024-08-20T19:15:38"/>
    <s v="Resuelto"/>
    <m/>
    <d v="2024-08-14T00:00:00"/>
    <s v="Creación de orden de compra y firma de documento"/>
    <x v="3"/>
    <m/>
    <x v="2"/>
    <s v="SAP"/>
    <m/>
    <m/>
    <s v="CANELLA, SOCIEDAD ANONIMA"/>
    <s v="INFORMATICA"/>
    <n v="4184"/>
    <n v="35"/>
    <s v="Mesa Ayuda Infraestructura"/>
    <n v="247813"/>
    <s v="OSCAR RAUL HERNANDEZ REYNA"/>
    <n v="299"/>
    <s v="CANELLA"/>
    <m/>
    <n v="5"/>
    <m/>
    <m/>
    <n v="1"/>
    <s v="CANELLA"/>
    <n v="299"/>
    <s v="Rosario Lic"/>
    <s v="&lt;p&gt;Se procede a solicitar autorización para creación de orden de compra de Eduardo Neumann&amp;nbsp; &lt;/p&gt;"/>
    <s v="normal"/>
    <s v="En proceso"/>
    <s v="Solicitud de autorización y creación de orden de compra -Eduardo Neumann  -"/>
    <n v="72"/>
    <b v="1"/>
    <s v="[28002, 26820, 26525]"/>
    <n v="2"/>
    <s v="04025@general.tbd"/>
    <n v="26820"/>
    <n v="0"/>
    <n v="299"/>
    <n v="8777"/>
    <s v="Mesa Ayuda Infraestructura"/>
    <n v="0"/>
    <m/>
  </r>
  <r>
    <n v="4282"/>
    <n v="0.1"/>
    <d v="1899-12-30T00:06:00"/>
    <s v="50-Finalizado"/>
    <d v="1900-01-02T00:00:00"/>
    <x v="30"/>
    <d v="2024-08-16T00:00:00"/>
    <d v="2024-08-13T21:15:09"/>
    <x v="4"/>
    <n v="0"/>
    <d v="1899-12-30T00:00:00"/>
    <d v="2024-08-13T00:00:00"/>
    <d v="2024-08-13T21:15:09"/>
    <m/>
    <d v="1899-12-31T00:00:00"/>
    <d v="1899-12-31T00:00:00"/>
    <m/>
    <d v="1899-12-31T00:00:00"/>
    <d v="2024-08-20T19:15:38"/>
    <d v="2024-08-20T19:15:38"/>
    <s v="Resuelto"/>
    <m/>
    <d v="2024-08-13T00:00:00"/>
    <s v="Se procede a solicitar autorización para creación de orden de compra de Eduardo Neumann"/>
    <x v="3"/>
    <m/>
    <x v="2"/>
    <s v="SAP"/>
    <m/>
    <m/>
    <s v="CANELLA, SOCIEDAD ANONIMA"/>
    <s v="INFORMATICA"/>
    <n v="4184"/>
    <n v="35"/>
    <s v="Mesa Ayuda Infraestructura"/>
    <n v="247813"/>
    <s v="OSCAR RAUL HERNANDEZ REYNA"/>
    <n v="299"/>
    <s v="CANELLA"/>
    <m/>
    <n v="5"/>
    <m/>
    <m/>
    <n v="1"/>
    <s v="CANELLA"/>
    <n v="299"/>
    <s v="Rosario Lic"/>
    <s v="&lt;p&gt;Se procede a solicitar autorización para creación de orden de compra de Eduardo Neumann&amp;nbsp; &lt;/p&gt;"/>
    <s v="normal"/>
    <s v="En proceso"/>
    <s v="Solicitud de autorización y creación de orden de compra -Eduardo Neumann  -"/>
    <n v="72"/>
    <b v="1"/>
    <s v="[28002, 26820, 26525]"/>
    <n v="2"/>
    <s v="04025@general.tbd"/>
    <n v="26525"/>
    <n v="0"/>
    <n v="299"/>
    <n v="8777"/>
    <s v="Mesa Ayuda Infraestructura"/>
    <n v="0"/>
    <m/>
  </r>
  <r>
    <n v="4279"/>
    <n v="0.116666666666666"/>
    <d v="1899-12-30T00:07:00"/>
    <s v="50-Finalizado"/>
    <d v="1900-01-02T00:00:00"/>
    <x v="31"/>
    <d v="2024-08-19T00:00:00"/>
    <d v="2024-08-13T20:50:36"/>
    <x v="21"/>
    <n v="124.171388888888"/>
    <d v="1900-01-04T04:10:17"/>
    <d v="2024-08-13T00:00:00"/>
    <d v="2024-08-13T20:50:36"/>
    <m/>
    <d v="1899-12-31T00:00:00"/>
    <d v="2024-08-19T01:00:53"/>
    <m/>
    <d v="1899-12-31T00:00:00"/>
    <d v="2024-08-20T19:15:38"/>
    <d v="2024-08-20T19:15:38"/>
    <m/>
    <m/>
    <d v="2024-08-13T00:00:00"/>
    <s v="Envío de solicitud de compa"/>
    <x v="3"/>
    <s v="Configuracion Software"/>
    <x v="2"/>
    <m/>
    <m/>
    <m/>
    <s v="CANELLA, SOCIEDAD ANONIMA"/>
    <s v="UNIDAD DE SOLUCIONES DIGITALES"/>
    <n v="4181"/>
    <n v="35"/>
    <s v="Mesa Ayuda Infraestructura"/>
    <n v="247888"/>
    <s v="JUAN MANUEL SOTO GUTIERREZ"/>
    <n v="299"/>
    <s v="CANELLA"/>
    <n v="2"/>
    <m/>
    <m/>
    <m/>
    <n v="1"/>
    <s v="CANELLA"/>
    <n v="299"/>
    <s v="Rosario Lic"/>
    <m/>
    <s v="normal"/>
    <s v="En proceso"/>
    <s v="Compa de dominio DMZ Canella"/>
    <n v="72"/>
    <b v="1"/>
    <n v="26522"/>
    <m/>
    <s v="01599@general.tbd"/>
    <n v="26523"/>
    <n v="0"/>
    <n v="299"/>
    <n v="8777"/>
    <s v="Mesa Ayuda Infraestructura"/>
    <n v="124.171388888888"/>
    <m/>
  </r>
  <r>
    <n v="4279"/>
    <n v="0.3"/>
    <d v="1899-12-30T00:18:00"/>
    <s v="50-Finalizado"/>
    <d v="1900-01-02T00:00:00"/>
    <x v="31"/>
    <d v="2024-08-19T00:00:00"/>
    <d v="2024-08-13T20:50:36"/>
    <x v="21"/>
    <n v="124.171388888888"/>
    <d v="1900-01-04T04:10:17"/>
    <d v="2024-08-13T00:00:00"/>
    <d v="2024-08-13T20:50:36"/>
    <m/>
    <d v="1899-12-31T00:00:00"/>
    <d v="2024-08-19T01:00:53"/>
    <m/>
    <d v="1899-12-31T00:00:00"/>
    <d v="2024-08-20T19:15:38"/>
    <d v="2024-08-20T19:15:38"/>
    <m/>
    <m/>
    <d v="2024-08-13T00:00:00"/>
    <s v="Reserva de dominio"/>
    <x v="3"/>
    <s v="Configuracion Software"/>
    <x v="2"/>
    <m/>
    <m/>
    <m/>
    <s v="CANELLA, SOCIEDAD ANONIMA"/>
    <s v="UNIDAD DE SOLUCIONES DIGITALES"/>
    <n v="4181"/>
    <n v="35"/>
    <s v="Mesa Ayuda Infraestructura"/>
    <n v="247888"/>
    <s v="JUAN MANUEL SOTO GUTIERREZ"/>
    <n v="299"/>
    <s v="CANELLA"/>
    <n v="2"/>
    <m/>
    <m/>
    <m/>
    <n v="1"/>
    <s v="CANELLA"/>
    <n v="299"/>
    <s v="Rosario Lic"/>
    <m/>
    <s v="normal"/>
    <s v="En proceso"/>
    <s v="Compa de dominio DMZ Canella"/>
    <n v="72"/>
    <b v="1"/>
    <n v="26522"/>
    <m/>
    <s v="01599@general.tbd"/>
    <n v="26522"/>
    <n v="0"/>
    <n v="299"/>
    <n v="8777"/>
    <s v="Mesa Ayuda Infraestructura"/>
    <n v="124.171388888888"/>
    <m/>
  </r>
  <r>
    <n v="4265"/>
    <m/>
    <m/>
    <s v="50-Finalizado"/>
    <d v="1900-01-02T00:00:00"/>
    <x v="32"/>
    <d v="2024-08-13T00:00:00"/>
    <d v="2024-08-13T17:55:48"/>
    <x v="24"/>
    <n v="8.66666666666666E-2"/>
    <d v="1899-12-30T00:05:12"/>
    <d v="2024-08-13T00:00:00"/>
    <d v="2024-08-13T17:55:48"/>
    <m/>
    <d v="1899-12-31T00:00:00"/>
    <d v="2024-08-13T18:01:00"/>
    <b v="1"/>
    <d v="2024-08-13T18:01:00"/>
    <d v="2024-08-20T19:15:38"/>
    <d v="2024-08-20T19:15:38"/>
    <m/>
    <m/>
    <m/>
    <m/>
    <x v="0"/>
    <s v="Capacitaciones"/>
    <x v="2"/>
    <s v="Odoo HP Helpdesk"/>
    <s v="Otros (no específico)"/>
    <s v="Proyecto IT"/>
    <m/>
    <m/>
    <n v="4167"/>
    <n v="35"/>
    <s v="Mesa Ayuda Infraestructura"/>
    <n v="264"/>
    <s v="Julio de León"/>
    <n v="339"/>
    <s v="CANELLA"/>
    <n v="4"/>
    <n v="3"/>
    <n v="10"/>
    <n v="5"/>
    <n v="1"/>
    <s v="CANELLA"/>
    <n v="339"/>
    <s v="Alex Solorzano"/>
    <m/>
    <s v="normal"/>
    <s v="En proceso"/>
    <s v="Revisión de accesos con Julio de León"/>
    <n v="72"/>
    <b v="1"/>
    <s v="[]"/>
    <m/>
    <s v="No Extension.  partner_id: 264 -- user_id res.users(252,)"/>
    <m/>
    <m/>
    <m/>
    <m/>
    <m/>
    <n v="0"/>
    <m/>
  </r>
  <r>
    <n v="4255"/>
    <n v="2.4166666666666599"/>
    <d v="1899-12-30T02:25:00"/>
    <s v="50-Finalizado"/>
    <d v="1900-01-02T00:00:00"/>
    <x v="33"/>
    <d v="2024-08-16T00:00:00"/>
    <d v="2024-08-13T17:30:09"/>
    <x v="25"/>
    <n v="70.914444444444399"/>
    <d v="1900-01-01T22:54:52"/>
    <d v="2024-08-13T00:00:00"/>
    <d v="2024-08-13T17:30:09"/>
    <m/>
    <d v="1899-12-31T00:00:00"/>
    <d v="2024-08-16T16:25:01"/>
    <m/>
    <d v="1899-12-31T00:00:00"/>
    <d v="2024-08-20T19:15:38"/>
    <d v="2024-08-20T19:15:38"/>
    <m/>
    <m/>
    <d v="2024-08-16T00:00:00"/>
    <s v="Verificación y envío de distribución (no se brinda mayor información de parte del proveedor) con la poca información brindada no se logra encontrar los gastos de años anteriores"/>
    <x v="3"/>
    <m/>
    <x v="2"/>
    <m/>
    <m/>
    <m/>
    <s v="CANELLA, SOCIEDAD ANONIMA"/>
    <s v="INFORMATICA"/>
    <n v="4157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Se procede a verificar información de reporte de licencias con años anteriores para la asignación de centro de costo y si nu hubiera algún error de reporte o cruce de información con otros departamentos. &lt;/p&gt;"/>
    <s v="normal"/>
    <s v="En proceso"/>
    <s v="Distribución mensual de licencias Intcomex"/>
    <n v="72"/>
    <b v="1"/>
    <s v="[27066, 26888, 26824, 26796, 26460]"/>
    <m/>
    <s v="04025@general.tbd"/>
    <n v="27066"/>
    <n v="0"/>
    <n v="299"/>
    <n v="8777"/>
    <s v="Mesa Ayuda Infraestructura"/>
    <n v="70.914444444444399"/>
    <m/>
  </r>
  <r>
    <n v="4255"/>
    <n v="2.36666666666666"/>
    <d v="1899-12-30T02:22:00"/>
    <s v="50-Finalizado"/>
    <d v="1900-01-02T00:00:00"/>
    <x v="33"/>
    <d v="2024-08-16T00:00:00"/>
    <d v="2024-08-13T17:30:09"/>
    <x v="25"/>
    <n v="70.914444444444399"/>
    <d v="1900-01-01T22:54:52"/>
    <d v="2024-08-13T00:00:00"/>
    <d v="2024-08-13T17:30:09"/>
    <m/>
    <d v="1899-12-31T00:00:00"/>
    <d v="2024-08-16T16:25:01"/>
    <m/>
    <d v="1899-12-31T00:00:00"/>
    <d v="2024-08-20T19:15:38"/>
    <d v="2024-08-20T19:15:38"/>
    <m/>
    <m/>
    <d v="2024-08-14T00:00:00"/>
    <s v="Se procedió a solicitar informe con mayor detalle de compra y se procede a verificar y al envío de solicitud de orden de compra"/>
    <x v="3"/>
    <m/>
    <x v="2"/>
    <m/>
    <m/>
    <m/>
    <s v="CANELLA, SOCIEDAD ANONIMA"/>
    <s v="INFORMATICA"/>
    <n v="4157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Se procede a verificar información de reporte de licencias con años anteriores para la asignación de centro de costo y si nu hubiera algún error de reporte o cruce de información con otros departamentos. &lt;/p&gt;"/>
    <s v="normal"/>
    <s v="En proceso"/>
    <s v="Distribución mensual de licencias Intcomex"/>
    <n v="72"/>
    <b v="1"/>
    <s v="[27066, 26888, 26824, 26796, 26460]"/>
    <m/>
    <s v="04025@general.tbd"/>
    <n v="26888"/>
    <n v="0"/>
    <n v="299"/>
    <n v="8777"/>
    <s v="Mesa Ayuda Infraestructura"/>
    <n v="70.914444444444399"/>
    <m/>
  </r>
  <r>
    <n v="4255"/>
    <n v="1.36666666666666"/>
    <d v="1899-12-30T01:22:00"/>
    <s v="50-Finalizado"/>
    <d v="1900-01-02T00:00:00"/>
    <x v="33"/>
    <d v="2024-08-16T00:00:00"/>
    <d v="2024-08-13T17:30:09"/>
    <x v="25"/>
    <n v="70.914444444444399"/>
    <d v="1900-01-01T22:54:52"/>
    <d v="2024-08-13T00:00:00"/>
    <d v="2024-08-13T17:30:09"/>
    <m/>
    <d v="1899-12-31T00:00:00"/>
    <d v="2024-08-16T16:25:01"/>
    <m/>
    <d v="1899-12-31T00:00:00"/>
    <d v="2024-08-20T19:15:38"/>
    <d v="2024-08-20T19:15:38"/>
    <m/>
    <m/>
    <d v="2024-08-14T00:00:00"/>
    <s v="Se procedió a solicitar informe con mayor detalle de compra y se procede a verificar y al envío de solicitud de orden de compra"/>
    <x v="3"/>
    <m/>
    <x v="2"/>
    <m/>
    <m/>
    <m/>
    <s v="CANELLA, SOCIEDAD ANONIMA"/>
    <s v="INFORMATICA"/>
    <n v="4157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Se procede a verificar información de reporte de licencias con años anteriores para la asignación de centro de costo y si nu hubiera algún error de reporte o cruce de información con otros departamentos. &lt;/p&gt;"/>
    <s v="normal"/>
    <s v="En proceso"/>
    <s v="Distribución mensual de licencias Intcomex"/>
    <n v="72"/>
    <b v="1"/>
    <s v="[27066, 26888, 26824, 26796, 26460]"/>
    <m/>
    <s v="04025@general.tbd"/>
    <n v="26824"/>
    <n v="0"/>
    <n v="299"/>
    <n v="8777"/>
    <s v="Mesa Ayuda Infraestructura"/>
    <n v="70.914444444444399"/>
    <m/>
  </r>
  <r>
    <n v="4255"/>
    <n v="1.05"/>
    <d v="1899-12-30T01:03:00"/>
    <s v="50-Finalizado"/>
    <d v="1900-01-02T00:00:00"/>
    <x v="33"/>
    <d v="2024-08-16T00:00:00"/>
    <d v="2024-08-13T17:30:09"/>
    <x v="25"/>
    <n v="70.914444444444399"/>
    <d v="1900-01-01T22:54:52"/>
    <d v="2024-08-13T00:00:00"/>
    <d v="2024-08-13T17:30:09"/>
    <m/>
    <d v="1899-12-31T00:00:00"/>
    <d v="2024-08-16T16:25:01"/>
    <m/>
    <d v="1899-12-31T00:00:00"/>
    <d v="2024-08-20T19:15:38"/>
    <d v="2024-08-20T19:15:38"/>
    <m/>
    <m/>
    <d v="2024-08-14T00:00:00"/>
    <s v="Verificación y envío de distribución (no se brinda mayor información de parte del proveedor) con la poca información brindada no se logra encontrar los gastos de años anteriores"/>
    <x v="3"/>
    <m/>
    <x v="2"/>
    <m/>
    <m/>
    <m/>
    <s v="CANELLA, SOCIEDAD ANONIMA"/>
    <s v="INFORMATICA"/>
    <n v="4157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Se procede a verificar información de reporte de licencias con años anteriores para la asignación de centro de costo y si nu hubiera algún error de reporte o cruce de información con otros departamentos. &lt;/p&gt;"/>
    <s v="normal"/>
    <s v="En proceso"/>
    <s v="Distribución mensual de licencias Intcomex"/>
    <n v="72"/>
    <b v="1"/>
    <s v="[27066, 26888, 26824, 26796, 26460]"/>
    <m/>
    <s v="04025@general.tbd"/>
    <n v="26796"/>
    <n v="0"/>
    <n v="299"/>
    <n v="8777"/>
    <s v="Mesa Ayuda Infraestructura"/>
    <n v="70.914444444444399"/>
    <m/>
  </r>
  <r>
    <n v="4255"/>
    <n v="0.28333333333333299"/>
    <d v="1899-12-30T00:17:00"/>
    <s v="50-Finalizado"/>
    <d v="1900-01-02T00:00:00"/>
    <x v="33"/>
    <d v="2024-08-16T00:00:00"/>
    <d v="2024-08-13T17:30:09"/>
    <x v="25"/>
    <n v="70.914444444444399"/>
    <d v="1900-01-01T22:54:52"/>
    <d v="2024-08-13T00:00:00"/>
    <d v="2024-08-13T17:30:09"/>
    <m/>
    <d v="1899-12-31T00:00:00"/>
    <d v="2024-08-16T16:25:01"/>
    <m/>
    <d v="1899-12-31T00:00:00"/>
    <d v="2024-08-20T19:15:38"/>
    <d v="2024-08-20T19:15:38"/>
    <m/>
    <m/>
    <d v="2024-08-13T00:00:00"/>
    <s v="Se procede a verificar información de reporte de licencias con años anteriores para la asignación de centro de costo y si nu hubiera algún error de reporte o cruce de información con otros departamentos."/>
    <x v="3"/>
    <m/>
    <x v="2"/>
    <m/>
    <m/>
    <m/>
    <s v="CANELLA, SOCIEDAD ANONIMA"/>
    <s v="INFORMATICA"/>
    <n v="4157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Se procede a verificar información de reporte de licencias con años anteriores para la asignación de centro de costo y si nu hubiera algún error de reporte o cruce de información con otros departamentos. &lt;/p&gt;"/>
    <s v="normal"/>
    <s v="En proceso"/>
    <s v="Distribución mensual de licencias Intcomex"/>
    <n v="72"/>
    <b v="1"/>
    <s v="[27066, 26888, 26824, 26796, 26460]"/>
    <m/>
    <s v="04025@general.tbd"/>
    <n v="26460"/>
    <n v="0"/>
    <n v="299"/>
    <n v="8777"/>
    <s v="Mesa Ayuda Infraestructura"/>
    <n v="70.914444444444399"/>
    <m/>
  </r>
  <r>
    <n v="4229"/>
    <n v="8.3333333333333301E-2"/>
    <d v="1899-12-30T00:05:00"/>
    <s v="50-Finalizado"/>
    <d v="1900-01-02T00:00:00"/>
    <x v="34"/>
    <d v="2024-08-19T00:00:00"/>
    <d v="2024-08-13T15:24:03"/>
    <x v="21"/>
    <n v="129.613888888888"/>
    <d v="1900-01-04T09:36:50"/>
    <d v="2024-08-13T00:00:00"/>
    <d v="2024-08-13T15:24:03"/>
    <m/>
    <d v="1899-12-31T00:00:00"/>
    <d v="2024-08-19T01:00:53"/>
    <m/>
    <d v="1899-12-31T00:00:00"/>
    <d v="2024-08-20T19:15:38"/>
    <d v="2024-08-20T19:15:38"/>
    <m/>
    <m/>
    <d v="2024-08-13T00:00:00"/>
    <s v="Se procede a organizar reunión para instalación de drivers para proyección inalámbrica."/>
    <x v="3"/>
    <s v="Configuracion Software"/>
    <x v="2"/>
    <m/>
    <m/>
    <m/>
    <s v="CANELLA, SOCIEDAD ANONIMA"/>
    <s v="AUDITORIA INTERNA"/>
    <n v="4131"/>
    <n v="35"/>
    <s v="Mesa Ayuda Infraestructura"/>
    <n v="246831"/>
    <s v="HENRI DAVID RUIZ AMBELIS"/>
    <n v="299"/>
    <s v="CANELLA"/>
    <n v="2"/>
    <m/>
    <m/>
    <m/>
    <n v="1"/>
    <s v="CANELLA"/>
    <n v="299"/>
    <s v="Rosario Lic"/>
    <s v="&lt;p&gt;Se procede a organizar reunión para instalación de drivers para proyección inalámbrica.&lt;/p&gt;"/>
    <s v="normal"/>
    <s v="En proceso"/>
    <s v="Instalación de drivers"/>
    <n v="72"/>
    <b v="1"/>
    <s v="[26409]"/>
    <m/>
    <s v="06869@general.tbd"/>
    <n v="26409"/>
    <n v="0"/>
    <n v="299"/>
    <n v="8777"/>
    <s v="Mesa Ayuda Infraestructura"/>
    <n v="129.613888888888"/>
    <m/>
  </r>
  <r>
    <n v="4190"/>
    <n v="0.16666666666666599"/>
    <d v="1899-12-30T00:10:00"/>
    <s v="50-Finalizado"/>
    <d v="1900-01-02T00:00:00"/>
    <x v="35"/>
    <d v="2024-08-16T00:00:00"/>
    <d v="2024-08-12T17:54:59"/>
    <x v="26"/>
    <n v="93.088055555555499"/>
    <d v="1900-01-02T21:05:17"/>
    <d v="2024-08-12T00:00:00"/>
    <d v="2024-08-12T17:54:59"/>
    <m/>
    <d v="1899-12-31T00:00:00"/>
    <d v="2024-08-16T15:00:16"/>
    <m/>
    <d v="1899-12-31T00:00:00"/>
    <d v="2024-08-20T19:15:38"/>
    <d v="2024-08-20T19:15:38"/>
    <s v="Resuelto"/>
    <m/>
    <d v="2024-08-16T00:00:00"/>
    <s v="Entrega de equipo de computo"/>
    <x v="6"/>
    <s v="Configuracion Hardware"/>
    <x v="2"/>
    <s v="Laptop"/>
    <m/>
    <m/>
    <s v="CANELLA, SOCIEDAD ANONIMA"/>
    <s v="MOTUL"/>
    <n v="4092"/>
    <n v="35"/>
    <s v="Mesa Ayuda Infraestructura"/>
    <n v="246927"/>
    <s v="CARLOS ADOLFO RIVAS MENDEZ"/>
    <n v="2766"/>
    <s v="CANELLA"/>
    <n v="1"/>
    <n v="20"/>
    <m/>
    <m/>
    <n v="1"/>
    <s v="CANELLA"/>
    <n v="2766"/>
    <s v="José Julajuj Chumil"/>
    <m/>
    <s v="normal"/>
    <s v="En proceso"/>
    <s v="Cambio de disco Duro -Carlos Rivas-"/>
    <n v="72"/>
    <b v="1"/>
    <s v="[27016, 26425, 26295, 26293, 26228]"/>
    <n v="2"/>
    <s v="06763@general.tbd"/>
    <n v="27016"/>
    <n v="0"/>
    <n v="2766"/>
    <n v="8777"/>
    <s v="Mesa Ayuda Infraestructura"/>
    <n v="93.088055555555499"/>
    <m/>
  </r>
  <r>
    <n v="4190"/>
    <n v="0.5"/>
    <d v="1899-12-30T00:30:00"/>
    <s v="50-Finalizado"/>
    <d v="1900-01-02T00:00:00"/>
    <x v="35"/>
    <d v="2024-08-16T00:00:00"/>
    <d v="2024-08-12T17:54:59"/>
    <x v="26"/>
    <n v="93.088055555555499"/>
    <d v="1900-01-02T21:05:17"/>
    <d v="2024-08-12T00:00:00"/>
    <d v="2024-08-12T17:54:59"/>
    <m/>
    <d v="1899-12-31T00:00:00"/>
    <d v="2024-08-16T15:00:16"/>
    <m/>
    <d v="1899-12-31T00:00:00"/>
    <d v="2024-08-20T19:15:38"/>
    <d v="2024-08-20T19:15:38"/>
    <s v="Resuelto"/>
    <m/>
    <d v="2024-08-13T00:00:00"/>
    <s v="configuración de paquetes de office 365"/>
    <x v="6"/>
    <s v="Configuracion Hardware"/>
    <x v="2"/>
    <s v="Laptop"/>
    <m/>
    <m/>
    <s v="CANELLA, SOCIEDAD ANONIMA"/>
    <s v="MOTUL"/>
    <n v="4092"/>
    <n v="35"/>
    <s v="Mesa Ayuda Infraestructura"/>
    <n v="246927"/>
    <s v="CARLOS ADOLFO RIVAS MENDEZ"/>
    <n v="2766"/>
    <s v="CANELLA"/>
    <n v="1"/>
    <n v="20"/>
    <m/>
    <m/>
    <n v="1"/>
    <s v="CANELLA"/>
    <n v="2766"/>
    <s v="José Julajuj Chumil"/>
    <m/>
    <s v="normal"/>
    <s v="En proceso"/>
    <s v="Cambio de disco Duro -Carlos Rivas-"/>
    <n v="72"/>
    <b v="1"/>
    <s v="[27016, 26425, 26295, 26293, 26228]"/>
    <n v="2"/>
    <s v="06763@general.tbd"/>
    <n v="26425"/>
    <n v="0"/>
    <n v="2766"/>
    <n v="8777"/>
    <s v="Mesa Ayuda Infraestructura"/>
    <n v="93.088055555555499"/>
    <m/>
  </r>
  <r>
    <n v="4190"/>
    <n v="0.83333333333333304"/>
    <d v="1899-12-30T00:50:00"/>
    <s v="50-Finalizado"/>
    <d v="1900-01-02T00:00:00"/>
    <x v="35"/>
    <d v="2024-08-16T00:00:00"/>
    <d v="2024-08-12T17:54:59"/>
    <x v="26"/>
    <n v="93.088055555555499"/>
    <d v="1900-01-02T21:05:17"/>
    <d v="2024-08-12T00:00:00"/>
    <d v="2024-08-12T17:54:59"/>
    <m/>
    <d v="1899-12-31T00:00:00"/>
    <d v="2024-08-16T15:00:16"/>
    <m/>
    <d v="1899-12-31T00:00:00"/>
    <d v="2024-08-20T19:15:38"/>
    <d v="2024-08-20T19:15:38"/>
    <s v="Resuelto"/>
    <m/>
    <d v="2024-08-12T00:00:00"/>
    <s v="Traslado de archivos a nuevo equipo"/>
    <x v="6"/>
    <s v="Configuracion Hardware"/>
    <x v="2"/>
    <s v="Laptop"/>
    <m/>
    <m/>
    <s v="CANELLA, SOCIEDAD ANONIMA"/>
    <s v="MOTUL"/>
    <n v="4092"/>
    <n v="35"/>
    <s v="Mesa Ayuda Infraestructura"/>
    <n v="246927"/>
    <s v="CARLOS ADOLFO RIVAS MENDEZ"/>
    <n v="2766"/>
    <s v="CANELLA"/>
    <n v="1"/>
    <n v="20"/>
    <m/>
    <m/>
    <n v="1"/>
    <s v="CANELLA"/>
    <n v="2766"/>
    <s v="José Julajuj Chumil"/>
    <m/>
    <s v="normal"/>
    <s v="En proceso"/>
    <s v="Cambio de disco Duro -Carlos Rivas-"/>
    <n v="72"/>
    <b v="1"/>
    <s v="[27016, 26425, 26295, 26293, 26228]"/>
    <n v="2"/>
    <s v="06763@general.tbd"/>
    <n v="26295"/>
    <n v="0"/>
    <n v="2766"/>
    <n v="8777"/>
    <s v="Mesa Ayuda Infraestructura"/>
    <n v="93.088055555555499"/>
    <m/>
  </r>
  <r>
    <n v="4190"/>
    <n v="1"/>
    <d v="1899-12-30T01:00:00"/>
    <s v="50-Finalizado"/>
    <d v="1900-01-02T00:00:00"/>
    <x v="35"/>
    <d v="2024-08-16T00:00:00"/>
    <d v="2024-08-12T17:54:59"/>
    <x v="26"/>
    <n v="93.088055555555499"/>
    <d v="1900-01-02T21:05:17"/>
    <d v="2024-08-12T00:00:00"/>
    <d v="2024-08-12T17:54:59"/>
    <m/>
    <d v="1899-12-31T00:00:00"/>
    <d v="2024-08-16T15:00:16"/>
    <m/>
    <d v="1899-12-31T00:00:00"/>
    <d v="2024-08-20T19:15:38"/>
    <d v="2024-08-20T19:15:38"/>
    <s v="Resuelto"/>
    <m/>
    <d v="2024-08-12T00:00:00"/>
    <s v="Instalación de sistema operativo Windosw con Chech List"/>
    <x v="6"/>
    <s v="Configuracion Hardware"/>
    <x v="2"/>
    <s v="Laptop"/>
    <m/>
    <m/>
    <s v="CANELLA, SOCIEDAD ANONIMA"/>
    <s v="MOTUL"/>
    <n v="4092"/>
    <n v="35"/>
    <s v="Mesa Ayuda Infraestructura"/>
    <n v="246927"/>
    <s v="CARLOS ADOLFO RIVAS MENDEZ"/>
    <n v="2766"/>
    <s v="CANELLA"/>
    <n v="1"/>
    <n v="20"/>
    <m/>
    <m/>
    <n v="1"/>
    <s v="CANELLA"/>
    <n v="2766"/>
    <s v="José Julajuj Chumil"/>
    <m/>
    <s v="normal"/>
    <s v="En proceso"/>
    <s v="Cambio de disco Duro -Carlos Rivas-"/>
    <n v="72"/>
    <b v="1"/>
    <s v="[27016, 26425, 26295, 26293, 26228]"/>
    <n v="2"/>
    <s v="06763@general.tbd"/>
    <n v="26293"/>
    <n v="0"/>
    <n v="2766"/>
    <n v="8777"/>
    <s v="Mesa Ayuda Infraestructura"/>
    <n v="93.088055555555499"/>
    <m/>
  </r>
  <r>
    <n v="4190"/>
    <n v="0.5"/>
    <d v="1899-12-30T00:30:00"/>
    <s v="50-Finalizado"/>
    <d v="1900-01-02T00:00:00"/>
    <x v="35"/>
    <d v="2024-08-16T00:00:00"/>
    <d v="2024-08-12T17:54:59"/>
    <x v="26"/>
    <n v="93.088055555555499"/>
    <d v="1900-01-02T21:05:17"/>
    <d v="2024-08-12T00:00:00"/>
    <d v="2024-08-12T17:54:59"/>
    <m/>
    <d v="1899-12-31T00:00:00"/>
    <d v="2024-08-16T15:00:16"/>
    <m/>
    <d v="1899-12-31T00:00:00"/>
    <d v="2024-08-20T19:15:38"/>
    <d v="2024-08-20T19:15:38"/>
    <s v="Resuelto"/>
    <m/>
    <d v="2024-08-12T00:00:00"/>
    <s v="Cambio de disco duro"/>
    <x v="6"/>
    <s v="Configuracion Hardware"/>
    <x v="2"/>
    <s v="Laptop"/>
    <m/>
    <m/>
    <s v="CANELLA, SOCIEDAD ANONIMA"/>
    <s v="MOTUL"/>
    <n v="4092"/>
    <n v="35"/>
    <s v="Mesa Ayuda Infraestructura"/>
    <n v="246927"/>
    <s v="CARLOS ADOLFO RIVAS MENDEZ"/>
    <n v="2766"/>
    <s v="CANELLA"/>
    <n v="1"/>
    <n v="20"/>
    <m/>
    <m/>
    <n v="1"/>
    <s v="CANELLA"/>
    <n v="2766"/>
    <s v="José Julajuj Chumil"/>
    <m/>
    <s v="normal"/>
    <s v="En proceso"/>
    <s v="Cambio de disco Duro -Carlos Rivas-"/>
    <n v="72"/>
    <b v="1"/>
    <s v="[27016, 26425, 26295, 26293, 26228]"/>
    <n v="2"/>
    <s v="06763@general.tbd"/>
    <n v="26228"/>
    <n v="0"/>
    <n v="2766"/>
    <n v="8777"/>
    <s v="Mesa Ayuda Infraestructura"/>
    <n v="93.088055555555499"/>
    <m/>
  </r>
  <r>
    <n v="4189"/>
    <n v="0.25"/>
    <d v="1899-12-30T00:15:00"/>
    <s v="50-Finalizado"/>
    <d v="1900-01-02T00:00:00"/>
    <x v="36"/>
    <d v="2024-08-12T00:00:00"/>
    <d v="2024-08-12T17:53:12"/>
    <x v="27"/>
    <n v="5.5619444444444399"/>
    <d v="1899-12-30T05:33:43"/>
    <d v="2024-08-12T00:00:00"/>
    <d v="2024-08-12T17:53:12"/>
    <m/>
    <d v="1899-12-31T00:00:00"/>
    <d v="2024-08-12T23:26:55"/>
    <b v="1"/>
    <d v="2024-08-12T23:26:55"/>
    <d v="2024-08-20T19:15:38"/>
    <d v="2024-08-20T19:15:38"/>
    <s v="Resuelto"/>
    <m/>
    <d v="2024-08-12T00:00:00"/>
    <s v="Entrega de equipo"/>
    <x v="6"/>
    <s v="Configuracion Hardware"/>
    <x v="2"/>
    <s v="Laptop"/>
    <m/>
    <m/>
    <s v="CANELLA, SOCIEDAD ANONIMA"/>
    <s v="HOME OFFICE OAKLAND"/>
    <n v="4091"/>
    <n v="35"/>
    <s v="Mesa Ayuda Infraestructura"/>
    <n v="247182"/>
    <s v="MAXIMO DAVID LARIOS BERRIOS"/>
    <n v="2766"/>
    <s v="CANELLA"/>
    <n v="1"/>
    <n v="20"/>
    <m/>
    <m/>
    <n v="1"/>
    <s v="CANELLA"/>
    <n v="2766"/>
    <s v="José Julajuj Chumil"/>
    <m/>
    <s v="normal"/>
    <s v="En proceso"/>
    <s v="Cambio de equipo -David Larios-"/>
    <n v="72"/>
    <b v="1"/>
    <n v="26226"/>
    <n v="2"/>
    <s v="06422@general.tbd"/>
    <n v="26294"/>
    <n v="0"/>
    <n v="2766"/>
    <n v="8777"/>
    <s v="Mesa Ayuda Infraestructura"/>
    <n v="5.5619444444444399"/>
    <m/>
  </r>
  <r>
    <n v="4189"/>
    <n v="0.41666666666666602"/>
    <d v="1899-12-30T00:25:00"/>
    <s v="50-Finalizado"/>
    <d v="1900-01-02T00:00:00"/>
    <x v="36"/>
    <d v="2024-08-12T00:00:00"/>
    <d v="2024-08-12T17:53:12"/>
    <x v="27"/>
    <n v="5.5619444444444399"/>
    <d v="1899-12-30T05:33:43"/>
    <d v="2024-08-12T00:00:00"/>
    <d v="2024-08-12T17:53:12"/>
    <m/>
    <d v="1899-12-31T00:00:00"/>
    <d v="2024-08-12T23:26:55"/>
    <b v="1"/>
    <d v="2024-08-12T23:26:55"/>
    <d v="2024-08-20T19:15:38"/>
    <d v="2024-08-20T19:15:38"/>
    <s v="Resuelto"/>
    <m/>
    <d v="2024-08-12T00:00:00"/>
    <s v="Cambio de equipo nuevo"/>
    <x v="6"/>
    <s v="Configuracion Hardware"/>
    <x v="2"/>
    <s v="Laptop"/>
    <m/>
    <m/>
    <s v="CANELLA, SOCIEDAD ANONIMA"/>
    <s v="HOME OFFICE OAKLAND"/>
    <n v="4091"/>
    <n v="35"/>
    <s v="Mesa Ayuda Infraestructura"/>
    <n v="247182"/>
    <s v="MAXIMO DAVID LARIOS BERRIOS"/>
    <n v="2766"/>
    <s v="CANELLA"/>
    <n v="1"/>
    <n v="20"/>
    <m/>
    <m/>
    <n v="1"/>
    <s v="CANELLA"/>
    <n v="2766"/>
    <s v="José Julajuj Chumil"/>
    <m/>
    <s v="normal"/>
    <s v="En proceso"/>
    <s v="Cambio de equipo -David Larios-"/>
    <n v="72"/>
    <b v="1"/>
    <n v="26226"/>
    <n v="2"/>
    <s v="06422@general.tbd"/>
    <n v="26226"/>
    <n v="0"/>
    <n v="2766"/>
    <n v="8777"/>
    <s v="Mesa Ayuda Infraestructura"/>
    <n v="5.5619444444444399"/>
    <m/>
  </r>
  <r>
    <n v="4185"/>
    <n v="0.36666666666666597"/>
    <d v="1899-12-30T00:22:00"/>
    <s v="50-Finalizado"/>
    <d v="1900-01-02T00:00:00"/>
    <x v="37"/>
    <d v="2024-08-12T00:00:00"/>
    <d v="2024-08-12T17:42:49"/>
    <x v="28"/>
    <n v="4.9519444444444396"/>
    <d v="1899-12-30T04:57:07"/>
    <d v="2024-08-12T00:00:00"/>
    <d v="2024-08-12T17:42:49"/>
    <m/>
    <d v="1899-12-31T00:00:00"/>
    <d v="2024-08-12T22:39:56"/>
    <b v="1"/>
    <d v="2024-08-12T22:39:56"/>
    <d v="2024-08-20T19:15:38"/>
    <d v="2024-08-20T19:15:38"/>
    <m/>
    <m/>
    <d v="2024-08-12T00:00:00"/>
    <s v="Se procede a ingresar credenciales para instalación de 5 impresoras."/>
    <x v="3"/>
    <s v="Configuracion Hardware"/>
    <x v="2"/>
    <m/>
    <m/>
    <m/>
    <s v="CANELLA, SOCIEDAD ANONIMA"/>
    <s v="GRAFIPRONTO UFM"/>
    <n v="4087"/>
    <n v="35"/>
    <s v="Mesa Ayuda Infraestructura"/>
    <n v="247911"/>
    <s v="EDUARDO FERNANDO CIFUENTES"/>
    <n v="299"/>
    <s v="CANELLA"/>
    <n v="1"/>
    <m/>
    <m/>
    <m/>
    <n v="1"/>
    <s v="CANELLA"/>
    <n v="299"/>
    <s v="Rosario Lic"/>
    <s v="&lt;p&gt;Se procede a ingresar credenciales para instalación de 5 impresoras.&lt;/p&gt;"/>
    <s v="normal"/>
    <s v="En proceso"/>
    <s v="Ingreso de Credenciales para instalación de 5 Impresoras"/>
    <n v="72"/>
    <b v="1"/>
    <s v="[26222]"/>
    <m/>
    <s v="00400@general.tbd"/>
    <n v="26222"/>
    <n v="0"/>
    <n v="299"/>
    <n v="8777"/>
    <s v="Mesa Ayuda Infraestructura"/>
    <n v="4.9519444444444396"/>
    <m/>
  </r>
  <r>
    <n v="4109"/>
    <n v="0.63333333333333297"/>
    <d v="1899-12-30T00:38:00"/>
    <s v="50-Finalizado"/>
    <d v="1900-01-02T00:00:00"/>
    <x v="38"/>
    <d v="2024-08-19T00:00:00"/>
    <d v="2024-08-09T20:26:39"/>
    <x v="21"/>
    <n v="220.57055555555499"/>
    <d v="1900-01-08T04:34:14"/>
    <d v="2024-08-09T00:00:00"/>
    <d v="2024-08-09T20:26:39"/>
    <m/>
    <d v="1899-12-31T00:00:00"/>
    <d v="2024-08-19T01:00:53"/>
    <m/>
    <d v="1899-12-31T00:00:00"/>
    <d v="2024-08-20T19:15:38"/>
    <d v="2024-08-20T19:15:38"/>
    <m/>
    <m/>
    <d v="2024-08-09T00:00:00"/>
    <s v="Se procede a verificar solicitud de orden de compra por facturacion de mantenimiento anual de servicio ESFA (se verifica el departamento a cargo de realizar OC)"/>
    <x v="3"/>
    <s v="Orden de compra"/>
    <x v="2"/>
    <s v="SAP"/>
    <m/>
    <m/>
    <s v="CANELLA, SOCIEDAD ANONIMA"/>
    <s v="INFORMATICA"/>
    <n v="4011"/>
    <n v="35"/>
    <s v="Mesa Ayuda Infraestructura"/>
    <n v="247813"/>
    <s v="OSCAR RAUL HERNANDEZ REYNA"/>
    <n v="299"/>
    <s v="CANELLA"/>
    <n v="6"/>
    <n v="5"/>
    <m/>
    <m/>
    <n v="1"/>
    <s v="CANELLA"/>
    <n v="299"/>
    <s v="Rosario Lic"/>
    <s v="&lt;p&gt;Se procede a verificar solicitud de orden de compra por facturacion de mantenimiento anual de servicio ESFA (se verifica el departamento a cargo de realizar OC)&lt;/p&gt;"/>
    <s v="normal"/>
    <s v="En proceso"/>
    <s v="Solicitud OC servicio eSFA"/>
    <n v="72"/>
    <b v="1"/>
    <s v="[25545]"/>
    <m/>
    <s v="04025@general.tbd"/>
    <n v="25545"/>
    <n v="0"/>
    <n v="299"/>
    <n v="8777"/>
    <s v="Mesa Ayuda Infraestructura"/>
    <n v="220.57055555555499"/>
    <m/>
  </r>
  <r>
    <n v="4091"/>
    <n v="1"/>
    <d v="1899-12-30T01:00:00"/>
    <s v="50-Finalizado"/>
    <d v="1900-01-02T00:00:00"/>
    <x v="39"/>
    <d v="2024-08-09T00:00:00"/>
    <d v="2024-08-09T16:00:58"/>
    <x v="29"/>
    <n v="4.8333333333333298E-2"/>
    <d v="1899-12-30T00:02:54"/>
    <d v="2024-08-09T00:00:00"/>
    <d v="2024-08-09T16:00:58"/>
    <m/>
    <d v="1899-12-31T00:00:00"/>
    <d v="2024-08-09T16:03:52"/>
    <b v="1"/>
    <d v="2024-08-09T16:03:52"/>
    <d v="2024-08-20T19:15:38"/>
    <d v="2024-08-20T19:15:38"/>
    <m/>
    <m/>
    <d v="2024-08-09T00:00:00"/>
    <s v="Se acudió a actividad por encuesta sobre clima organizacional organizado por RRHH"/>
    <x v="3"/>
    <m/>
    <x v="2"/>
    <m/>
    <m/>
    <m/>
    <s v="CANELLA, SOCIEDAD ANONIMA"/>
    <s v="RECURSOS HUMANOS"/>
    <n v="3993"/>
    <n v="35"/>
    <s v="Mesa Ayuda Infraestructura"/>
    <n v="246926"/>
    <s v="ANA LUCIA VASQUEZ SANTISTEBAN"/>
    <n v="299"/>
    <s v="CANELLA"/>
    <m/>
    <m/>
    <m/>
    <m/>
    <n v="1"/>
    <s v="CANELLA"/>
    <n v="299"/>
    <s v="Rosario Lic"/>
    <s v="&lt;p&gt;Se acudió a actividad por encuesta sobre clima organizacional organizado por RRHH &lt;/p&gt;"/>
    <s v="normal"/>
    <s v="En proceso"/>
    <s v="Clima Organizacional - Reunión -"/>
    <n v="72"/>
    <b v="1"/>
    <s v="[25416]"/>
    <m/>
    <s v="06764@general.tbd"/>
    <n v="25416"/>
    <n v="0"/>
    <n v="299"/>
    <n v="8777"/>
    <s v="Mesa Ayuda Infraestructura"/>
    <n v="4.8333333333333298E-2"/>
    <m/>
  </r>
  <r>
    <n v="4042"/>
    <n v="0.31666666666666599"/>
    <d v="1899-12-30T00:19:00"/>
    <s v="50-Finalizado"/>
    <d v="1900-01-02T00:00:00"/>
    <x v="40"/>
    <d v="2024-08-08T00:00:00"/>
    <d v="2024-08-08T16:50:43"/>
    <x v="30"/>
    <n v="5.7277777777777699"/>
    <d v="1899-12-30T05:43:40"/>
    <d v="2024-08-08T00:00:00"/>
    <d v="2024-08-08T16:50:43"/>
    <m/>
    <d v="1899-12-31T00:00:00"/>
    <d v="2024-08-08T22:34:23"/>
    <b v="1"/>
    <d v="2024-08-08T22:34:23"/>
    <d v="2024-08-20T19:15:38"/>
    <d v="2024-08-20T19:15:38"/>
    <m/>
    <m/>
    <d v="2024-08-08T00:00:00"/>
    <s v="Se procede a realizar pruebas en sala de reuniones pequeña"/>
    <x v="3"/>
    <m/>
    <x v="2"/>
    <m/>
    <m/>
    <m/>
    <s v="CANELLA, SOCIEDAD ANONIMA"/>
    <s v="GERENCIA DE SERVICIOS COMPARTIDOS"/>
    <n v="3944"/>
    <n v="35"/>
    <s v="Mesa Ayuda Infraestructura"/>
    <n v="247885"/>
    <s v="AMABILIA MARISOL RECINOS ARGUETA"/>
    <n v="299"/>
    <s v="CANELLA"/>
    <m/>
    <m/>
    <m/>
    <m/>
    <n v="1"/>
    <s v="CANELLA"/>
    <n v="299"/>
    <s v="Rosario Lic"/>
    <s v="&lt;p&gt;Se solicita modificar la vista de reserva de salas, debido a incidente el cual necesitaban verificar la reserva en un horario específico. &lt;/p&gt;"/>
    <s v="normal"/>
    <s v="En proceso"/>
    <s v="Modificación en calendario - reserva de salas -"/>
    <n v="72"/>
    <b v="1"/>
    <n v="25178"/>
    <m/>
    <s v="02158@general.tbd"/>
    <n v="25220"/>
    <n v="0"/>
    <n v="299"/>
    <n v="8777"/>
    <s v="Mesa Ayuda Infraestructura"/>
    <n v="5.7277777777777699"/>
    <m/>
  </r>
  <r>
    <n v="4042"/>
    <n v="0.78333333333333299"/>
    <d v="1899-12-30T00:47:00"/>
    <s v="50-Finalizado"/>
    <d v="1900-01-02T00:00:00"/>
    <x v="40"/>
    <d v="2024-08-08T00:00:00"/>
    <d v="2024-08-08T16:50:43"/>
    <x v="30"/>
    <n v="5.7277777777777699"/>
    <d v="1899-12-30T05:43:40"/>
    <d v="2024-08-08T00:00:00"/>
    <d v="2024-08-08T16:50:43"/>
    <m/>
    <d v="1899-12-31T00:00:00"/>
    <d v="2024-08-08T22:34:23"/>
    <b v="1"/>
    <d v="2024-08-08T22:34:23"/>
    <d v="2024-08-20T19:15:38"/>
    <d v="2024-08-20T19:15:38"/>
    <m/>
    <m/>
    <d v="2024-08-08T00:00:00"/>
    <s v="Se solicita modificar la vista de reserva de salas, debido a incidente el cual necesitaban verificar la reserva en un horario específico."/>
    <x v="3"/>
    <m/>
    <x v="2"/>
    <m/>
    <m/>
    <m/>
    <s v="CANELLA, SOCIEDAD ANONIMA"/>
    <s v="GERENCIA DE SERVICIOS COMPARTIDOS"/>
    <n v="3944"/>
    <n v="35"/>
    <s v="Mesa Ayuda Infraestructura"/>
    <n v="247885"/>
    <s v="AMABILIA MARISOL RECINOS ARGUETA"/>
    <n v="299"/>
    <s v="CANELLA"/>
    <m/>
    <m/>
    <m/>
    <m/>
    <n v="1"/>
    <s v="CANELLA"/>
    <n v="299"/>
    <s v="Rosario Lic"/>
    <s v="&lt;p&gt;Se solicita modificar la vista de reserva de salas, debido a incidente el cual necesitaban verificar la reserva en un horario específico. &lt;/p&gt;"/>
    <s v="normal"/>
    <s v="En proceso"/>
    <s v="Modificación en calendario - reserva de salas -"/>
    <n v="72"/>
    <b v="1"/>
    <n v="25178"/>
    <m/>
    <s v="02158@general.tbd"/>
    <n v="25178"/>
    <n v="0"/>
    <n v="299"/>
    <n v="8777"/>
    <s v="Mesa Ayuda Infraestructura"/>
    <n v="5.7277777777777699"/>
    <m/>
  </r>
  <r>
    <n v="4028"/>
    <n v="0.7"/>
    <d v="1899-12-30T00:42:00"/>
    <s v="50-Finalizado"/>
    <d v="1900-01-02T00:00:00"/>
    <x v="41"/>
    <d v="2024-08-08T00:00:00"/>
    <d v="2024-08-08T15:44:15"/>
    <x v="31"/>
    <n v="4.45027777777777"/>
    <d v="1899-12-30T04:27:01"/>
    <d v="2024-08-08T00:00:00"/>
    <d v="2024-08-08T15:44:15"/>
    <m/>
    <d v="1899-12-31T00:00:00"/>
    <d v="2024-08-08T20:11:16"/>
    <b v="1"/>
    <d v="2024-08-08T20:11:16"/>
    <d v="2024-08-20T19:15:38"/>
    <d v="2024-08-20T19:15:38"/>
    <m/>
    <m/>
    <d v="2024-08-08T00:00:00"/>
    <s v="Se procede a la revisión de laptop debido a reporte de que no iniciaba el equipo, se realizaron pruebas de inicio para encender el equipo el cual si dio respuesta, se realizaron test de cargador y equipo por separado."/>
    <x v="3"/>
    <m/>
    <x v="2"/>
    <m/>
    <m/>
    <m/>
    <s v="CANELLA, SOCIEDAD ANONIMA"/>
    <s v="CONTABILIDAD, CANELLA, S. A."/>
    <n v="3930"/>
    <n v="35"/>
    <s v="Mesa Ayuda Infraestructura"/>
    <n v="247096"/>
    <s v="JESSICA MISHELLE HERNANDEZ ESPINOSA"/>
    <n v="299"/>
    <s v="CANELLA"/>
    <m/>
    <m/>
    <m/>
    <m/>
    <n v="1"/>
    <s v="CANELLA"/>
    <n v="299"/>
    <s v="Rosario Lic"/>
    <s v="&lt;p&gt;Se procede a la revisión de laptop debido a reporte de que no iniciaba el equipo, se realizaron pruebas de inicio para encender el equipo el cual si dio respuesta, se realizaron test de cargador y equipo por separado.&lt;/p&gt;"/>
    <s v="normal"/>
    <s v="En proceso"/>
    <s v="Diagnostico por fallo en inicio de equipo"/>
    <n v="72"/>
    <b v="1"/>
    <s v="[25163]"/>
    <m/>
    <s v="06563@general.tbd"/>
    <n v="25163"/>
    <n v="0"/>
    <n v="299"/>
    <n v="8777"/>
    <s v="Mesa Ayuda Infraestructura"/>
    <n v="4.45027777777777"/>
    <m/>
  </r>
  <r>
    <n v="4011"/>
    <n v="0.75"/>
    <d v="1899-12-30T00:45:00"/>
    <s v="20-Asignado"/>
    <d v="1900-01-02T00:00:00"/>
    <x v="42"/>
    <d v="2024-08-09T00:00:00"/>
    <d v="2024-08-07T23:18:31"/>
    <x v="4"/>
    <n v="0"/>
    <d v="1899-12-30T00:00:00"/>
    <d v="2024-08-07T00:00:00"/>
    <d v="2024-08-07T23:18:31"/>
    <m/>
    <d v="1899-12-31T00:00:00"/>
    <d v="1899-12-31T00:00:00"/>
    <b v="1"/>
    <d v="2024-08-09T17:59:03"/>
    <d v="2024-08-20T19:15:38"/>
    <d v="2024-08-20T19:15:38"/>
    <m/>
    <m/>
    <d v="2024-08-09T00:00:00"/>
    <s v="Actualizacion de archivo de inventario y etiquetado de equipo"/>
    <x v="7"/>
    <s v="Configuracion Hardware"/>
    <x v="2"/>
    <m/>
    <m/>
    <m/>
    <s v="CANELLA, SOCIEDAD ANONIMA"/>
    <s v="DIVISION SOLUCIONES DE OFICINA"/>
    <n v="3913"/>
    <n v="35"/>
    <s v="Mesa Ayuda Infraestructura"/>
    <n v="247258"/>
    <s v="DIANA MERCEDES CANELLA NEUTZE de LUNA"/>
    <n v="171"/>
    <s v="CANELLA"/>
    <n v="1"/>
    <m/>
    <m/>
    <m/>
    <n v="1"/>
    <s v="CANELLA"/>
    <n v="171"/>
    <s v="Andres de León"/>
    <m/>
    <s v="normal"/>
    <s v="En proceso"/>
    <s v="Inventario de equipo de computo"/>
    <n v="69"/>
    <m/>
    <s v="[25464, 25279, 25136, 25018]"/>
    <m/>
    <s v="06300@general.tbd"/>
    <n v="25464"/>
    <n v="0"/>
    <n v="171"/>
    <n v="8777"/>
    <s v="Mesa Ayuda Infraestructura"/>
    <n v="0"/>
    <m/>
  </r>
  <r>
    <n v="4011"/>
    <n v="0.66666666666666596"/>
    <d v="1899-12-30T00:40:00"/>
    <s v="20-Asignado"/>
    <d v="1900-01-02T00:00:00"/>
    <x v="42"/>
    <d v="2024-08-09T00:00:00"/>
    <d v="2024-08-07T23:18:31"/>
    <x v="4"/>
    <n v="0"/>
    <d v="1899-12-30T00:00:00"/>
    <d v="2024-08-07T00:00:00"/>
    <d v="2024-08-07T23:18:31"/>
    <m/>
    <d v="1899-12-31T00:00:00"/>
    <d v="1899-12-31T00:00:00"/>
    <b v="1"/>
    <d v="2024-08-09T17:59:03"/>
    <d v="2024-08-20T19:15:38"/>
    <d v="2024-08-20T19:15:38"/>
    <m/>
    <m/>
    <d v="2024-08-08T00:00:00"/>
    <s v="Pruebas de monitores para donacion"/>
    <x v="7"/>
    <s v="Configuracion Hardware"/>
    <x v="2"/>
    <m/>
    <m/>
    <m/>
    <s v="CANELLA, SOCIEDAD ANONIMA"/>
    <s v="DIVISION SOLUCIONES DE OFICINA"/>
    <n v="3913"/>
    <n v="35"/>
    <s v="Mesa Ayuda Infraestructura"/>
    <n v="247258"/>
    <s v="DIANA MERCEDES CANELLA NEUTZE de LUNA"/>
    <n v="171"/>
    <s v="CANELLA"/>
    <n v="1"/>
    <m/>
    <m/>
    <m/>
    <n v="1"/>
    <s v="CANELLA"/>
    <n v="171"/>
    <s v="Andres de León"/>
    <m/>
    <s v="normal"/>
    <s v="En proceso"/>
    <s v="Inventario de equipo de computo"/>
    <n v="69"/>
    <m/>
    <s v="[25464, 25279, 25136, 25018]"/>
    <m/>
    <s v="06300@general.tbd"/>
    <n v="25279"/>
    <n v="0"/>
    <n v="171"/>
    <n v="8777"/>
    <s v="Mesa Ayuda Infraestructura"/>
    <n v="0"/>
    <m/>
  </r>
  <r>
    <n v="4011"/>
    <n v="0.58333333333333304"/>
    <d v="1899-12-30T00:35:00"/>
    <s v="20-Asignado"/>
    <d v="1900-01-02T00:00:00"/>
    <x v="42"/>
    <d v="2024-08-09T00:00:00"/>
    <d v="2024-08-07T23:18:31"/>
    <x v="4"/>
    <n v="0"/>
    <d v="1899-12-30T00:00:00"/>
    <d v="2024-08-07T00:00:00"/>
    <d v="2024-08-07T23:18:31"/>
    <m/>
    <d v="1899-12-31T00:00:00"/>
    <d v="1899-12-31T00:00:00"/>
    <b v="1"/>
    <d v="2024-08-09T17:59:03"/>
    <d v="2024-08-20T19:15:38"/>
    <d v="2024-08-20T19:15:38"/>
    <m/>
    <m/>
    <d v="2024-08-08T00:00:00"/>
    <s v="Actualizacion de archivo de inventario"/>
    <x v="7"/>
    <s v="Configuracion Hardware"/>
    <x v="2"/>
    <m/>
    <m/>
    <m/>
    <s v="CANELLA, SOCIEDAD ANONIMA"/>
    <s v="DIVISION SOLUCIONES DE OFICINA"/>
    <n v="3913"/>
    <n v="35"/>
    <s v="Mesa Ayuda Infraestructura"/>
    <n v="247258"/>
    <s v="DIANA MERCEDES CANELLA NEUTZE de LUNA"/>
    <n v="171"/>
    <s v="CANELLA"/>
    <n v="1"/>
    <m/>
    <m/>
    <m/>
    <n v="1"/>
    <s v="CANELLA"/>
    <n v="171"/>
    <s v="Andres de León"/>
    <m/>
    <s v="normal"/>
    <s v="En proceso"/>
    <s v="Inventario de equipo de computo"/>
    <n v="69"/>
    <m/>
    <s v="[25464, 25279, 25136, 25018]"/>
    <m/>
    <s v="06300@general.tbd"/>
    <n v="25136"/>
    <n v="0"/>
    <n v="171"/>
    <n v="8777"/>
    <s v="Mesa Ayuda Infraestructura"/>
    <n v="0"/>
    <m/>
  </r>
  <r>
    <n v="4011"/>
    <n v="0.83333333333333304"/>
    <d v="1899-12-30T00:50:00"/>
    <s v="20-Asignado"/>
    <d v="1900-01-02T00:00:00"/>
    <x v="42"/>
    <d v="2024-08-09T00:00:00"/>
    <d v="2024-08-07T23:18:31"/>
    <x v="4"/>
    <n v="0"/>
    <d v="1899-12-30T00:00:00"/>
    <d v="2024-08-07T00:00:00"/>
    <d v="2024-08-07T23:18:31"/>
    <m/>
    <d v="1899-12-31T00:00:00"/>
    <d v="1899-12-31T00:00:00"/>
    <b v="1"/>
    <d v="2024-08-09T17:59:03"/>
    <d v="2024-08-20T19:15:38"/>
    <d v="2024-08-20T19:15:38"/>
    <m/>
    <m/>
    <d v="2024-08-07T00:00:00"/>
    <s v="Inventario de equipo de computo"/>
    <x v="7"/>
    <s v="Configuracion Hardware"/>
    <x v="2"/>
    <m/>
    <m/>
    <m/>
    <s v="CANELLA, SOCIEDAD ANONIMA"/>
    <s v="DIVISION SOLUCIONES DE OFICINA"/>
    <n v="3913"/>
    <n v="35"/>
    <s v="Mesa Ayuda Infraestructura"/>
    <n v="247258"/>
    <s v="DIANA MERCEDES CANELLA NEUTZE de LUNA"/>
    <n v="171"/>
    <s v="CANELLA"/>
    <n v="1"/>
    <m/>
    <m/>
    <m/>
    <n v="1"/>
    <s v="CANELLA"/>
    <n v="171"/>
    <s v="Andres de León"/>
    <m/>
    <s v="normal"/>
    <s v="En proceso"/>
    <s v="Inventario de equipo de computo"/>
    <n v="69"/>
    <m/>
    <s v="[25464, 25279, 25136, 25018]"/>
    <m/>
    <s v="06300@general.tbd"/>
    <n v="25018"/>
    <n v="0"/>
    <n v="171"/>
    <n v="8777"/>
    <s v="Mesa Ayuda Infraestructura"/>
    <n v="0"/>
    <m/>
  </r>
  <r>
    <n v="3985"/>
    <n v="0.3"/>
    <d v="1899-12-30T00:18:00"/>
    <s v="50-Finalizado"/>
    <d v="1900-01-02T00:00:00"/>
    <x v="43"/>
    <d v="2024-08-19T00:00:00"/>
    <d v="2024-08-07T18:24:04"/>
    <x v="21"/>
    <n v="270.61361111111103"/>
    <d v="1900-01-10T06:36:49"/>
    <d v="2024-08-07T00:00:00"/>
    <d v="2024-08-07T18:24:04"/>
    <m/>
    <d v="1899-12-31T00:00:00"/>
    <d v="2024-08-19T01:00:53"/>
    <m/>
    <d v="1899-12-31T00:00:00"/>
    <d v="2024-08-20T19:15:38"/>
    <d v="2024-08-20T19:15:38"/>
    <m/>
    <m/>
    <d v="2024-08-13T00:00:00"/>
    <s v="Validación de opciones de proyector"/>
    <x v="3"/>
    <m/>
    <x v="2"/>
    <m/>
    <m/>
    <m/>
    <s v="CANELLA, SOCIEDAD ANONIMA"/>
    <s v="AUDITORIA INTERNA"/>
    <n v="3887"/>
    <n v="35"/>
    <s v="Mesa Ayuda Infraestructura"/>
    <n v="247824"/>
    <s v="ALDO FRANCISCO SANDOVAL LEÓN"/>
    <n v="299"/>
    <s v="CANELLA"/>
    <m/>
    <m/>
    <m/>
    <m/>
    <n v="1"/>
    <s v="CANELLA"/>
    <n v="299"/>
    <s v="Rosario Lic"/>
    <s v="&lt;p&gt;Se procede a dar inicio a proceso de compra de proyector para uso de auditoria, segun solicitud de Aldo Sandoval &lt;/p&gt;"/>
    <s v="normal"/>
    <s v="En proceso"/>
    <s v="Compra de proyector"/>
    <n v="72"/>
    <b v="1"/>
    <s v="[26408, 26302, 26142, 25259, 24924]"/>
    <m/>
    <s v="03890@general.tbd"/>
    <n v="26408"/>
    <n v="0"/>
    <n v="299"/>
    <n v="8777"/>
    <s v="Mesa Ayuda Infraestructura"/>
    <n v="270.61361111111103"/>
    <m/>
  </r>
  <r>
    <n v="3985"/>
    <n v="0.266666666666666"/>
    <d v="1899-12-30T00:16:00"/>
    <s v="50-Finalizado"/>
    <d v="1900-01-02T00:00:00"/>
    <x v="43"/>
    <d v="2024-08-19T00:00:00"/>
    <d v="2024-08-07T18:24:04"/>
    <x v="21"/>
    <n v="270.61361111111103"/>
    <d v="1900-01-10T06:36:49"/>
    <d v="2024-08-07T00:00:00"/>
    <d v="2024-08-07T18:24:04"/>
    <m/>
    <d v="1899-12-31T00:00:00"/>
    <d v="2024-08-19T01:00:53"/>
    <m/>
    <d v="1899-12-31T00:00:00"/>
    <d v="2024-08-20T19:15:38"/>
    <d v="2024-08-20T19:15:38"/>
    <m/>
    <m/>
    <d v="2024-08-12T00:00:00"/>
    <s v="Verificación de solicitud de proyector"/>
    <x v="3"/>
    <m/>
    <x v="2"/>
    <m/>
    <m/>
    <m/>
    <s v="CANELLA, SOCIEDAD ANONIMA"/>
    <s v="AUDITORIA INTERNA"/>
    <n v="3887"/>
    <n v="35"/>
    <s v="Mesa Ayuda Infraestructura"/>
    <n v="247824"/>
    <s v="ALDO FRANCISCO SANDOVAL LEÓN"/>
    <n v="299"/>
    <s v="CANELLA"/>
    <m/>
    <m/>
    <m/>
    <m/>
    <n v="1"/>
    <s v="CANELLA"/>
    <n v="299"/>
    <s v="Rosario Lic"/>
    <s v="&lt;p&gt;Se procede a dar inicio a proceso de compra de proyector para uso de auditoria, segun solicitud de Aldo Sandoval &lt;/p&gt;"/>
    <s v="normal"/>
    <s v="En proceso"/>
    <s v="Compra de proyector"/>
    <n v="72"/>
    <b v="1"/>
    <s v="[26408, 26302, 26142, 25259, 24924]"/>
    <m/>
    <s v="03890@general.tbd"/>
    <n v="26302"/>
    <n v="0"/>
    <n v="299"/>
    <n v="8777"/>
    <s v="Mesa Ayuda Infraestructura"/>
    <n v="270.61361111111103"/>
    <m/>
  </r>
  <r>
    <n v="3985"/>
    <n v="8.3333333333333301E-2"/>
    <d v="1899-12-30T00:05:00"/>
    <s v="50-Finalizado"/>
    <d v="1900-01-02T00:00:00"/>
    <x v="43"/>
    <d v="2024-08-19T00:00:00"/>
    <d v="2024-08-07T18:24:04"/>
    <x v="21"/>
    <n v="270.61361111111103"/>
    <d v="1900-01-10T06:36:49"/>
    <d v="2024-08-07T00:00:00"/>
    <d v="2024-08-07T18:24:04"/>
    <m/>
    <d v="1899-12-31T00:00:00"/>
    <d v="2024-08-19T01:00:53"/>
    <m/>
    <d v="1899-12-31T00:00:00"/>
    <d v="2024-08-20T19:15:38"/>
    <d v="2024-08-20T19:15:38"/>
    <m/>
    <m/>
    <d v="2024-08-12T00:00:00"/>
    <s v="Solicitud de autorización de compra de parte de gerencia Informática"/>
    <x v="3"/>
    <m/>
    <x v="2"/>
    <m/>
    <m/>
    <m/>
    <s v="CANELLA, SOCIEDAD ANONIMA"/>
    <s v="AUDITORIA INTERNA"/>
    <n v="3887"/>
    <n v="35"/>
    <s v="Mesa Ayuda Infraestructura"/>
    <n v="247824"/>
    <s v="ALDO FRANCISCO SANDOVAL LEÓN"/>
    <n v="299"/>
    <s v="CANELLA"/>
    <m/>
    <m/>
    <m/>
    <m/>
    <n v="1"/>
    <s v="CANELLA"/>
    <n v="299"/>
    <s v="Rosario Lic"/>
    <s v="&lt;p&gt;Se procede a dar inicio a proceso de compra de proyector para uso de auditoria, segun solicitud de Aldo Sandoval &lt;/p&gt;"/>
    <s v="normal"/>
    <s v="En proceso"/>
    <s v="Compra de proyector"/>
    <n v="72"/>
    <b v="1"/>
    <s v="[26408, 26302, 26142, 25259, 24924]"/>
    <m/>
    <s v="03890@general.tbd"/>
    <n v="26142"/>
    <n v="0"/>
    <n v="299"/>
    <n v="8777"/>
    <s v="Mesa Ayuda Infraestructura"/>
    <n v="270.61361111111103"/>
    <m/>
  </r>
  <r>
    <n v="3985"/>
    <n v="0.45"/>
    <d v="1899-12-30T00:27:00"/>
    <s v="50-Finalizado"/>
    <d v="1900-01-02T00:00:00"/>
    <x v="43"/>
    <d v="2024-08-19T00:00:00"/>
    <d v="2024-08-07T18:24:04"/>
    <x v="21"/>
    <n v="270.61361111111103"/>
    <d v="1900-01-10T06:36:49"/>
    <d v="2024-08-07T00:00:00"/>
    <d v="2024-08-07T18:24:04"/>
    <m/>
    <d v="1899-12-31T00:00:00"/>
    <d v="2024-08-19T01:00:53"/>
    <m/>
    <d v="1899-12-31T00:00:00"/>
    <d v="2024-08-20T19:15:38"/>
    <d v="2024-08-20T19:15:38"/>
    <m/>
    <m/>
    <d v="2024-08-08T00:00:00"/>
    <s v="Se verifican los modelos compartidos por tecnobodega para recomendar la compra del mas adecuado"/>
    <x v="3"/>
    <m/>
    <x v="2"/>
    <m/>
    <m/>
    <m/>
    <s v="CANELLA, SOCIEDAD ANONIMA"/>
    <s v="AUDITORIA INTERNA"/>
    <n v="3887"/>
    <n v="35"/>
    <s v="Mesa Ayuda Infraestructura"/>
    <n v="247824"/>
    <s v="ALDO FRANCISCO SANDOVAL LEÓN"/>
    <n v="299"/>
    <s v="CANELLA"/>
    <m/>
    <m/>
    <m/>
    <m/>
    <n v="1"/>
    <s v="CANELLA"/>
    <n v="299"/>
    <s v="Rosario Lic"/>
    <s v="&lt;p&gt;Se procede a dar inicio a proceso de compra de proyector para uso de auditoria, segun solicitud de Aldo Sandoval &lt;/p&gt;"/>
    <s v="normal"/>
    <s v="En proceso"/>
    <s v="Compra de proyector"/>
    <n v="72"/>
    <b v="1"/>
    <s v="[26408, 26302, 26142, 25259, 24924]"/>
    <m/>
    <s v="03890@general.tbd"/>
    <n v="25259"/>
    <n v="0"/>
    <n v="299"/>
    <n v="8777"/>
    <s v="Mesa Ayuda Infraestructura"/>
    <n v="270.61361111111103"/>
    <m/>
  </r>
  <r>
    <n v="3985"/>
    <n v="0.16666666666666599"/>
    <d v="1899-12-30T00:10:00"/>
    <s v="50-Finalizado"/>
    <d v="1900-01-02T00:00:00"/>
    <x v="43"/>
    <d v="2024-08-19T00:00:00"/>
    <d v="2024-08-07T18:24:04"/>
    <x v="21"/>
    <n v="270.61361111111103"/>
    <d v="1900-01-10T06:36:49"/>
    <d v="2024-08-07T00:00:00"/>
    <d v="2024-08-07T18:24:04"/>
    <m/>
    <d v="1899-12-31T00:00:00"/>
    <d v="2024-08-19T01:00:53"/>
    <m/>
    <d v="1899-12-31T00:00:00"/>
    <d v="2024-08-20T19:15:38"/>
    <d v="2024-08-20T19:15:38"/>
    <m/>
    <m/>
    <d v="2024-08-07T00:00:00"/>
    <s v="Se procede a realizar cotización para compra de proyector"/>
    <x v="3"/>
    <m/>
    <x v="2"/>
    <m/>
    <m/>
    <m/>
    <s v="CANELLA, SOCIEDAD ANONIMA"/>
    <s v="AUDITORIA INTERNA"/>
    <n v="3887"/>
    <n v="35"/>
    <s v="Mesa Ayuda Infraestructura"/>
    <n v="247824"/>
    <s v="ALDO FRANCISCO SANDOVAL LEÓN"/>
    <n v="299"/>
    <s v="CANELLA"/>
    <m/>
    <m/>
    <m/>
    <m/>
    <n v="1"/>
    <s v="CANELLA"/>
    <n v="299"/>
    <s v="Rosario Lic"/>
    <s v="&lt;p&gt;Se procede a dar inicio a proceso de compra de proyector para uso de auditoria, segun solicitud de Aldo Sandoval &lt;/p&gt;"/>
    <s v="normal"/>
    <s v="En proceso"/>
    <s v="Compra de proyector"/>
    <n v="72"/>
    <b v="1"/>
    <s v="[26408, 26302, 26142, 25259, 24924]"/>
    <m/>
    <s v="03890@general.tbd"/>
    <n v="24924"/>
    <n v="0"/>
    <n v="299"/>
    <n v="8777"/>
    <s v="Mesa Ayuda Infraestructura"/>
    <n v="270.61361111111103"/>
    <m/>
  </r>
  <r>
    <n v="3829"/>
    <n v="0.45"/>
    <d v="1899-12-30T00:27:00"/>
    <s v="50-Finalizado"/>
    <d v="1900-01-02T00:00:00"/>
    <x v="44"/>
    <d v="2024-08-19T00:00:00"/>
    <d v="2024-08-05T22:26:32"/>
    <x v="21"/>
    <n v="314.57249999999999"/>
    <d v="1900-01-12T02:34:21"/>
    <d v="2024-08-05T00:00:00"/>
    <d v="2024-08-05T22:26:32"/>
    <m/>
    <d v="1899-12-31T00:00:00"/>
    <d v="2024-08-19T01:00:53"/>
    <m/>
    <d v="1899-12-31T00:00:00"/>
    <d v="2024-08-20T19:15:38"/>
    <d v="2024-08-20T19:15:38"/>
    <m/>
    <m/>
    <d v="2024-08-09T00:00:00"/>
    <s v="Registro de proveedor MD Technology para realizar compras en SAP (se procedió a enviar solicitud de información, traslado de información de proveedor a contabilidad (se verifico info para previo traslado))"/>
    <x v="3"/>
    <m/>
    <x v="2"/>
    <m/>
    <m/>
    <m/>
    <s v="CANELLA, SOCIEDAD ANONIMA"/>
    <s v="MAQUINARIA DE CONSTRUCCION"/>
    <n v="3731"/>
    <n v="35"/>
    <s v="Mesa Ayuda Infraestructura"/>
    <n v="247575"/>
    <s v="MARTHA NINETH PEREIRA FLORES"/>
    <n v="299"/>
    <s v="CANELLA"/>
    <m/>
    <m/>
    <m/>
    <m/>
    <n v="1"/>
    <s v="CANELLA"/>
    <n v="299"/>
    <s v="Rosario Lic"/>
    <s v="&lt;p&gt;Compra de UPS y Combo de teclado y mouse, se verifica la disponibilidad de proveedor y la disponibilidad de stock.&lt;/p&gt;"/>
    <s v="normal"/>
    <s v="En proceso"/>
    <s v="Compra de UPS y Combo de teclado y mouse"/>
    <n v="72"/>
    <b v="1"/>
    <s v="[25708, 24756, 24495, 24444]"/>
    <m/>
    <s v="05618@general.tbd"/>
    <n v="25708"/>
    <n v="0"/>
    <n v="299"/>
    <n v="8777"/>
    <s v="Mesa Ayuda Infraestructura"/>
    <n v="314.57249999999999"/>
    <m/>
  </r>
  <r>
    <n v="3829"/>
    <n v="0.65"/>
    <d v="1899-12-30T00:39:00"/>
    <s v="50-Finalizado"/>
    <d v="1900-01-02T00:00:00"/>
    <x v="44"/>
    <d v="2024-08-19T00:00:00"/>
    <d v="2024-08-05T22:26:32"/>
    <x v="21"/>
    <n v="314.57249999999999"/>
    <d v="1900-01-12T02:34:21"/>
    <d v="2024-08-05T00:00:00"/>
    <d v="2024-08-05T22:26:32"/>
    <m/>
    <d v="1899-12-31T00:00:00"/>
    <d v="2024-08-19T01:00:53"/>
    <m/>
    <d v="1899-12-31T00:00:00"/>
    <d v="2024-08-20T19:15:38"/>
    <d v="2024-08-20T19:15:38"/>
    <m/>
    <m/>
    <d v="2024-08-06T00:00:00"/>
    <s v="se brinda seguimiento por registro de proveedor en SAP Maquipos para realizar orden de compra por 1 ups para escuintla"/>
    <x v="3"/>
    <m/>
    <x v="2"/>
    <m/>
    <m/>
    <m/>
    <s v="CANELLA, SOCIEDAD ANONIMA"/>
    <s v="MAQUINARIA DE CONSTRUCCION"/>
    <n v="3731"/>
    <n v="35"/>
    <s v="Mesa Ayuda Infraestructura"/>
    <n v="247575"/>
    <s v="MARTHA NINETH PEREIRA FLORES"/>
    <n v="299"/>
    <s v="CANELLA"/>
    <m/>
    <m/>
    <m/>
    <m/>
    <n v="1"/>
    <s v="CANELLA"/>
    <n v="299"/>
    <s v="Rosario Lic"/>
    <s v="&lt;p&gt;Compra de UPS y Combo de teclado y mouse, se verifica la disponibilidad de proveedor y la disponibilidad de stock.&lt;/p&gt;"/>
    <s v="normal"/>
    <s v="En proceso"/>
    <s v="Compra de UPS y Combo de teclado y mouse"/>
    <n v="72"/>
    <b v="1"/>
    <s v="[25708, 24756, 24495, 24444]"/>
    <m/>
    <s v="05618@general.tbd"/>
    <n v="24756"/>
    <n v="0"/>
    <n v="299"/>
    <n v="8777"/>
    <s v="Mesa Ayuda Infraestructura"/>
    <n v="314.57249999999999"/>
    <m/>
  </r>
  <r>
    <n v="3829"/>
    <n v="0.8"/>
    <d v="1899-12-30T00:48:00"/>
    <s v="50-Finalizado"/>
    <d v="1900-01-02T00:00:00"/>
    <x v="44"/>
    <d v="2024-08-19T00:00:00"/>
    <d v="2024-08-05T22:26:32"/>
    <x v="21"/>
    <n v="314.57249999999999"/>
    <d v="1900-01-12T02:34:21"/>
    <d v="2024-08-05T00:00:00"/>
    <d v="2024-08-05T22:26:32"/>
    <m/>
    <d v="1899-12-31T00:00:00"/>
    <d v="2024-08-19T01:00:53"/>
    <m/>
    <d v="1899-12-31T00:00:00"/>
    <d v="2024-08-20T19:15:38"/>
    <d v="2024-08-20T19:15:38"/>
    <m/>
    <m/>
    <d v="2024-08-05T00:00:00"/>
    <s v="Registro de Imeqmo en maquipos"/>
    <x v="3"/>
    <m/>
    <x v="2"/>
    <m/>
    <m/>
    <m/>
    <s v="CANELLA, SOCIEDAD ANONIMA"/>
    <s v="MAQUINARIA DE CONSTRUCCION"/>
    <n v="3731"/>
    <n v="35"/>
    <s v="Mesa Ayuda Infraestructura"/>
    <n v="247575"/>
    <s v="MARTHA NINETH PEREIRA FLORES"/>
    <n v="299"/>
    <s v="CANELLA"/>
    <m/>
    <m/>
    <m/>
    <m/>
    <n v="1"/>
    <s v="CANELLA"/>
    <n v="299"/>
    <s v="Rosario Lic"/>
    <s v="&lt;p&gt;Compra de UPS y Combo de teclado y mouse, se verifica la disponibilidad de proveedor y la disponibilidad de stock.&lt;/p&gt;"/>
    <s v="normal"/>
    <s v="En proceso"/>
    <s v="Compra de UPS y Combo de teclado y mouse"/>
    <n v="72"/>
    <b v="1"/>
    <s v="[25708, 24756, 24495, 24444]"/>
    <m/>
    <s v="05618@general.tbd"/>
    <n v="24495"/>
    <n v="0"/>
    <n v="299"/>
    <n v="8777"/>
    <s v="Mesa Ayuda Infraestructura"/>
    <n v="314.57249999999999"/>
    <m/>
  </r>
  <r>
    <n v="3829"/>
    <n v="1.7166666666666599"/>
    <d v="1899-12-30T01:43:00"/>
    <s v="50-Finalizado"/>
    <d v="1900-01-02T00:00:00"/>
    <x v="44"/>
    <d v="2024-08-19T00:00:00"/>
    <d v="2024-08-05T22:26:32"/>
    <x v="21"/>
    <n v="314.57249999999999"/>
    <d v="1900-01-12T02:34:21"/>
    <d v="2024-08-05T00:00:00"/>
    <d v="2024-08-05T22:26:32"/>
    <m/>
    <d v="1899-12-31T00:00:00"/>
    <d v="2024-08-19T01:00:53"/>
    <m/>
    <d v="1899-12-31T00:00:00"/>
    <d v="2024-08-20T19:15:38"/>
    <d v="2024-08-20T19:15:38"/>
    <m/>
    <m/>
    <d v="2024-08-05T00:00:00"/>
    <s v="Compra de UPS y Combo de teclado y mouse, se verifica la disponibilidad de proveedor y la disponibilidad de stock."/>
    <x v="3"/>
    <m/>
    <x v="2"/>
    <m/>
    <m/>
    <m/>
    <s v="CANELLA, SOCIEDAD ANONIMA"/>
    <s v="MAQUINARIA DE CONSTRUCCION"/>
    <n v="3731"/>
    <n v="35"/>
    <s v="Mesa Ayuda Infraestructura"/>
    <n v="247575"/>
    <s v="MARTHA NINETH PEREIRA FLORES"/>
    <n v="299"/>
    <s v="CANELLA"/>
    <m/>
    <m/>
    <m/>
    <m/>
    <n v="1"/>
    <s v="CANELLA"/>
    <n v="299"/>
    <s v="Rosario Lic"/>
    <s v="&lt;p&gt;Compra de UPS y Combo de teclado y mouse, se verifica la disponibilidad de proveedor y la disponibilidad de stock.&lt;/p&gt;"/>
    <s v="normal"/>
    <s v="En proceso"/>
    <s v="Compra de UPS y Combo de teclado y mouse"/>
    <n v="72"/>
    <b v="1"/>
    <s v="[25708, 24756, 24495, 24444]"/>
    <m/>
    <s v="05618@general.tbd"/>
    <n v="24444"/>
    <n v="0"/>
    <n v="299"/>
    <n v="8777"/>
    <s v="Mesa Ayuda Infraestructura"/>
    <n v="314.57249999999999"/>
    <m/>
  </r>
  <r>
    <n v="3736"/>
    <n v="0.21666666666666601"/>
    <d v="1899-12-30T00:13:00"/>
    <s v="50-Finalizado"/>
    <d v="1900-01-02T00:00:00"/>
    <x v="45"/>
    <d v="2024-08-07T00:00:00"/>
    <d v="2024-08-05T17:50:30"/>
    <x v="32"/>
    <n v="50.6036111111111"/>
    <d v="1900-01-01T02:36:13"/>
    <d v="2024-08-05T00:00:00"/>
    <d v="2024-08-05T17:50:30"/>
    <m/>
    <d v="1899-12-31T00:00:00"/>
    <d v="2024-08-07T20:26:43"/>
    <b v="1"/>
    <d v="2024-08-07T20:26:43"/>
    <d v="2024-08-20T19:15:38"/>
    <d v="2024-08-20T19:15:38"/>
    <m/>
    <m/>
    <d v="2024-08-05T00:00:00"/>
    <s v="Mandar correo a corporativo para apoyo con la red wifi"/>
    <x v="8"/>
    <s v="Configuracion Hardware"/>
    <x v="2"/>
    <s v="Redes y Comunicaciones"/>
    <m/>
    <m/>
    <s v="CANELLA, SOCIEDAD ANONIMA"/>
    <s v="INFORMATICA"/>
    <n v="3638"/>
    <n v="35"/>
    <s v="Mesa Ayuda Infraestructura"/>
    <n v="247813"/>
    <s v="OSCAR RAUL HERNANDEZ REYNA"/>
    <n v="186"/>
    <s v="CANELLA"/>
    <n v="1"/>
    <n v="28"/>
    <m/>
    <m/>
    <n v="1"/>
    <s v="CANELLA"/>
    <n v="186"/>
    <s v="Carlos Carias"/>
    <s v="&lt;p&gt;Coordinar fecha para la instalación de la planta telefónica en Bacchus &lt;/p&gt;&lt;p&gt;Mandar correo a corporativo para apoyo con la red wifi&amp;nbsp;&lt;/p&gt;"/>
    <s v="normal"/>
    <s v="En proceso"/>
    <s v="Coordinar fecha para la instalación de la planta telefónica en Bacchus"/>
    <n v="72"/>
    <b v="1"/>
    <n v="24278"/>
    <m/>
    <s v="04025@general.tbd"/>
    <n v="24279"/>
    <n v="0"/>
    <n v="186"/>
    <n v="8777"/>
    <s v="Mesa Ayuda Infraestructura"/>
    <n v="50.6036111111111"/>
    <m/>
  </r>
  <r>
    <n v="3736"/>
    <n v="0.2"/>
    <d v="1899-12-30T00:12:00"/>
    <s v="50-Finalizado"/>
    <d v="1900-01-02T00:00:00"/>
    <x v="45"/>
    <d v="2024-08-07T00:00:00"/>
    <d v="2024-08-05T17:50:30"/>
    <x v="32"/>
    <n v="50.6036111111111"/>
    <d v="1900-01-01T02:36:13"/>
    <d v="2024-08-05T00:00:00"/>
    <d v="2024-08-05T17:50:30"/>
    <m/>
    <d v="1899-12-31T00:00:00"/>
    <d v="2024-08-07T20:26:43"/>
    <b v="1"/>
    <d v="2024-08-07T20:26:43"/>
    <d v="2024-08-20T19:15:38"/>
    <d v="2024-08-20T19:15:38"/>
    <m/>
    <m/>
    <d v="2024-08-05T00:00:00"/>
    <s v="Coordinar fecha para la instalación de la planta telefónica en Bacchus"/>
    <x v="8"/>
    <s v="Configuracion Hardware"/>
    <x v="2"/>
    <s v="Redes y Comunicaciones"/>
    <m/>
    <m/>
    <s v="CANELLA, SOCIEDAD ANONIMA"/>
    <s v="INFORMATICA"/>
    <n v="3638"/>
    <n v="35"/>
    <s v="Mesa Ayuda Infraestructura"/>
    <n v="247813"/>
    <s v="OSCAR RAUL HERNANDEZ REYNA"/>
    <n v="186"/>
    <s v="CANELLA"/>
    <n v="1"/>
    <n v="28"/>
    <m/>
    <m/>
    <n v="1"/>
    <s v="CANELLA"/>
    <n v="186"/>
    <s v="Carlos Carias"/>
    <s v="&lt;p&gt;Coordinar fecha para la instalación de la planta telefónica en Bacchus &lt;/p&gt;&lt;p&gt;Mandar correo a corporativo para apoyo con la red wifi&amp;nbsp;&lt;/p&gt;"/>
    <s v="normal"/>
    <s v="En proceso"/>
    <s v="Coordinar fecha para la instalación de la planta telefónica en Bacchus"/>
    <n v="72"/>
    <b v="1"/>
    <n v="24278"/>
    <m/>
    <s v="04025@general.tbd"/>
    <n v="24278"/>
    <n v="0"/>
    <n v="186"/>
    <n v="8777"/>
    <s v="Mesa Ayuda Infraestructura"/>
    <n v="50.6036111111111"/>
    <m/>
  </r>
  <r>
    <n v="3658"/>
    <n v="0.36666666666666597"/>
    <d v="1899-12-30T00:22:00"/>
    <s v="50-Finalizado"/>
    <d v="1900-01-02T00:00:00"/>
    <x v="46"/>
    <d v="2024-08-07T00:00:00"/>
    <d v="2024-08-05T14:35:24"/>
    <x v="33"/>
    <n v="55.366111111111103"/>
    <d v="1900-01-01T07:21:58"/>
    <d v="2024-08-05T00:00:00"/>
    <d v="2024-08-05T14:35:24"/>
    <m/>
    <d v="1899-12-31T00:00:00"/>
    <d v="2024-08-07T21:57:22"/>
    <b v="1"/>
    <d v="2024-08-07T21:57:22"/>
    <d v="2024-08-20T19:15:38"/>
    <d v="2024-08-20T19:15:38"/>
    <m/>
    <m/>
    <d v="2024-08-07T00:00:00"/>
    <s v="indicaciones a Jose Julajuj para traslado de activo fijo SAP a Jorge Vasquez"/>
    <x v="9"/>
    <s v="Configuracion Hardware"/>
    <x v="2"/>
    <s v="Laptop"/>
    <m/>
    <m/>
    <s v="CANELLA, SOCIEDAD ANONIMA"/>
    <s v="YAMAHA LIBERACION"/>
    <n v="3560"/>
    <n v="35"/>
    <s v="Mesa Ayuda Infraestructura"/>
    <n v="247696"/>
    <s v="JORGE ESTUARDO VASQUEZ GAVIDIA"/>
    <n v="314"/>
    <s v="CANELLA"/>
    <n v="1"/>
    <n v="20"/>
    <m/>
    <m/>
    <n v="1"/>
    <s v="CANELLA"/>
    <n v="314"/>
    <s v="Yosselyn Ignacio"/>
    <m/>
    <s v="normal"/>
    <s v="En proceso"/>
    <s v="Cambio de usuario Michael Bonilla a Jorge Vasquez"/>
    <n v="72"/>
    <b v="1"/>
    <s v="[24990, 24635, 24634, 24612, 24435, 24194, 24159]"/>
    <m/>
    <s v="04889@general.tbd"/>
    <n v="24990"/>
    <n v="0"/>
    <n v="314"/>
    <n v="8777"/>
    <s v="Mesa Ayuda Infraestructura"/>
    <n v="55.366111111111103"/>
    <m/>
  </r>
  <r>
    <n v="3658"/>
    <n v="0.233333333333333"/>
    <d v="1899-12-30T00:14:00"/>
    <s v="50-Finalizado"/>
    <d v="1900-01-02T00:00:00"/>
    <x v="46"/>
    <d v="2024-08-07T00:00:00"/>
    <d v="2024-08-05T14:35:24"/>
    <x v="33"/>
    <n v="55.366111111111103"/>
    <d v="1900-01-01T07:21:58"/>
    <d v="2024-08-05T00:00:00"/>
    <d v="2024-08-05T14:35:24"/>
    <m/>
    <d v="1899-12-31T00:00:00"/>
    <d v="2024-08-07T21:57:22"/>
    <b v="1"/>
    <d v="2024-08-07T21:57:22"/>
    <d v="2024-08-20T19:15:38"/>
    <d v="2024-08-20T19:15:38"/>
    <m/>
    <m/>
    <d v="2024-08-06T00:00:00"/>
    <s v="configuración de correo en celular"/>
    <x v="9"/>
    <s v="Configuracion Hardware"/>
    <x v="2"/>
    <s v="Laptop"/>
    <m/>
    <m/>
    <s v="CANELLA, SOCIEDAD ANONIMA"/>
    <s v="YAMAHA LIBERACION"/>
    <n v="3560"/>
    <n v="35"/>
    <s v="Mesa Ayuda Infraestructura"/>
    <n v="247696"/>
    <s v="JORGE ESTUARDO VASQUEZ GAVIDIA"/>
    <n v="314"/>
    <s v="CANELLA"/>
    <n v="1"/>
    <n v="20"/>
    <m/>
    <m/>
    <n v="1"/>
    <s v="CANELLA"/>
    <n v="314"/>
    <s v="Yosselyn Ignacio"/>
    <m/>
    <s v="normal"/>
    <s v="En proceso"/>
    <s v="Cambio de usuario Michael Bonilla a Jorge Vasquez"/>
    <n v="72"/>
    <b v="1"/>
    <s v="[24990, 24635, 24634, 24612, 24435, 24194, 24159]"/>
    <m/>
    <s v="04889@general.tbd"/>
    <n v="24635"/>
    <n v="0"/>
    <n v="314"/>
    <n v="8777"/>
    <s v="Mesa Ayuda Infraestructura"/>
    <n v="55.366111111111103"/>
    <m/>
  </r>
  <r>
    <n v="3658"/>
    <n v="0.233333333333333"/>
    <d v="1899-12-30T00:14:00"/>
    <s v="50-Finalizado"/>
    <d v="1900-01-02T00:00:00"/>
    <x v="46"/>
    <d v="2024-08-07T00:00:00"/>
    <d v="2024-08-05T14:35:24"/>
    <x v="33"/>
    <n v="55.366111111111103"/>
    <d v="1900-01-01T07:21:58"/>
    <d v="2024-08-05T00:00:00"/>
    <d v="2024-08-05T14:35:24"/>
    <m/>
    <d v="1899-12-31T00:00:00"/>
    <d v="2024-08-07T21:57:22"/>
    <b v="1"/>
    <d v="2024-08-07T21:57:22"/>
    <d v="2024-08-20T19:15:38"/>
    <d v="2024-08-20T19:15:38"/>
    <m/>
    <m/>
    <d v="2024-08-06T00:00:00"/>
    <s v="Backup Michael Bonilla"/>
    <x v="9"/>
    <s v="Configuracion Hardware"/>
    <x v="2"/>
    <s v="Laptop"/>
    <m/>
    <m/>
    <s v="CANELLA, SOCIEDAD ANONIMA"/>
    <s v="YAMAHA LIBERACION"/>
    <n v="3560"/>
    <n v="35"/>
    <s v="Mesa Ayuda Infraestructura"/>
    <n v="247696"/>
    <s v="JORGE ESTUARDO VASQUEZ GAVIDIA"/>
    <n v="314"/>
    <s v="CANELLA"/>
    <n v="1"/>
    <n v="20"/>
    <m/>
    <m/>
    <n v="1"/>
    <s v="CANELLA"/>
    <n v="314"/>
    <s v="Yosselyn Ignacio"/>
    <m/>
    <s v="normal"/>
    <s v="En proceso"/>
    <s v="Cambio de usuario Michael Bonilla a Jorge Vasquez"/>
    <n v="72"/>
    <b v="1"/>
    <s v="[24990, 24635, 24634, 24612, 24435, 24194, 24159]"/>
    <m/>
    <s v="04889@general.tbd"/>
    <n v="24634"/>
    <n v="0"/>
    <n v="314"/>
    <n v="8777"/>
    <s v="Mesa Ayuda Infraestructura"/>
    <n v="55.366111111111103"/>
    <m/>
  </r>
  <r>
    <n v="3658"/>
    <n v="0.21666666666666601"/>
    <d v="1899-12-30T00:13:00"/>
    <s v="50-Finalizado"/>
    <d v="1900-01-02T00:00:00"/>
    <x v="46"/>
    <d v="2024-08-07T00:00:00"/>
    <d v="2024-08-05T14:35:24"/>
    <x v="33"/>
    <n v="55.366111111111103"/>
    <d v="1900-01-01T07:21:58"/>
    <d v="2024-08-05T00:00:00"/>
    <d v="2024-08-05T14:35:24"/>
    <m/>
    <d v="1899-12-31T00:00:00"/>
    <d v="2024-08-07T21:57:22"/>
    <b v="1"/>
    <d v="2024-08-07T21:57:22"/>
    <d v="2024-08-20T19:15:38"/>
    <d v="2024-08-20T19:15:38"/>
    <m/>
    <m/>
    <d v="2024-08-06T00:00:00"/>
    <s v="Indicaciones a Jose Julajuj cambio de equipo y traslado de información"/>
    <x v="9"/>
    <s v="Configuracion Hardware"/>
    <x v="2"/>
    <s v="Laptop"/>
    <m/>
    <m/>
    <s v="CANELLA, SOCIEDAD ANONIMA"/>
    <s v="YAMAHA LIBERACION"/>
    <n v="3560"/>
    <n v="35"/>
    <s v="Mesa Ayuda Infraestructura"/>
    <n v="247696"/>
    <s v="JORGE ESTUARDO VASQUEZ GAVIDIA"/>
    <n v="314"/>
    <s v="CANELLA"/>
    <n v="1"/>
    <n v="20"/>
    <m/>
    <m/>
    <n v="1"/>
    <s v="CANELLA"/>
    <n v="314"/>
    <s v="Yosselyn Ignacio"/>
    <m/>
    <s v="normal"/>
    <s v="En proceso"/>
    <s v="Cambio de usuario Michael Bonilla a Jorge Vasquez"/>
    <n v="72"/>
    <b v="1"/>
    <s v="[24990, 24635, 24634, 24612, 24435, 24194, 24159]"/>
    <m/>
    <s v="04889@general.tbd"/>
    <n v="24612"/>
    <n v="0"/>
    <n v="314"/>
    <n v="8777"/>
    <s v="Mesa Ayuda Infraestructura"/>
    <n v="55.366111111111103"/>
    <m/>
  </r>
  <r>
    <n v="3658"/>
    <n v="0.233333333333333"/>
    <d v="1899-12-30T00:14:00"/>
    <s v="50-Finalizado"/>
    <d v="1900-01-02T00:00:00"/>
    <x v="46"/>
    <d v="2024-08-07T00:00:00"/>
    <d v="2024-08-05T14:35:24"/>
    <x v="33"/>
    <n v="55.366111111111103"/>
    <d v="1900-01-01T07:21:58"/>
    <d v="2024-08-05T00:00:00"/>
    <d v="2024-08-05T14:35:24"/>
    <m/>
    <d v="1899-12-31T00:00:00"/>
    <d v="2024-08-07T21:57:22"/>
    <b v="1"/>
    <d v="2024-08-07T21:57:22"/>
    <d v="2024-08-20T19:15:38"/>
    <d v="2024-08-20T19:15:38"/>
    <m/>
    <m/>
    <d v="2024-08-05T00:00:00"/>
    <s v="Correo de aviso des habilitación de usuario e indicaciones para cambio de 02 usuarios"/>
    <x v="9"/>
    <s v="Configuracion Hardware"/>
    <x v="2"/>
    <s v="Laptop"/>
    <m/>
    <m/>
    <s v="CANELLA, SOCIEDAD ANONIMA"/>
    <s v="YAMAHA LIBERACION"/>
    <n v="3560"/>
    <n v="35"/>
    <s v="Mesa Ayuda Infraestructura"/>
    <n v="247696"/>
    <s v="JORGE ESTUARDO VASQUEZ GAVIDIA"/>
    <n v="314"/>
    <s v="CANELLA"/>
    <n v="1"/>
    <n v="20"/>
    <m/>
    <m/>
    <n v="1"/>
    <s v="CANELLA"/>
    <n v="314"/>
    <s v="Yosselyn Ignacio"/>
    <m/>
    <s v="normal"/>
    <s v="En proceso"/>
    <s v="Cambio de usuario Michael Bonilla a Jorge Vasquez"/>
    <n v="72"/>
    <b v="1"/>
    <s v="[24990, 24635, 24634, 24612, 24435, 24194, 24159]"/>
    <m/>
    <s v="04889@general.tbd"/>
    <n v="24435"/>
    <n v="0"/>
    <n v="314"/>
    <n v="8777"/>
    <s v="Mesa Ayuda Infraestructura"/>
    <n v="55.366111111111103"/>
    <m/>
  </r>
  <r>
    <n v="3658"/>
    <n v="0.133333333333333"/>
    <d v="1899-12-30T00:08:00"/>
    <s v="50-Finalizado"/>
    <d v="1900-01-02T00:00:00"/>
    <x v="46"/>
    <d v="2024-08-07T00:00:00"/>
    <d v="2024-08-05T14:35:24"/>
    <x v="33"/>
    <n v="55.366111111111103"/>
    <d v="1900-01-01T07:21:58"/>
    <d v="2024-08-05T00:00:00"/>
    <d v="2024-08-05T14:35:24"/>
    <m/>
    <d v="1899-12-31T00:00:00"/>
    <d v="2024-08-07T21:57:22"/>
    <b v="1"/>
    <d v="2024-08-07T21:57:22"/>
    <d v="2024-08-20T19:15:38"/>
    <d v="2024-08-20T19:15:38"/>
    <m/>
    <m/>
    <d v="2024-08-05T00:00:00"/>
    <s v="Bloquear el usuario Michael Bonilla"/>
    <x v="9"/>
    <s v="Configuracion Hardware"/>
    <x v="2"/>
    <s v="Laptop"/>
    <m/>
    <m/>
    <s v="CANELLA, SOCIEDAD ANONIMA"/>
    <s v="YAMAHA LIBERACION"/>
    <n v="3560"/>
    <n v="35"/>
    <s v="Mesa Ayuda Infraestructura"/>
    <n v="247696"/>
    <s v="JORGE ESTUARDO VASQUEZ GAVIDIA"/>
    <n v="314"/>
    <s v="CANELLA"/>
    <n v="1"/>
    <n v="20"/>
    <m/>
    <m/>
    <n v="1"/>
    <s v="CANELLA"/>
    <n v="314"/>
    <s v="Yosselyn Ignacio"/>
    <m/>
    <s v="normal"/>
    <s v="En proceso"/>
    <s v="Cambio de usuario Michael Bonilla a Jorge Vasquez"/>
    <n v="72"/>
    <b v="1"/>
    <s v="[24990, 24635, 24634, 24612, 24435, 24194, 24159]"/>
    <m/>
    <s v="04889@general.tbd"/>
    <n v="24194"/>
    <n v="0"/>
    <n v="314"/>
    <n v="8777"/>
    <s v="Mesa Ayuda Infraestructura"/>
    <n v="55.366111111111103"/>
    <m/>
  </r>
  <r>
    <n v="3658"/>
    <n v="0.36666666666666597"/>
    <d v="1899-12-30T00:22:00"/>
    <s v="50-Finalizado"/>
    <d v="1900-01-02T00:00:00"/>
    <x v="46"/>
    <d v="2024-08-07T00:00:00"/>
    <d v="2024-08-05T14:35:24"/>
    <x v="33"/>
    <n v="55.366111111111103"/>
    <d v="1900-01-01T07:21:58"/>
    <d v="2024-08-05T00:00:00"/>
    <d v="2024-08-05T14:35:24"/>
    <m/>
    <d v="1899-12-31T00:00:00"/>
    <d v="2024-08-07T21:57:22"/>
    <b v="1"/>
    <d v="2024-08-07T21:57:22"/>
    <d v="2024-08-20T19:15:38"/>
    <d v="2024-08-20T19:15:38"/>
    <m/>
    <m/>
    <d v="2024-08-05T00:00:00"/>
    <s v="Cambio de usuario Michael Bonilla a Jorge Vasquez, asignar a Técnico Nery Ixcot e indicar al usuario por llamada el proceso de deshabilitación de usuario"/>
    <x v="9"/>
    <s v="Configuracion Hardware"/>
    <x v="2"/>
    <s v="Laptop"/>
    <m/>
    <m/>
    <s v="CANELLA, SOCIEDAD ANONIMA"/>
    <s v="YAMAHA LIBERACION"/>
    <n v="3560"/>
    <n v="35"/>
    <s v="Mesa Ayuda Infraestructura"/>
    <n v="247696"/>
    <s v="JORGE ESTUARDO VASQUEZ GAVIDIA"/>
    <n v="314"/>
    <s v="CANELLA"/>
    <n v="1"/>
    <n v="20"/>
    <m/>
    <m/>
    <n v="1"/>
    <s v="CANELLA"/>
    <n v="314"/>
    <s v="Yosselyn Ignacio"/>
    <m/>
    <s v="normal"/>
    <s v="En proceso"/>
    <s v="Cambio de usuario Michael Bonilla a Jorge Vasquez"/>
    <n v="72"/>
    <b v="1"/>
    <s v="[24990, 24635, 24634, 24612, 24435, 24194, 24159]"/>
    <m/>
    <s v="04889@general.tbd"/>
    <n v="24159"/>
    <n v="0"/>
    <n v="314"/>
    <n v="8777"/>
    <s v="Mesa Ayuda Infraestructura"/>
    <n v="55.366111111111103"/>
    <m/>
  </r>
  <r>
    <n v="3567"/>
    <n v="0.45"/>
    <d v="1899-12-30T00:27:00"/>
    <s v="50-Finalizado"/>
    <d v="1900-01-02T00:00:00"/>
    <x v="47"/>
    <d v="2024-08-09T00:00:00"/>
    <d v="2024-08-02T18:22:18"/>
    <x v="34"/>
    <n v="168.19972222222199"/>
    <d v="1900-01-06T00:11:59"/>
    <d v="2024-08-02T00:00:00"/>
    <d v="2024-08-02T18:22:18"/>
    <m/>
    <d v="1899-12-31T00:00:00"/>
    <d v="2024-08-09T18:34:17"/>
    <b v="1"/>
    <d v="2024-08-09T18:34:17"/>
    <d v="2024-08-20T19:15:38"/>
    <d v="2024-08-20T19:15:38"/>
    <m/>
    <m/>
    <d v="2024-08-02T00:00:00"/>
    <s v="Reunión por recuento de información para la compra de licencias para proyecto de WMS"/>
    <x v="3"/>
    <m/>
    <x v="2"/>
    <m/>
    <m/>
    <m/>
    <s v="CANELLA, SOCIEDAD ANONIMA"/>
    <s v="INFORMATICA"/>
    <n v="3469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Reunión por recuento de información para la compra de licencias para proyecto de WMS&lt;/p&gt;"/>
    <s v="normal"/>
    <s v="En proceso"/>
    <s v="Reunión por Licencias WMS"/>
    <n v="72"/>
    <b v="1"/>
    <s v="[23518]"/>
    <m/>
    <s v="04025@general.tbd"/>
    <n v="23518"/>
    <n v="0"/>
    <n v="299"/>
    <n v="8777"/>
    <s v="Mesa Ayuda Infraestructura"/>
    <n v="168.19972222222199"/>
    <m/>
  </r>
  <r>
    <n v="3563"/>
    <n v="1.4666666666666599"/>
    <d v="1899-12-30T01:28:00"/>
    <s v="50-Finalizado"/>
    <d v="1900-01-02T00:00:00"/>
    <x v="48"/>
    <d v="2024-08-09T00:00:00"/>
    <d v="2024-08-02T18:04:46"/>
    <x v="35"/>
    <n v="168.493333333333"/>
    <d v="1900-01-06T00:29:36"/>
    <d v="2024-08-02T00:00:00"/>
    <d v="2024-08-02T18:04:46"/>
    <m/>
    <d v="1899-12-31T00:00:00"/>
    <d v="2024-08-09T18:34:22"/>
    <b v="1"/>
    <d v="2024-08-09T18:34:22"/>
    <d v="2024-08-20T19:15:38"/>
    <d v="2024-08-20T19:15:38"/>
    <m/>
    <m/>
    <d v="2024-08-02T00:00:00"/>
    <s v="Se verifica pago para uso de ambiente de pruebas en Oddo ( Proyecto Créditos y Cobros) debido a un error en consola el cual se dio porque indicaba el vencimiento de la licencia que se encontraba próximo."/>
    <x v="3"/>
    <m/>
    <x v="2"/>
    <m/>
    <m/>
    <m/>
    <s v="No Partner"/>
    <s v="No Partner"/>
    <n v="3465"/>
    <n v="35"/>
    <s v="Mesa Ayuda Infraestructura"/>
    <m/>
    <m/>
    <n v="299"/>
    <s v="CANELLA"/>
    <m/>
    <m/>
    <m/>
    <m/>
    <n v="1"/>
    <s v="CANELLA"/>
    <n v="299"/>
    <s v="Rosario Lic"/>
    <m/>
    <s v="normal"/>
    <s v="En proceso"/>
    <s v="Pago de ambiente de pruebas Odoo"/>
    <n v="72"/>
    <b v="1"/>
    <s v="[23507]"/>
    <m/>
    <s v="No Partner"/>
    <n v="23507"/>
    <n v="0"/>
    <n v="299"/>
    <n v="8777"/>
    <s v="Mesa Ayuda Infraestructura"/>
    <n v="168.493333333333"/>
    <m/>
  </r>
  <r>
    <n v="3388"/>
    <n v="1.6666666666666601"/>
    <d v="1899-12-30T01:40:00"/>
    <s v="50-Finalizado"/>
    <d v="1900-01-02T00:00:00"/>
    <x v="49"/>
    <d v="2024-08-19T00:00:00"/>
    <d v="2024-07-31T17:51:36"/>
    <x v="21"/>
    <n v="439.15472222222201"/>
    <d v="1900-01-17T07:09:17"/>
    <d v="2024-07-31T00:00:00"/>
    <d v="2024-07-31T17:51:36"/>
    <m/>
    <d v="1899-12-31T00:00:00"/>
    <d v="2024-08-19T01:00:53"/>
    <m/>
    <d v="1899-12-31T00:00:00"/>
    <d v="2024-08-20T19:15:38"/>
    <d v="2024-08-20T19:15:38"/>
    <m/>
    <m/>
    <d v="2024-08-09T00:00:00"/>
    <s v="Se procede a verificar información de pagos pendientes del año 2022"/>
    <x v="3"/>
    <s v="Orden de compra"/>
    <x v="2"/>
    <s v="Office 365"/>
    <s v="Outlook"/>
    <m/>
    <s v="CANELLA, SOCIEDAD ANONIMA"/>
    <s v="CONTABILIDAD, CANELLA, S. A."/>
    <n v="3290"/>
    <n v="35"/>
    <s v="Mesa Ayuda Infraestructura"/>
    <n v="247616"/>
    <s v="YESSICA ANDREA LOARCA AMEZQUITA de MARTINEZ"/>
    <n v="299"/>
    <s v="CANELLA"/>
    <n v="6"/>
    <n v="7"/>
    <n v="22"/>
    <m/>
    <n v="1"/>
    <s v="CANELLA"/>
    <n v="299"/>
    <s v="Rosario Lic"/>
    <m/>
    <s v="normal"/>
    <s v="En proceso"/>
    <s v="Cheques pendientes de Liquidar"/>
    <n v="72"/>
    <b v="1"/>
    <s v="[25486, 25221, 22721]"/>
    <m/>
    <s v="05432@general.tbd"/>
    <n v="25486"/>
    <n v="0"/>
    <n v="299"/>
    <n v="8777"/>
    <s v="Mesa Ayuda Infraestructura"/>
    <n v="439.15472222222201"/>
    <m/>
  </r>
  <r>
    <n v="3388"/>
    <n v="0.28333333333333299"/>
    <d v="1899-12-30T00:17:00"/>
    <s v="50-Finalizado"/>
    <d v="1900-01-02T00:00:00"/>
    <x v="49"/>
    <d v="2024-08-19T00:00:00"/>
    <d v="2024-07-31T17:51:36"/>
    <x v="21"/>
    <n v="439.15472222222201"/>
    <d v="1900-01-17T07:09:17"/>
    <d v="2024-07-31T00:00:00"/>
    <d v="2024-07-31T17:51:36"/>
    <m/>
    <d v="1899-12-31T00:00:00"/>
    <d v="2024-08-19T01:00:53"/>
    <m/>
    <d v="1899-12-31T00:00:00"/>
    <d v="2024-08-20T19:15:38"/>
    <d v="2024-08-20T19:15:38"/>
    <m/>
    <m/>
    <d v="2024-08-08T00:00:00"/>
    <s v="Se valida la información ya que contabilidad requiere el cierre de los anticipos emitidos en 2022"/>
    <x v="3"/>
    <s v="Orden de compra"/>
    <x v="2"/>
    <s v="Office 365"/>
    <s v="Outlook"/>
    <m/>
    <s v="CANELLA, SOCIEDAD ANONIMA"/>
    <s v="CONTABILIDAD, CANELLA, S. A."/>
    <n v="3290"/>
    <n v="35"/>
    <s v="Mesa Ayuda Infraestructura"/>
    <n v="247616"/>
    <s v="YESSICA ANDREA LOARCA AMEZQUITA de MARTINEZ"/>
    <n v="299"/>
    <s v="CANELLA"/>
    <n v="6"/>
    <n v="7"/>
    <n v="22"/>
    <m/>
    <n v="1"/>
    <s v="CANELLA"/>
    <n v="299"/>
    <s v="Rosario Lic"/>
    <m/>
    <s v="normal"/>
    <s v="En proceso"/>
    <s v="Cheques pendientes de Liquidar"/>
    <n v="72"/>
    <b v="1"/>
    <s v="[25486, 25221, 22721]"/>
    <m/>
    <s v="05432@general.tbd"/>
    <n v="25221"/>
    <n v="0"/>
    <n v="299"/>
    <n v="8777"/>
    <s v="Mesa Ayuda Infraestructura"/>
    <n v="439.15472222222201"/>
    <m/>
  </r>
  <r>
    <n v="3388"/>
    <n v="0.33333333333333298"/>
    <d v="1899-12-30T00:20:00"/>
    <s v="50-Finalizado"/>
    <d v="1900-01-02T00:00:00"/>
    <x v="49"/>
    <d v="2024-08-19T00:00:00"/>
    <d v="2024-07-31T17:51:36"/>
    <x v="21"/>
    <n v="439.15472222222201"/>
    <d v="1900-01-17T07:09:17"/>
    <d v="2024-07-31T00:00:00"/>
    <d v="2024-07-31T17:51:36"/>
    <m/>
    <d v="1899-12-31T00:00:00"/>
    <d v="2024-08-19T01:00:53"/>
    <m/>
    <d v="1899-12-31T00:00:00"/>
    <d v="2024-08-20T19:15:38"/>
    <d v="2024-08-20T19:15:38"/>
    <m/>
    <m/>
    <d v="2024-07-31T00:00:00"/>
    <s v="Se verifica los trabajos pendientes de liquidación de: 1. Consulting Systems and Technology 2. Perinola  1.Pendiente de autorización para proceder con el pago. 2.El proveedor aún no termina el trabajo."/>
    <x v="3"/>
    <s v="Orden de compra"/>
    <x v="2"/>
    <s v="Office 365"/>
    <s v="Outlook"/>
    <m/>
    <s v="CANELLA, SOCIEDAD ANONIMA"/>
    <s v="CONTABILIDAD, CANELLA, S. A."/>
    <n v="3290"/>
    <n v="35"/>
    <s v="Mesa Ayuda Infraestructura"/>
    <n v="247616"/>
    <s v="YESSICA ANDREA LOARCA AMEZQUITA de MARTINEZ"/>
    <n v="299"/>
    <s v="CANELLA"/>
    <n v="6"/>
    <n v="7"/>
    <n v="22"/>
    <m/>
    <n v="1"/>
    <s v="CANELLA"/>
    <n v="299"/>
    <s v="Rosario Lic"/>
    <m/>
    <s v="normal"/>
    <s v="En proceso"/>
    <s v="Cheques pendientes de Liquidar"/>
    <n v="72"/>
    <b v="1"/>
    <s v="[25486, 25221, 22721]"/>
    <m/>
    <s v="05432@general.tbd"/>
    <n v="22721"/>
    <n v="0"/>
    <n v="299"/>
    <n v="8777"/>
    <s v="Mesa Ayuda Infraestructura"/>
    <n v="439.15472222222201"/>
    <m/>
  </r>
  <r>
    <n v="3297"/>
    <n v="0.16666666666666599"/>
    <d v="1899-12-30T00:10:00"/>
    <s v="50-Finalizado"/>
    <d v="1900-01-02T00:00:00"/>
    <x v="50"/>
    <d v="2024-08-11T00:00:00"/>
    <d v="2024-07-30T18:05:29"/>
    <x v="36"/>
    <n v="270.92916666666599"/>
    <d v="1900-01-10T06:55:45"/>
    <d v="2024-07-30T00:00:00"/>
    <d v="2024-07-30T18:05:29"/>
    <m/>
    <d v="1899-12-31T00:00:00"/>
    <d v="2024-08-11T01:01:14"/>
    <b v="1"/>
    <d v="2024-08-11T01:01:14"/>
    <d v="2024-08-20T19:15:38"/>
    <d v="2024-08-20T19:15:38"/>
    <m/>
    <m/>
    <d v="2024-07-31T00:00:00"/>
    <s v="Verificación de información para descripción de orden de compa."/>
    <x v="3"/>
    <s v="Orden de compra"/>
    <x v="2"/>
    <m/>
    <m/>
    <m/>
    <s v="CANELLA, SOCIEDAD ANONIMA"/>
    <s v="INFORMATICA"/>
    <n v="3199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m/>
    <s v="normal"/>
    <s v="En proceso"/>
    <s v="seguimiento a planta telefónica LOUNGE y número de teléfono"/>
    <n v="72"/>
    <b v="1"/>
    <n v="22419"/>
    <m/>
    <s v="04025@general.tbd"/>
    <n v="22673"/>
    <n v="0"/>
    <n v="299"/>
    <n v="8777"/>
    <s v="Mesa Ayuda Infraestructura"/>
    <n v="270.92916666666599"/>
    <m/>
  </r>
  <r>
    <n v="3297"/>
    <n v="0.5"/>
    <d v="1899-12-30T00:30:00"/>
    <s v="50-Finalizado"/>
    <d v="1900-01-02T00:00:00"/>
    <x v="50"/>
    <d v="2024-08-11T00:00:00"/>
    <d v="2024-07-30T18:05:29"/>
    <x v="36"/>
    <n v="270.92916666666599"/>
    <d v="1900-01-10T06:55:45"/>
    <d v="2024-07-30T00:00:00"/>
    <d v="2024-07-30T18:05:29"/>
    <m/>
    <d v="1899-12-31T00:00:00"/>
    <d v="2024-08-11T01:01:14"/>
    <b v="1"/>
    <d v="2024-08-11T01:01:14"/>
    <d v="2024-08-20T19:15:38"/>
    <d v="2024-08-20T19:15:38"/>
    <m/>
    <m/>
    <d v="2024-07-30T00:00:00"/>
    <s v="Orden de compra y verificación de trámite para pago de empresa INVERSIONES DIVERSAS, CAPITALES Y NEGOCIOS"/>
    <x v="3"/>
    <s v="Orden de compra"/>
    <x v="2"/>
    <m/>
    <m/>
    <m/>
    <s v="CANELLA, SOCIEDAD ANONIMA"/>
    <s v="INFORMATICA"/>
    <n v="3199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m/>
    <s v="normal"/>
    <s v="En proceso"/>
    <s v="seguimiento a planta telefónica LOUNGE y número de teléfono"/>
    <n v="72"/>
    <b v="1"/>
    <n v="22419"/>
    <m/>
    <s v="04025@general.tbd"/>
    <n v="22419"/>
    <n v="0"/>
    <n v="299"/>
    <n v="8777"/>
    <s v="Mesa Ayuda Infraestructura"/>
    <n v="270.92916666666599"/>
    <m/>
  </r>
  <r>
    <n v="3281"/>
    <n v="0.18333333333333299"/>
    <d v="1899-12-30T00:11:00"/>
    <s v="50-Finalizado"/>
    <d v="1900-01-02T00:00:00"/>
    <x v="51"/>
    <d v="2024-08-07T00:00:00"/>
    <d v="2024-07-30T15:31:27"/>
    <x v="37"/>
    <n v="200.109166666666"/>
    <d v="1900-01-07T08:06:33"/>
    <d v="2024-07-30T00:00:00"/>
    <d v="2024-07-30T15:31:27"/>
    <m/>
    <d v="1899-12-31T00:00:00"/>
    <d v="2024-08-07T23:38:00"/>
    <b v="1"/>
    <d v="2024-08-07T23:38:00"/>
    <d v="2024-08-20T19:15:38"/>
    <d v="2024-08-20T19:15:38"/>
    <m/>
    <m/>
    <d v="2024-08-06T00:00:00"/>
    <s v="Seguimiento de distribucion / OC de tecnobodega encargada de realizarlo Carolina Videz"/>
    <x v="3"/>
    <m/>
    <x v="2"/>
    <m/>
    <m/>
    <m/>
    <s v="CANELLA, SOCIEDAD ANONIMA"/>
    <s v="INFORMATICA"/>
    <n v="318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Renovación Licencias ESET 2024 - 2025"/>
    <n v="72"/>
    <b v="1"/>
    <s v="[24603, 24602, 24440, 23900, 23520, 23231, 23045, 22873, 22678, 22382]"/>
    <m/>
    <s v="04025@general.tbd"/>
    <n v="24603"/>
    <n v="0"/>
    <n v="299"/>
    <n v="8777"/>
    <s v="Mesa Ayuda Infraestructura"/>
    <n v="200.109166666666"/>
    <m/>
  </r>
  <r>
    <n v="3281"/>
    <n v="0.38333333333333303"/>
    <d v="1899-12-30T00:23:00"/>
    <s v="50-Finalizado"/>
    <d v="1900-01-02T00:00:00"/>
    <x v="51"/>
    <d v="2024-08-07T00:00:00"/>
    <d v="2024-07-30T15:31:27"/>
    <x v="37"/>
    <n v="200.109166666666"/>
    <d v="1900-01-07T08:06:33"/>
    <d v="2024-07-30T00:00:00"/>
    <d v="2024-07-30T15:31:27"/>
    <m/>
    <d v="1899-12-31T00:00:00"/>
    <d v="2024-08-07T23:38:00"/>
    <b v="1"/>
    <d v="2024-08-07T23:38:00"/>
    <d v="2024-08-20T19:15:38"/>
    <d v="2024-08-20T19:15:38"/>
    <m/>
    <m/>
    <d v="2024-08-06T00:00:00"/>
    <s v="Se procede a verificar información para llenar excel solicitado por ESET para renovación de licencias de corporación Canella"/>
    <x v="3"/>
    <m/>
    <x v="2"/>
    <m/>
    <m/>
    <m/>
    <s v="CANELLA, SOCIEDAD ANONIMA"/>
    <s v="INFORMATICA"/>
    <n v="318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Renovación Licencias ESET 2024 - 2025"/>
    <n v="72"/>
    <b v="1"/>
    <s v="[24603, 24602, 24440, 23900, 23520, 23231, 23045, 22873, 22678, 22382]"/>
    <m/>
    <s v="04025@general.tbd"/>
    <n v="24602"/>
    <n v="0"/>
    <n v="299"/>
    <n v="8777"/>
    <s v="Mesa Ayuda Infraestructura"/>
    <n v="200.109166666666"/>
    <m/>
  </r>
  <r>
    <n v="3281"/>
    <n v="0.483333333333333"/>
    <d v="1899-12-30T00:29:00"/>
    <s v="50-Finalizado"/>
    <d v="1900-01-02T00:00:00"/>
    <x v="51"/>
    <d v="2024-08-07T00:00:00"/>
    <d v="2024-07-30T15:31:27"/>
    <x v="37"/>
    <n v="200.109166666666"/>
    <d v="1900-01-07T08:06:33"/>
    <d v="2024-07-30T00:00:00"/>
    <d v="2024-07-30T15:31:27"/>
    <m/>
    <d v="1899-12-31T00:00:00"/>
    <d v="2024-08-07T23:38:00"/>
    <b v="1"/>
    <d v="2024-08-07T23:38:00"/>
    <d v="2024-08-20T19:15:38"/>
    <d v="2024-08-20T19:15:38"/>
    <m/>
    <m/>
    <d v="2024-08-05T00:00:00"/>
    <s v="Se brinda seguimiento de orden de compra por renovación ESET Tecnobodega"/>
    <x v="3"/>
    <m/>
    <x v="2"/>
    <m/>
    <m/>
    <m/>
    <s v="CANELLA, SOCIEDAD ANONIMA"/>
    <s v="INFORMATICA"/>
    <n v="318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Renovación Licencias ESET 2024 - 2025"/>
    <n v="72"/>
    <b v="1"/>
    <s v="[24603, 24602, 24440, 23900, 23520, 23231, 23045, 22873, 22678, 22382]"/>
    <m/>
    <s v="04025@general.tbd"/>
    <n v="24440"/>
    <n v="0"/>
    <n v="299"/>
    <n v="8777"/>
    <s v="Mesa Ayuda Infraestructura"/>
    <n v="200.109166666666"/>
    <m/>
  </r>
  <r>
    <n v="3281"/>
    <n v="4.36666666666666"/>
    <d v="1899-12-30T04:22:00"/>
    <s v="50-Finalizado"/>
    <d v="1900-01-02T00:00:00"/>
    <x v="51"/>
    <d v="2024-08-07T00:00:00"/>
    <d v="2024-07-30T15:31:27"/>
    <x v="37"/>
    <n v="200.109166666666"/>
    <d v="1900-01-07T08:06:33"/>
    <d v="2024-07-30T00:00:00"/>
    <d v="2024-07-30T15:31:27"/>
    <m/>
    <d v="1899-12-31T00:00:00"/>
    <d v="2024-08-07T23:38:00"/>
    <b v="1"/>
    <d v="2024-08-07T23:38:00"/>
    <d v="2024-08-20T19:15:38"/>
    <d v="2024-08-20T19:15:38"/>
    <m/>
    <m/>
    <d v="2024-08-02T00:00:00"/>
    <s v="Firma, envió de orden de compra y envío de archivo con información para tenant"/>
    <x v="3"/>
    <m/>
    <x v="2"/>
    <m/>
    <m/>
    <m/>
    <s v="CANELLA, SOCIEDAD ANONIMA"/>
    <s v="INFORMATICA"/>
    <n v="318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Renovación Licencias ESET 2024 - 2025"/>
    <n v="72"/>
    <b v="1"/>
    <s v="[24603, 24602, 24440, 23900, 23520, 23231, 23045, 22873, 22678, 22382]"/>
    <m/>
    <s v="04025@general.tbd"/>
    <n v="23900"/>
    <n v="0"/>
    <n v="299"/>
    <n v="8777"/>
    <s v="Mesa Ayuda Infraestructura"/>
    <n v="200.109166666666"/>
    <m/>
  </r>
  <r>
    <n v="3281"/>
    <n v="0.51666666666666605"/>
    <d v="1899-12-30T00:31:00"/>
    <s v="50-Finalizado"/>
    <d v="1900-01-02T00:00:00"/>
    <x v="51"/>
    <d v="2024-08-07T00:00:00"/>
    <d v="2024-07-30T15:31:27"/>
    <x v="37"/>
    <n v="200.109166666666"/>
    <d v="1900-01-07T08:06:33"/>
    <d v="2024-07-30T00:00:00"/>
    <d v="2024-07-30T15:31:27"/>
    <m/>
    <d v="1899-12-31T00:00:00"/>
    <d v="2024-08-07T23:38:00"/>
    <b v="1"/>
    <d v="2024-08-07T23:38:00"/>
    <d v="2024-08-20T19:15:38"/>
    <d v="2024-08-20T19:15:38"/>
    <m/>
    <m/>
    <d v="2024-08-02T00:00:00"/>
    <s v="Verificación de montos en quetzales y dólares por centro de costo."/>
    <x v="3"/>
    <m/>
    <x v="2"/>
    <m/>
    <m/>
    <m/>
    <s v="CANELLA, SOCIEDAD ANONIMA"/>
    <s v="INFORMATICA"/>
    <n v="318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Renovación Licencias ESET 2024 - 2025"/>
    <n v="72"/>
    <b v="1"/>
    <s v="[24603, 24602, 24440, 23900, 23520, 23231, 23045, 22873, 22678, 22382]"/>
    <m/>
    <s v="04025@general.tbd"/>
    <n v="23520"/>
    <n v="0"/>
    <n v="299"/>
    <n v="8777"/>
    <s v="Mesa Ayuda Infraestructura"/>
    <n v="200.109166666666"/>
    <m/>
  </r>
  <r>
    <n v="3281"/>
    <n v="4"/>
    <d v="1899-12-30T04:00:00"/>
    <s v="50-Finalizado"/>
    <d v="1900-01-02T00:00:00"/>
    <x v="51"/>
    <d v="2024-08-07T00:00:00"/>
    <d v="2024-07-30T15:31:27"/>
    <x v="37"/>
    <n v="200.109166666666"/>
    <d v="1900-01-07T08:06:33"/>
    <d v="2024-07-30T00:00:00"/>
    <d v="2024-07-30T15:31:27"/>
    <m/>
    <d v="1899-12-31T00:00:00"/>
    <d v="2024-08-07T23:38:00"/>
    <b v="1"/>
    <d v="2024-08-07T23:38:00"/>
    <d v="2024-08-20T19:15:38"/>
    <d v="2024-08-20T19:15:38"/>
    <m/>
    <m/>
    <d v="2024-08-01T00:00:00"/>
    <s v="Distribución de orden de compra de corporación canella"/>
    <x v="3"/>
    <m/>
    <x v="2"/>
    <m/>
    <m/>
    <m/>
    <s v="CANELLA, SOCIEDAD ANONIMA"/>
    <s v="INFORMATICA"/>
    <n v="318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Renovación Licencias ESET 2024 - 2025"/>
    <n v="72"/>
    <b v="1"/>
    <s v="[24603, 24602, 24440, 23900, 23520, 23231, 23045, 22873, 22678, 22382]"/>
    <m/>
    <s v="04025@general.tbd"/>
    <n v="23231"/>
    <n v="0"/>
    <n v="299"/>
    <n v="8777"/>
    <s v="Mesa Ayuda Infraestructura"/>
    <n v="200.109166666666"/>
    <m/>
  </r>
  <r>
    <n v="3281"/>
    <n v="3"/>
    <d v="1899-12-30T03:00:00"/>
    <s v="50-Finalizado"/>
    <d v="1900-01-02T00:00:00"/>
    <x v="51"/>
    <d v="2024-08-07T00:00:00"/>
    <d v="2024-07-30T15:31:27"/>
    <x v="37"/>
    <n v="200.109166666666"/>
    <d v="1900-01-07T08:06:33"/>
    <d v="2024-07-30T00:00:00"/>
    <d v="2024-07-30T15:31:27"/>
    <m/>
    <d v="1899-12-31T00:00:00"/>
    <d v="2024-08-07T23:38:00"/>
    <b v="1"/>
    <d v="2024-08-07T23:38:00"/>
    <d v="2024-08-20T19:15:38"/>
    <d v="2024-08-20T19:15:38"/>
    <m/>
    <m/>
    <d v="2024-08-01T00:00:00"/>
    <s v="Distribución de orden de compra de corporación canella"/>
    <x v="3"/>
    <m/>
    <x v="2"/>
    <m/>
    <m/>
    <m/>
    <s v="CANELLA, SOCIEDAD ANONIMA"/>
    <s v="INFORMATICA"/>
    <n v="318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Renovación Licencias ESET 2024 - 2025"/>
    <n v="72"/>
    <b v="1"/>
    <s v="[24603, 24602, 24440, 23900, 23520, 23231, 23045, 22873, 22678, 22382]"/>
    <m/>
    <s v="04025@general.tbd"/>
    <n v="23045"/>
    <n v="0"/>
    <n v="299"/>
    <n v="8777"/>
    <s v="Mesa Ayuda Infraestructura"/>
    <n v="200.109166666666"/>
    <m/>
  </r>
  <r>
    <n v="3281"/>
    <n v="4.25"/>
    <d v="1899-12-30T04:15:00"/>
    <s v="50-Finalizado"/>
    <d v="1900-01-02T00:00:00"/>
    <x v="51"/>
    <d v="2024-08-07T00:00:00"/>
    <d v="2024-07-30T15:31:27"/>
    <x v="37"/>
    <n v="200.109166666666"/>
    <d v="1900-01-07T08:06:33"/>
    <d v="2024-07-30T00:00:00"/>
    <d v="2024-07-30T15:31:27"/>
    <m/>
    <d v="1899-12-31T00:00:00"/>
    <d v="2024-08-07T23:38:00"/>
    <b v="1"/>
    <d v="2024-08-07T23:38:00"/>
    <d v="2024-08-20T19:15:38"/>
    <d v="2024-08-20T19:15:38"/>
    <m/>
    <m/>
    <d v="2024-07-31T00:00:00"/>
    <s v="Distribución de orden de compra de corporación canella"/>
    <x v="3"/>
    <m/>
    <x v="2"/>
    <m/>
    <m/>
    <m/>
    <s v="CANELLA, SOCIEDAD ANONIMA"/>
    <s v="INFORMATICA"/>
    <n v="318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Renovación Licencias ESET 2024 - 2025"/>
    <n v="72"/>
    <b v="1"/>
    <s v="[24603, 24602, 24440, 23900, 23520, 23231, 23045, 22873, 22678, 22382]"/>
    <m/>
    <s v="04025@general.tbd"/>
    <n v="22873"/>
    <n v="0"/>
    <n v="299"/>
    <n v="8777"/>
    <s v="Mesa Ayuda Infraestructura"/>
    <n v="200.109166666666"/>
    <m/>
  </r>
  <r>
    <n v="3281"/>
    <n v="1"/>
    <d v="1899-12-30T01:00:00"/>
    <s v="50-Finalizado"/>
    <d v="1900-01-02T00:00:00"/>
    <x v="51"/>
    <d v="2024-08-07T00:00:00"/>
    <d v="2024-07-30T15:31:27"/>
    <x v="37"/>
    <n v="200.109166666666"/>
    <d v="1900-01-07T08:06:33"/>
    <d v="2024-07-30T00:00:00"/>
    <d v="2024-07-30T15:31:27"/>
    <m/>
    <d v="1899-12-31T00:00:00"/>
    <d v="2024-08-07T23:38:00"/>
    <b v="1"/>
    <d v="2024-08-07T23:38:00"/>
    <d v="2024-08-20T19:15:38"/>
    <d v="2024-08-20T19:15:38"/>
    <m/>
    <m/>
    <d v="2024-07-31T00:00:00"/>
    <s v="Distribución de orden de compra de corporación canella"/>
    <x v="3"/>
    <m/>
    <x v="2"/>
    <m/>
    <m/>
    <m/>
    <s v="CANELLA, SOCIEDAD ANONIMA"/>
    <s v="INFORMATICA"/>
    <n v="318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Renovación Licencias ESET 2024 - 2025"/>
    <n v="72"/>
    <b v="1"/>
    <s v="[24603, 24602, 24440, 23900, 23520, 23231, 23045, 22873, 22678, 22382]"/>
    <m/>
    <s v="04025@general.tbd"/>
    <n v="22678"/>
    <n v="0"/>
    <n v="299"/>
    <n v="8777"/>
    <s v="Mesa Ayuda Infraestructura"/>
    <n v="200.109166666666"/>
    <m/>
  </r>
  <r>
    <n v="3281"/>
    <n v="1.5"/>
    <d v="1899-12-30T01:30:00"/>
    <s v="50-Finalizado"/>
    <d v="1900-01-02T00:00:00"/>
    <x v="51"/>
    <d v="2024-08-07T00:00:00"/>
    <d v="2024-07-30T15:31:27"/>
    <x v="37"/>
    <n v="200.109166666666"/>
    <d v="1900-01-07T08:06:33"/>
    <d v="2024-07-30T00:00:00"/>
    <d v="2024-07-30T15:31:27"/>
    <m/>
    <d v="1899-12-31T00:00:00"/>
    <d v="2024-08-07T23:38:00"/>
    <b v="1"/>
    <d v="2024-08-07T23:38:00"/>
    <d v="2024-08-20T19:15:38"/>
    <d v="2024-08-20T19:15:38"/>
    <m/>
    <m/>
    <d v="2024-07-30T00:00:00"/>
    <s v="Se procede a verificar y a dar inicio al trámite de orden de compra para la renovación de licencias ESET de corporacion Canella y Tecnobodega"/>
    <x v="3"/>
    <m/>
    <x v="2"/>
    <m/>
    <m/>
    <m/>
    <s v="CANELLA, SOCIEDAD ANONIMA"/>
    <s v="INFORMATICA"/>
    <n v="318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Renovación Licencias ESET 2024 - 2025"/>
    <n v="72"/>
    <b v="1"/>
    <s v="[24603, 24602, 24440, 23900, 23520, 23231, 23045, 22873, 22678, 22382]"/>
    <m/>
    <s v="04025@general.tbd"/>
    <n v="22382"/>
    <n v="0"/>
    <n v="299"/>
    <n v="8777"/>
    <s v="Mesa Ayuda Infraestructura"/>
    <n v="200.109166666666"/>
    <m/>
  </r>
  <r>
    <n v="3230"/>
    <n v="0.16666666666666599"/>
    <d v="1899-12-30T00:10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8-13T00:00:00"/>
    <s v="Recepción de dado en recepción 1er nivel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6499"/>
    <n v="0"/>
    <n v="299"/>
    <n v="8777"/>
    <s v="Mesa Ayuda Infraestructura"/>
    <n v="435.78861111111098"/>
    <m/>
  </r>
  <r>
    <n v="3230"/>
    <n v="8.3333333333333301E-2"/>
    <d v="1899-12-30T00:05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8-13T00:00:00"/>
    <s v="Seguimiento de compra de adaptador en Kemik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6453"/>
    <n v="0"/>
    <n v="299"/>
    <n v="8777"/>
    <s v="Mesa Ayuda Infraestructura"/>
    <n v="435.78861111111098"/>
    <m/>
  </r>
  <r>
    <n v="3230"/>
    <n v="0.33333333333333298"/>
    <d v="1899-12-30T00:20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8-12T00:00:00"/>
    <s v="Reserva y seguimiento de trabajo (instalación de cable y aplicación de silicon)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6236"/>
    <n v="0"/>
    <n v="299"/>
    <n v="8777"/>
    <s v="Mesa Ayuda Infraestructura"/>
    <n v="435.78861111111098"/>
    <m/>
  </r>
  <r>
    <n v="3230"/>
    <n v="8.3333333333333301E-2"/>
    <d v="1899-12-30T00:05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8-12T00:00:00"/>
    <s v="Se procede a solicitar vale de caja chica para realizar la compra del cargador en Kemik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6136"/>
    <n v="0"/>
    <n v="299"/>
    <n v="8777"/>
    <s v="Mesa Ayuda Infraestructura"/>
    <n v="435.78861111111098"/>
    <m/>
  </r>
  <r>
    <n v="3230"/>
    <n v="0.25"/>
    <d v="1899-12-30T00:15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8-12T00:00:00"/>
    <s v="Se realiza cotización por compra de cargador para tablet en sala grande.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6135"/>
    <n v="0"/>
    <n v="299"/>
    <n v="8777"/>
    <s v="Mesa Ayuda Infraestructura"/>
    <n v="435.78861111111098"/>
    <m/>
  </r>
  <r>
    <n v="3230"/>
    <n v="0.36666666666666597"/>
    <d v="1899-12-30T00:22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8-09T00:00:00"/>
    <s v="Cotización de cargador para tablet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5706"/>
    <n v="0"/>
    <n v="299"/>
    <n v="8777"/>
    <s v="Mesa Ayuda Infraestructura"/>
    <n v="435.78861111111098"/>
    <m/>
  </r>
  <r>
    <n v="3230"/>
    <n v="0.266666666666666"/>
    <d v="1899-12-30T00:16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8-09T00:00:00"/>
    <s v="Configuración de correo en tablet para reserva de sala grande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5496"/>
    <n v="0"/>
    <n v="299"/>
    <n v="8777"/>
    <s v="Mesa Ayuda Infraestructura"/>
    <n v="435.78861111111098"/>
    <m/>
  </r>
  <r>
    <n v="3230"/>
    <n v="0.28333333333333299"/>
    <d v="1899-12-30T00:17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8-09T00:00:00"/>
    <s v="Se procede a supervisar trabajo de instalación de marco para tablet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5495"/>
    <n v="0"/>
    <n v="299"/>
    <n v="8777"/>
    <s v="Mesa Ayuda Infraestructura"/>
    <n v="435.78861111111098"/>
    <m/>
  </r>
  <r>
    <n v="3230"/>
    <n v="0.21666666666666601"/>
    <d v="1899-12-30T00:13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8-08T00:00:00"/>
    <s v="Se calendariza instalación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5223"/>
    <n v="0"/>
    <n v="299"/>
    <n v="8777"/>
    <s v="Mesa Ayuda Infraestructura"/>
    <n v="435.78861111111098"/>
    <m/>
  </r>
  <r>
    <n v="3230"/>
    <n v="0.4"/>
    <d v="1899-12-30T00:24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8-06T00:00:00"/>
    <s v="Recalendarización de instalación por inconvenientes ( Antonio tuvo que ir a zona 18 por una emergencia en otra empresa)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4755"/>
    <n v="0"/>
    <n v="299"/>
    <n v="8777"/>
    <s v="Mesa Ayuda Infraestructura"/>
    <n v="435.78861111111098"/>
    <m/>
  </r>
  <r>
    <n v="3230"/>
    <n v="0.5"/>
    <d v="1899-12-30T00:30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7-31T00:00:00"/>
    <s v="Verificación de cotización  y solicitud de autorización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2661"/>
    <n v="0"/>
    <n v="299"/>
    <n v="8777"/>
    <s v="Mesa Ayuda Infraestructura"/>
    <n v="435.78861111111098"/>
    <m/>
  </r>
  <r>
    <n v="3230"/>
    <n v="0.5"/>
    <d v="1899-12-30T00:30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7-29T00:00:00"/>
    <s v="Instalación de tablet para reserva de sala grande.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2153"/>
    <n v="0"/>
    <n v="299"/>
    <n v="8777"/>
    <s v="Mesa Ayuda Infraestructura"/>
    <n v="435.78861111111098"/>
    <m/>
  </r>
  <r>
    <n v="3181"/>
    <n v="0.83333333333333304"/>
    <d v="1899-12-30T00:50:00"/>
    <s v="50-Finalizado"/>
    <d v="1900-01-02T00:00:00"/>
    <x v="53"/>
    <d v="2024-08-09T00:00:00"/>
    <d v="2024-07-29T14:05:10"/>
    <x v="39"/>
    <n v="268.48750000000001"/>
    <d v="1900-01-10T04:29:15"/>
    <d v="2024-07-29T00:00:00"/>
    <d v="2024-07-29T14:05:10"/>
    <m/>
    <d v="1899-12-31T00:00:00"/>
    <d v="2024-08-09T18:34:25"/>
    <b v="1"/>
    <d v="2024-08-09T18:34:25"/>
    <d v="2024-08-20T19:15:38"/>
    <d v="2024-08-20T19:15:38"/>
    <m/>
    <m/>
    <d v="2024-07-29T00:00:00"/>
    <s v="Preparación de 4 Handhelds MC330L-G para uso en zona 13, se procedió a etiquetar correctamente el equipo, se agregaron 4 protectores, 4 estuches y 4 baterías de reemplazo.  El equipo de entregó a Ender Martinez para su entrega a z13 y se validó el equipo."/>
    <x v="3"/>
    <m/>
    <x v="2"/>
    <m/>
    <m/>
    <m/>
    <s v="CANELLA, SOCIEDAD ANONIMA"/>
    <s v="PROYECTOS Y ORGANIZACION Y METODOS"/>
    <n v="3083"/>
    <n v="35"/>
    <s v="Mesa Ayuda Infraestructura"/>
    <n v="247393"/>
    <s v="MIGUEL EDUARDO PEREZ LOPEZ"/>
    <n v="299"/>
    <s v="CANELLA"/>
    <m/>
    <m/>
    <m/>
    <m/>
    <n v="1"/>
    <s v="CANELLA"/>
    <n v="299"/>
    <s v="Rosario Lic"/>
    <m/>
    <s v="normal"/>
    <s v="En proceso"/>
    <s v="Envío de 4 Handheld"/>
    <n v="72"/>
    <b v="1"/>
    <s v="[22069]"/>
    <m/>
    <s v="06031@general.tbd"/>
    <n v="22069"/>
    <n v="0"/>
    <n v="299"/>
    <n v="8777"/>
    <s v="Mesa Ayuda Infraestructura"/>
    <n v="268.48750000000001"/>
    <m/>
  </r>
  <r>
    <n v="3162"/>
    <n v="0.33333333333333298"/>
    <d v="1899-12-30T00:20:00"/>
    <s v="50-Finalizado"/>
    <d v="1900-01-02T00:00:00"/>
    <x v="54"/>
    <d v="2024-07-26T00:00:00"/>
    <d v="2024-07-26T22:59:06"/>
    <x v="40"/>
    <n v="224.07361111111101"/>
    <d v="1900-01-08T08:04:25"/>
    <d v="2024-07-26T00:00:00"/>
    <d v="2024-07-26T22:59:06"/>
    <m/>
    <d v="1899-12-31T00:00:00"/>
    <d v="2024-08-05T07:03:31"/>
    <b v="1"/>
    <d v="2024-08-05T07:03:31"/>
    <d v="2024-08-20T19:15:38"/>
    <d v="2024-08-20T19:15:38"/>
    <m/>
    <m/>
    <d v="2024-07-29T00:00:00"/>
    <s v="Solicitar un A/C independiente con Joan Mario para el centro de datos Isuzu Teculutan"/>
    <x v="8"/>
    <s v="Configuracion Hardware"/>
    <x v="2"/>
    <s v="Data Center"/>
    <m/>
    <m/>
    <s v="CANELLA, SOCIEDAD ANONIMA"/>
    <s v="ISUZU RIO HONDO"/>
    <n v="3064"/>
    <n v="35"/>
    <s v="Mesa Ayuda Infraestructura"/>
    <n v="247731"/>
    <s v="JHOSSELIN SUSANA BARREDA RIOS"/>
    <n v="186"/>
    <s v="CANELLA"/>
    <n v="1"/>
    <n v="27"/>
    <m/>
    <m/>
    <n v="1"/>
    <s v="CANELLA"/>
    <n v="248"/>
    <s v="Juan Carlos Barillas"/>
    <s v="&lt;p&gt;Solicitar un A/C Independiente para el Rack de Isuzu Teculutan ya que por las noches se eleva la temperatura hasta los 35 grados y esto degradará los equipos&amp;nbsp;&lt;/p&gt;&lt;p&gt;en un corto plazo.&amp;nbsp;&lt;/p&gt;&lt;p&gt;&lt;br&gt;&lt;/p&gt;&lt;p&gt;solicitarlo a Joan Mario / Luis Cardenas&amp;nbsp;&lt;/p&gt;&lt;p&gt;Solicitar un A/C independiente con Joan Mario para el centro de datos Isuzu Teculutan&amp;nbsp;&amp;nbsp;&lt;/p&gt;"/>
    <s v="normal"/>
    <s v="En proceso"/>
    <s v="Solicitar un A/C Independiente para el Rack de Isuzu Teculutan"/>
    <n v="72"/>
    <b v="1"/>
    <n v="21751"/>
    <m/>
    <s v="04716@general.tbd"/>
    <n v="22163"/>
    <n v="0"/>
    <n v="186"/>
    <n v="8777"/>
    <s v="Mesa Ayuda Infraestructura"/>
    <n v="224.07361111111101"/>
    <m/>
  </r>
  <r>
    <n v="3162"/>
    <n v="0.133333333333333"/>
    <d v="1899-12-30T00:08:00"/>
    <s v="50-Finalizado"/>
    <d v="1900-01-02T00:00:00"/>
    <x v="54"/>
    <d v="2024-07-26T00:00:00"/>
    <d v="2024-07-26T22:59:06"/>
    <x v="40"/>
    <n v="224.07361111111101"/>
    <d v="1900-01-08T08:04:25"/>
    <d v="2024-07-26T00:00:00"/>
    <d v="2024-07-26T22:59:06"/>
    <m/>
    <d v="1899-12-31T00:00:00"/>
    <d v="2024-08-05T07:03:31"/>
    <b v="1"/>
    <d v="2024-08-05T07:03:31"/>
    <d v="2024-08-20T19:15:38"/>
    <d v="2024-08-20T19:15:38"/>
    <m/>
    <m/>
    <d v="2024-07-26T00:00:00"/>
    <s v="Solicitar un A/C independiente con Joan Mario para el centro de datos Isuzu Teculutan"/>
    <x v="8"/>
    <s v="Configuracion Hardware"/>
    <x v="2"/>
    <s v="Data Center"/>
    <m/>
    <m/>
    <s v="CANELLA, SOCIEDAD ANONIMA"/>
    <s v="ISUZU RIO HONDO"/>
    <n v="3064"/>
    <n v="35"/>
    <s v="Mesa Ayuda Infraestructura"/>
    <n v="247731"/>
    <s v="JHOSSELIN SUSANA BARREDA RIOS"/>
    <n v="186"/>
    <s v="CANELLA"/>
    <n v="1"/>
    <n v="27"/>
    <m/>
    <m/>
    <n v="1"/>
    <s v="CANELLA"/>
    <n v="248"/>
    <s v="Juan Carlos Barillas"/>
    <s v="&lt;p&gt;Solicitar un A/C Independiente para el Rack de Isuzu Teculutan ya que por las noches se eleva la temperatura hasta los 35 grados y esto degradará los equipos&amp;nbsp;&lt;/p&gt;&lt;p&gt;en un corto plazo.&amp;nbsp;&lt;/p&gt;&lt;p&gt;&lt;br&gt;&lt;/p&gt;&lt;p&gt;solicitarlo a Joan Mario / Luis Cardenas&amp;nbsp;&lt;/p&gt;&lt;p&gt;Solicitar un A/C independiente con Joan Mario para el centro de datos Isuzu Teculutan&amp;nbsp;&amp;nbsp;&lt;/p&gt;"/>
    <s v="normal"/>
    <s v="En proceso"/>
    <s v="Solicitar un A/C Independiente para el Rack de Isuzu Teculutan"/>
    <n v="72"/>
    <b v="1"/>
    <n v="21751"/>
    <m/>
    <s v="04716@general.tbd"/>
    <n v="21751"/>
    <n v="0"/>
    <n v="248"/>
    <n v="8777"/>
    <s v="Mesa Ayuda Infraestructura"/>
    <n v="224.07361111111101"/>
    <m/>
  </r>
  <r>
    <n v="3130"/>
    <n v="0.5"/>
    <d v="1899-12-30T00:30:00"/>
    <s v="50-Finalizado"/>
    <d v="1900-01-02T00:00:00"/>
    <x v="55"/>
    <d v="2024-07-26T00:00:00"/>
    <d v="2024-07-26T17:40:30"/>
    <x v="40"/>
    <n v="229.38361111111101"/>
    <d v="1900-01-08T13:23:01"/>
    <d v="2024-07-26T00:00:00"/>
    <d v="2024-07-26T17:40:30"/>
    <m/>
    <d v="1899-12-31T00:00:00"/>
    <d v="2024-08-05T07:03:31"/>
    <b v="1"/>
    <d v="2024-08-05T07:03:31"/>
    <d v="2024-08-20T19:15:38"/>
    <d v="2024-08-20T19:15:38"/>
    <m/>
    <m/>
    <d v="2024-07-26T00:00:00"/>
    <s v="Se procede a culminar procedimiento de orden de compra."/>
    <x v="3"/>
    <m/>
    <x v="2"/>
    <m/>
    <m/>
    <m/>
    <s v="VEHICULOS ECONOMICOS, SOCIEDAD ANONIMA"/>
    <s v="CONTABILIDAD VEHICULOS ECONOMICOS"/>
    <n v="3032"/>
    <n v="35"/>
    <s v="Mesa Ayuda Infraestructura"/>
    <n v="247369"/>
    <s v="CLARA LUZ ORDOÑEZ"/>
    <n v="299"/>
    <s v="CANELLA"/>
    <m/>
    <m/>
    <m/>
    <m/>
    <n v="1"/>
    <s v="CANELLA"/>
    <n v="299"/>
    <s v="Rosario Lic"/>
    <m/>
    <s v="normal"/>
    <s v="En proceso"/>
    <s v="OC - Monitor"/>
    <n v="72"/>
    <b v="1"/>
    <n v="21423"/>
    <m/>
    <s v="06076@general.tbd"/>
    <n v="21629"/>
    <n v="0"/>
    <n v="299"/>
    <n v="8777"/>
    <s v="Mesa Ayuda Infraestructura"/>
    <n v="229.38361111111101"/>
    <m/>
  </r>
  <r>
    <n v="3130"/>
    <n v="1"/>
    <d v="1899-12-30T01:00:00"/>
    <s v="50-Finalizado"/>
    <d v="1900-01-02T00:00:00"/>
    <x v="55"/>
    <d v="2024-07-26T00:00:00"/>
    <d v="2024-07-26T17:40:30"/>
    <x v="40"/>
    <n v="229.38361111111101"/>
    <d v="1900-01-08T13:23:01"/>
    <d v="2024-07-26T00:00:00"/>
    <d v="2024-07-26T17:40:30"/>
    <m/>
    <d v="1899-12-31T00:00:00"/>
    <d v="2024-08-05T07:03:31"/>
    <b v="1"/>
    <d v="2024-08-05T07:03:31"/>
    <d v="2024-08-20T19:15:38"/>
    <d v="2024-08-20T19:15:38"/>
    <m/>
    <m/>
    <d v="2024-07-26T00:00:00"/>
    <s v="Se procede a realizar orden de compra por adquisición de monitor. Se procede a verificar permisos en SAP VESA (los cuales no estaban blindados y a la configuración de los módulos necesarios para la creación de orden)"/>
    <x v="3"/>
    <m/>
    <x v="2"/>
    <m/>
    <m/>
    <m/>
    <s v="VEHICULOS ECONOMICOS, SOCIEDAD ANONIMA"/>
    <s v="CONTABILIDAD VEHICULOS ECONOMICOS"/>
    <n v="3032"/>
    <n v="35"/>
    <s v="Mesa Ayuda Infraestructura"/>
    <n v="247369"/>
    <s v="CLARA LUZ ORDOÑEZ"/>
    <n v="299"/>
    <s v="CANELLA"/>
    <m/>
    <m/>
    <m/>
    <m/>
    <n v="1"/>
    <s v="CANELLA"/>
    <n v="299"/>
    <s v="Rosario Lic"/>
    <m/>
    <s v="normal"/>
    <s v="En proceso"/>
    <s v="OC - Monitor"/>
    <n v="72"/>
    <b v="1"/>
    <n v="21423"/>
    <m/>
    <s v="06076@general.tbd"/>
    <n v="21423"/>
    <n v="0"/>
    <n v="299"/>
    <n v="8777"/>
    <s v="Mesa Ayuda Infraestructura"/>
    <n v="229.38361111111101"/>
    <m/>
  </r>
  <r>
    <n v="3116"/>
    <n v="1.1666666666666601"/>
    <d v="1899-12-30T01:10:00"/>
    <s v="50-Finalizado"/>
    <d v="1900-01-02T00:00:00"/>
    <x v="56"/>
    <d v="2024-07-26T00:00:00"/>
    <d v="2024-07-26T17:01:34"/>
    <x v="40"/>
    <n v="230.032499999999"/>
    <d v="1900-01-08T14:01:57"/>
    <d v="2024-07-26T00:00:00"/>
    <d v="2024-07-26T17:01:34"/>
    <m/>
    <d v="1899-12-31T00:00:00"/>
    <d v="2024-08-05T07:03:31"/>
    <b v="1"/>
    <d v="2024-08-05T07:03:31"/>
    <d v="2024-08-20T19:15:38"/>
    <d v="2024-08-20T19:15:38"/>
    <m/>
    <m/>
    <d v="2024-07-26T00:00:00"/>
    <s v="Problema conexión Vcenter 6.0"/>
    <x v="10"/>
    <s v="Configuracion Software"/>
    <x v="2"/>
    <s v="Data Center"/>
    <m/>
    <m/>
    <s v="CANELLA, SOCIEDAD ANONIMA"/>
    <s v="INFORMATICA"/>
    <n v="3018"/>
    <n v="35"/>
    <s v="Mesa Ayuda Infraestructura"/>
    <n v="247813"/>
    <s v="OSCAR RAUL HERNANDEZ REYNA"/>
    <n v="248"/>
    <s v="CANELLA"/>
    <n v="2"/>
    <n v="27"/>
    <m/>
    <m/>
    <n v="1"/>
    <s v="CANELLA"/>
    <n v="248"/>
    <s v="Juan Carlos Barillas"/>
    <s v="&lt;p&gt;Problema conexión Vcenter 6.0&lt;/p&gt;"/>
    <s v="normal"/>
    <s v="En proceso"/>
    <s v="Problema conexión Vcenter 6.0"/>
    <n v="72"/>
    <b v="1"/>
    <s v="[21380]"/>
    <m/>
    <s v="04025@general.tbd"/>
    <n v="21380"/>
    <n v="0"/>
    <n v="248"/>
    <n v="8777"/>
    <s v="Mesa Ayuda Infraestructura"/>
    <n v="230.032499999999"/>
    <m/>
  </r>
  <r>
    <n v="3102"/>
    <n v="0.85"/>
    <d v="1899-12-30T00:51:00"/>
    <s v="50-Finalizado"/>
    <d v="1900-01-02T00:00:00"/>
    <x v="57"/>
    <d v="2024-07-26T00:00:00"/>
    <d v="2024-07-26T14:38:36"/>
    <x v="40"/>
    <n v="232.41527777777699"/>
    <d v="1900-01-08T16:24:55"/>
    <d v="2024-07-26T00:00:00"/>
    <d v="2024-07-26T14:38:36"/>
    <m/>
    <d v="1899-12-31T00:00:00"/>
    <d v="2024-08-05T07:03:31"/>
    <b v="1"/>
    <d v="2024-08-05T07:03:31"/>
    <d v="2024-08-20T19:15:38"/>
    <d v="2024-08-20T19:15:38"/>
    <m/>
    <m/>
    <d v="2024-07-26T00:00:00"/>
    <s v="Configuración SAP remoto, correo owa"/>
    <x v="9"/>
    <s v="Configuracion Software"/>
    <x v="2"/>
    <s v="SAP"/>
    <m/>
    <m/>
    <s v="CANELLA, SOCIEDAD ANONIMA"/>
    <s v="CONTABILIDAD, CANELLA, S. A."/>
    <n v="3004"/>
    <n v="35"/>
    <s v="Mesa Ayuda Infraestructura"/>
    <n v="247417"/>
    <s v="ALVARO LEONEL GUTIERREZ LOPEZ"/>
    <n v="314"/>
    <s v="CANELLA"/>
    <n v="2"/>
    <n v="5"/>
    <m/>
    <m/>
    <n v="1"/>
    <s v="CANELLA"/>
    <n v="314"/>
    <s v="Yosselyn Ignacio"/>
    <m/>
    <s v="normal"/>
    <s v="En proceso"/>
    <s v="Configuración SAP remoto y correo Repuestos Yamaha Roosvelt"/>
    <n v="72"/>
    <b v="1"/>
    <s v="[21258]"/>
    <m/>
    <s v="05998@general.tbd"/>
    <n v="21258"/>
    <n v="0"/>
    <n v="314"/>
    <n v="8777"/>
    <s v="Mesa Ayuda Infraestructura"/>
    <n v="232.41527777777699"/>
    <m/>
  </r>
  <r>
    <n v="3096"/>
    <n v="1"/>
    <d v="1899-12-30T01:00:00"/>
    <s v="50-Finalizado"/>
    <d v="1900-01-02T00:00:00"/>
    <x v="58"/>
    <d v="2024-07-25T00:00:00"/>
    <d v="2024-07-25T23:55:50"/>
    <x v="40"/>
    <n v="247.12805555555499"/>
    <d v="1900-01-09T07:07:41"/>
    <d v="2024-07-25T00:00:00"/>
    <d v="2024-07-25T23:55:50"/>
    <m/>
    <d v="1899-12-31T00:00:00"/>
    <d v="2024-08-05T07:03:31"/>
    <b v="1"/>
    <d v="2024-08-05T07:03:31"/>
    <d v="2024-08-20T19:15:38"/>
    <d v="2024-08-20T19:15:38"/>
    <m/>
    <m/>
    <d v="2024-07-26T00:00:00"/>
    <s v="Se procede a verificar correos y con proveedor la procedencia de ultimo pago, la información se valido con proveedor y con Yesvi Elias, pendiente de autorización de Raul."/>
    <x v="3"/>
    <s v="Reuniones"/>
    <x v="2"/>
    <m/>
    <m/>
    <m/>
    <s v="CANELLA, SOCIEDAD ANONIMA"/>
    <s v="INFORMATICA"/>
    <n v="2998"/>
    <n v="35"/>
    <s v="Mesa Ayuda Infraestructura"/>
    <n v="247813"/>
    <s v="OSCAR RAUL HERNANDEZ REYNA"/>
    <n v="299"/>
    <s v="CANELLA"/>
    <n v="5"/>
    <m/>
    <m/>
    <m/>
    <n v="1"/>
    <s v="CANELLA"/>
    <n v="299"/>
    <s v="Rosario Lic"/>
    <m/>
    <s v="normal"/>
    <s v="En proceso"/>
    <s v="Sistema Taller - PERINOLA"/>
    <n v="72"/>
    <b v="1"/>
    <n v="21186"/>
    <m/>
    <s v="04025@general.tbd"/>
    <n v="21453"/>
    <n v="0"/>
    <n v="299"/>
    <n v="8777"/>
    <s v="Mesa Ayuda Infraestructura"/>
    <n v="247.12805555555499"/>
    <m/>
  </r>
  <r>
    <n v="3096"/>
    <n v="1.3333333333333299"/>
    <d v="1899-12-30T01:20:00"/>
    <s v="50-Finalizado"/>
    <d v="1900-01-02T00:00:00"/>
    <x v="58"/>
    <d v="2024-07-25T00:00:00"/>
    <d v="2024-07-25T23:55:50"/>
    <x v="40"/>
    <n v="247.12805555555499"/>
    <d v="1900-01-09T07:07:41"/>
    <d v="2024-07-25T00:00:00"/>
    <d v="2024-07-25T23:55:50"/>
    <m/>
    <d v="1899-12-31T00:00:00"/>
    <d v="2024-08-05T07:03:31"/>
    <b v="1"/>
    <d v="2024-08-05T07:03:31"/>
    <d v="2024-08-20T19:15:38"/>
    <d v="2024-08-20T19:15:38"/>
    <m/>
    <m/>
    <d v="2024-07-25T00:00:00"/>
    <s v="Se procede a verificar correos y con proveedor la procedencia de ultimo pago, la información se valido con proveedor y con Yesvi Elias, pendiente de autorización de Raul."/>
    <x v="3"/>
    <s v="Reuniones"/>
    <x v="2"/>
    <m/>
    <m/>
    <m/>
    <s v="CANELLA, SOCIEDAD ANONIMA"/>
    <s v="INFORMATICA"/>
    <n v="2998"/>
    <n v="35"/>
    <s v="Mesa Ayuda Infraestructura"/>
    <n v="247813"/>
    <s v="OSCAR RAUL HERNANDEZ REYNA"/>
    <n v="299"/>
    <s v="CANELLA"/>
    <n v="5"/>
    <m/>
    <m/>
    <m/>
    <n v="1"/>
    <s v="CANELLA"/>
    <n v="299"/>
    <s v="Rosario Lic"/>
    <m/>
    <s v="normal"/>
    <s v="En proceso"/>
    <s v="Sistema Taller - PERINOLA"/>
    <n v="72"/>
    <b v="1"/>
    <n v="21186"/>
    <m/>
    <s v="04025@general.tbd"/>
    <n v="21186"/>
    <n v="0"/>
    <n v="299"/>
    <n v="8777"/>
    <s v="Mesa Ayuda Infraestructura"/>
    <n v="247.12805555555499"/>
    <m/>
  </r>
  <r>
    <n v="3064"/>
    <n v="0.58333333333333304"/>
    <d v="1899-12-30T00:35:00"/>
    <s v="50-Finalizado"/>
    <d v="1900-01-02T00:00:00"/>
    <x v="59"/>
    <d v="2024-07-25T00:00:00"/>
    <d v="2024-07-25T17:20:23"/>
    <x v="40"/>
    <n v="253.71888888888799"/>
    <d v="1900-01-09T13:43:08"/>
    <d v="2024-07-25T00:00:00"/>
    <d v="2024-07-25T17:20:23"/>
    <m/>
    <d v="1899-12-31T00:00:00"/>
    <d v="2024-08-05T07:03:31"/>
    <b v="1"/>
    <d v="2024-08-05T07:03:31"/>
    <d v="2024-08-20T19:15:38"/>
    <d v="2024-08-20T19:15:38"/>
    <m/>
    <m/>
    <d v="2024-07-25T00:00:00"/>
    <s v="Instalacion de equipo de computo en puesto de trabajo"/>
    <x v="7"/>
    <s v="Configuracion Hardware"/>
    <x v="2"/>
    <s v="Desktop"/>
    <m/>
    <m/>
    <s v="CANELLA, SOCIEDAD ANONIMA"/>
    <s v="DIVISION SOLUCIONES DE OFICINA"/>
    <n v="2966"/>
    <n v="35"/>
    <s v="Mesa Ayuda Infraestructura"/>
    <n v="247905"/>
    <s v="JOBITA MARINA OLIVA MURALLES de TUN"/>
    <n v="171"/>
    <s v="CANELLA"/>
    <n v="1"/>
    <n v="21"/>
    <m/>
    <m/>
    <n v="1"/>
    <s v="CANELLA"/>
    <n v="171"/>
    <s v="Andres de León"/>
    <m/>
    <s v="normal"/>
    <s v="En proceso"/>
    <s v="Instalacion de equipo de computo en puesto de trabajo Jobita de Tun"/>
    <n v="72"/>
    <b v="1"/>
    <s v="[20962]"/>
    <m/>
    <s v="00550@general.tbd"/>
    <n v="20962"/>
    <n v="0"/>
    <n v="171"/>
    <n v="8777"/>
    <s v="Mesa Ayuda Infraestructura"/>
    <n v="253.71888888888799"/>
    <m/>
  </r>
  <r>
    <n v="3054"/>
    <n v="0.16666666666666599"/>
    <d v="1899-12-30T00:10:00"/>
    <s v="50-Finalizado"/>
    <d v="1900-01-02T00:00:00"/>
    <x v="60"/>
    <d v="2024-07-25T00:00:00"/>
    <d v="2024-07-25T15:47:56"/>
    <x v="40"/>
    <n v="255.259722222222"/>
    <d v="1900-01-09T15:15:35"/>
    <d v="2024-07-25T00:00:00"/>
    <d v="2024-07-25T15:47:56"/>
    <m/>
    <d v="1899-12-31T00:00:00"/>
    <d v="2024-08-05T07:03:31"/>
    <b v="1"/>
    <d v="2024-08-05T07:03:31"/>
    <d v="2024-08-20T19:15:38"/>
    <d v="2024-08-20T19:15:38"/>
    <m/>
    <m/>
    <d v="2024-07-25T00:00:00"/>
    <s v="Entrega de equipo y revisión"/>
    <x v="3"/>
    <s v="Capacitaciones"/>
    <x v="2"/>
    <m/>
    <m/>
    <m/>
    <s v="CANELLA, SOCIEDAD ANONIMA"/>
    <s v="INFORMATICA"/>
    <n v="2956"/>
    <n v="35"/>
    <s v="Mesa Ayuda Infraestructura"/>
    <n v="247813"/>
    <s v="OSCAR RAUL HERNANDEZ REYNA"/>
    <n v="299"/>
    <s v="CANELLA"/>
    <n v="4"/>
    <m/>
    <m/>
    <m/>
    <n v="1"/>
    <s v="CANELLA"/>
    <n v="299"/>
    <s v="Rosario Lic"/>
    <m/>
    <s v="normal"/>
    <s v="En proceso"/>
    <s v="Capacitación atención al cliente"/>
    <n v="72"/>
    <b v="1"/>
    <n v="20944"/>
    <m/>
    <s v="04025@general.tbd"/>
    <n v="21031"/>
    <n v="0"/>
    <n v="299"/>
    <n v="8777"/>
    <s v="Mesa Ayuda Infraestructura"/>
    <n v="255.259722222222"/>
    <m/>
  </r>
  <r>
    <n v="3054"/>
    <n v="1.25"/>
    <d v="1899-12-30T01:15:00"/>
    <s v="50-Finalizado"/>
    <d v="1900-01-02T00:00:00"/>
    <x v="60"/>
    <d v="2024-07-25T00:00:00"/>
    <d v="2024-07-25T15:47:56"/>
    <x v="40"/>
    <n v="255.259722222222"/>
    <d v="1900-01-09T15:15:35"/>
    <d v="2024-07-25T00:00:00"/>
    <d v="2024-07-25T15:47:56"/>
    <m/>
    <d v="1899-12-31T00:00:00"/>
    <d v="2024-08-05T07:03:31"/>
    <b v="1"/>
    <d v="2024-08-05T07:03:31"/>
    <d v="2024-08-20T19:15:38"/>
    <d v="2024-08-20T19:15:38"/>
    <m/>
    <m/>
    <d v="2024-07-25T00:00:00"/>
    <s v="Se recibe capacitación acerca  de  el trato con el cliente interno."/>
    <x v="3"/>
    <s v="Capacitaciones"/>
    <x v="2"/>
    <m/>
    <m/>
    <m/>
    <s v="CANELLA, SOCIEDAD ANONIMA"/>
    <s v="INFORMATICA"/>
    <n v="2956"/>
    <n v="35"/>
    <s v="Mesa Ayuda Infraestructura"/>
    <n v="247813"/>
    <s v="OSCAR RAUL HERNANDEZ REYNA"/>
    <n v="299"/>
    <s v="CANELLA"/>
    <n v="4"/>
    <m/>
    <m/>
    <m/>
    <n v="1"/>
    <s v="CANELLA"/>
    <n v="299"/>
    <s v="Rosario Lic"/>
    <m/>
    <s v="normal"/>
    <s v="En proceso"/>
    <s v="Capacitación atención al cliente"/>
    <n v="72"/>
    <b v="1"/>
    <n v="20944"/>
    <m/>
    <s v="04025@general.tbd"/>
    <n v="20944"/>
    <n v="0"/>
    <n v="299"/>
    <n v="8777"/>
    <s v="Mesa Ayuda Infraestructura"/>
    <n v="255.259722222222"/>
    <m/>
  </r>
  <r>
    <n v="3047"/>
    <n v="1.5"/>
    <d v="1899-12-30T01:30:00"/>
    <s v="50-Finalizado"/>
    <d v="1900-01-02T00:00:00"/>
    <x v="61"/>
    <d v="2024-07-25T00:00:00"/>
    <d v="2024-07-25T15:16:13"/>
    <x v="40"/>
    <n v="255.78833333333299"/>
    <d v="1900-01-09T15:47:18"/>
    <d v="2024-07-25T00:00:00"/>
    <d v="2024-07-25T15:16:13"/>
    <m/>
    <d v="1899-12-31T00:00:00"/>
    <d v="2024-08-05T07:03:31"/>
    <b v="1"/>
    <d v="2024-08-05T07:03:31"/>
    <d v="2024-08-20T19:15:38"/>
    <d v="2024-08-20T19:15:38"/>
    <m/>
    <m/>
    <d v="2024-07-25T00:00:00"/>
    <s v="Reunión  para servicio al cliente"/>
    <x v="6"/>
    <s v="Capacitaciones"/>
    <x v="2"/>
    <m/>
    <m/>
    <m/>
    <s v="CANELLA, SOCIEDAD ANONIMA"/>
    <s v="INFORMATICA"/>
    <n v="2949"/>
    <n v="35"/>
    <s v="Mesa Ayuda Infraestructura"/>
    <n v="247813"/>
    <s v="OSCAR RAUL HERNANDEZ REYNA"/>
    <n v="2766"/>
    <s v="CANELLA"/>
    <n v="4"/>
    <m/>
    <m/>
    <m/>
    <n v="1"/>
    <s v="CANELLA"/>
    <n v="2766"/>
    <s v="José Julajuj Chumil"/>
    <m/>
    <s v="normal"/>
    <s v="En proceso"/>
    <s v="Capacitación Servicio al cliente (Eduardo Newman)"/>
    <n v="72"/>
    <b v="1"/>
    <s v="[20934]"/>
    <m/>
    <s v="04025@general.tbd"/>
    <n v="20934"/>
    <n v="0"/>
    <n v="2766"/>
    <n v="8777"/>
    <s v="Mesa Ayuda Infraestructura"/>
    <n v="255.78833333333299"/>
    <m/>
  </r>
  <r>
    <n v="2952"/>
    <n v="0.16666666666666599"/>
    <d v="1899-12-30T00:10:00"/>
    <s v="50-Finalizado"/>
    <d v="1900-01-02T00:00:00"/>
    <x v="62"/>
    <d v="2024-07-23T00:00:00"/>
    <d v="2024-07-23T14:33:15"/>
    <x v="40"/>
    <n v="304.504444444444"/>
    <d v="1900-01-11T16:30:16"/>
    <d v="2024-07-23T00:00:00"/>
    <d v="2024-07-23T14:33:15"/>
    <m/>
    <d v="1899-12-31T00:00:00"/>
    <d v="2024-08-05T07:03:31"/>
    <b v="1"/>
    <d v="2024-08-05T07:03:31"/>
    <d v="2024-08-20T19:15:38"/>
    <d v="2024-08-20T19:15:38"/>
    <m/>
    <m/>
    <d v="2024-07-23T00:00:00"/>
    <s v="Conexión a Wifi, deshabilitación de proxy"/>
    <x v="9"/>
    <s v="Configuracion Software"/>
    <x v="2"/>
    <s v="Redes y Comunicaciones"/>
    <m/>
    <m/>
    <s v="CANELLA, SOCIEDAD ANONIMA"/>
    <s v="REPUESTOS YAMAHA/VENTAS"/>
    <n v="2854"/>
    <n v="35"/>
    <s v="Mesa Ayuda Infraestructura"/>
    <n v="247576"/>
    <s v="JAVIER ALEJANDRO CONTRERAS MEJIA"/>
    <n v="314"/>
    <s v="CANELLA"/>
    <n v="2"/>
    <n v="28"/>
    <m/>
    <m/>
    <n v="1"/>
    <s v="CANELLA"/>
    <n v="314"/>
    <s v="Yosselyn Ignacio"/>
    <m/>
    <s v="normal"/>
    <s v="En proceso"/>
    <s v="Conexión a Wifi Javier Contreras"/>
    <n v="72"/>
    <b v="1"/>
    <s v="[20367]"/>
    <m/>
    <s v="05609@general.tbd"/>
    <n v="20367"/>
    <n v="0"/>
    <n v="314"/>
    <n v="8777"/>
    <s v="Mesa Ayuda Infraestructura"/>
    <n v="304.504444444444"/>
    <m/>
  </r>
  <r>
    <n v="2942"/>
    <n v="0.16666666666666599"/>
    <d v="1899-12-30T00:10:00"/>
    <s v="50-Finalizado"/>
    <d v="1900-01-02T00:00:00"/>
    <x v="63"/>
    <d v="2024-07-22T00:00:00"/>
    <d v="2024-07-22T23:10:33"/>
    <x v="40"/>
    <n v="319.88277777777699"/>
    <d v="1900-01-12T07:52:58"/>
    <d v="2024-07-22T00:00:00"/>
    <d v="2024-07-22T23:10:33"/>
    <m/>
    <d v="1899-12-31T00:00:00"/>
    <d v="2024-08-05T07:03:31"/>
    <b v="1"/>
    <d v="2024-08-05T07:03:31"/>
    <d v="2024-08-20T19:15:38"/>
    <d v="2024-08-20T19:15:38"/>
    <m/>
    <m/>
    <d v="2024-07-26T00:00:00"/>
    <s v="Envió de orden de compra"/>
    <x v="3"/>
    <s v="Orden de compra"/>
    <x v="2"/>
    <m/>
    <m/>
    <m/>
    <s v="CANELLA, SOCIEDAD ANONIMA"/>
    <s v="INFORMATICA"/>
    <n v="2844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m/>
    <s v="normal"/>
    <s v="En proceso"/>
    <s v="Plan de mitigación de vulnerabilidades bajas y medias Canella"/>
    <n v="72"/>
    <b v="1"/>
    <s v="[21675, 20540, 20273]"/>
    <m/>
    <s v="04025@general.tbd"/>
    <n v="21675"/>
    <n v="0"/>
    <n v="299"/>
    <n v="8777"/>
    <s v="Mesa Ayuda Infraestructura"/>
    <n v="319.88277777777699"/>
    <m/>
  </r>
  <r>
    <n v="2942"/>
    <n v="0.25"/>
    <d v="1899-12-30T00:15:00"/>
    <s v="50-Finalizado"/>
    <d v="1900-01-02T00:00:00"/>
    <x v="63"/>
    <d v="2024-07-22T00:00:00"/>
    <d v="2024-07-22T23:10:33"/>
    <x v="40"/>
    <n v="319.88277777777699"/>
    <d v="1900-01-12T07:52:58"/>
    <d v="2024-07-22T00:00:00"/>
    <d v="2024-07-22T23:10:33"/>
    <m/>
    <d v="1899-12-31T00:00:00"/>
    <d v="2024-08-05T07:03:31"/>
    <b v="1"/>
    <d v="2024-08-05T07:03:31"/>
    <d v="2024-08-20T19:15:38"/>
    <d v="2024-08-20T19:15:38"/>
    <m/>
    <m/>
    <d v="2024-07-23T00:00:00"/>
    <s v="Se procede a colocar los montos y a comprovar el centro de costo"/>
    <x v="3"/>
    <s v="Orden de compra"/>
    <x v="2"/>
    <m/>
    <m/>
    <m/>
    <s v="CANELLA, SOCIEDAD ANONIMA"/>
    <s v="INFORMATICA"/>
    <n v="2844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m/>
    <s v="normal"/>
    <s v="En proceso"/>
    <s v="Plan de mitigación de vulnerabilidades bajas y medias Canella"/>
    <n v="72"/>
    <b v="1"/>
    <s v="[21675, 20540, 20273]"/>
    <m/>
    <s v="04025@general.tbd"/>
    <n v="20540"/>
    <n v="0"/>
    <n v="299"/>
    <n v="8777"/>
    <s v="Mesa Ayuda Infraestructura"/>
    <n v="319.88277777777699"/>
    <m/>
  </r>
  <r>
    <n v="2942"/>
    <n v="0.5"/>
    <d v="1899-12-30T00:30:00"/>
    <s v="50-Finalizado"/>
    <d v="1900-01-02T00:00:00"/>
    <x v="63"/>
    <d v="2024-07-22T00:00:00"/>
    <d v="2024-07-22T23:10:33"/>
    <x v="40"/>
    <n v="319.88277777777699"/>
    <d v="1900-01-12T07:52:58"/>
    <d v="2024-07-22T00:00:00"/>
    <d v="2024-07-22T23:10:33"/>
    <m/>
    <d v="1899-12-31T00:00:00"/>
    <d v="2024-08-05T07:03:31"/>
    <b v="1"/>
    <d v="2024-08-05T07:03:31"/>
    <d v="2024-08-20T19:15:38"/>
    <d v="2024-08-20T19:15:38"/>
    <m/>
    <m/>
    <d v="2024-07-22T00:00:00"/>
    <s v="Orden de compra por Plan de mitigación de vulnerabilidades bajas y medias Canella. SPC"/>
    <x v="3"/>
    <s v="Orden de compra"/>
    <x v="2"/>
    <m/>
    <m/>
    <m/>
    <s v="CANELLA, SOCIEDAD ANONIMA"/>
    <s v="INFORMATICA"/>
    <n v="2844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m/>
    <s v="normal"/>
    <s v="En proceso"/>
    <s v="Plan de mitigación de vulnerabilidades bajas y medias Canella"/>
    <n v="72"/>
    <b v="1"/>
    <s v="[21675, 20540, 20273]"/>
    <m/>
    <s v="04025@general.tbd"/>
    <n v="20273"/>
    <n v="0"/>
    <n v="299"/>
    <n v="8777"/>
    <s v="Mesa Ayuda Infraestructura"/>
    <n v="319.88277777777699"/>
    <m/>
  </r>
  <r>
    <n v="2913"/>
    <n v="0.16666666666666599"/>
    <d v="1899-12-30T00:10:00"/>
    <s v="50-Finalizado"/>
    <d v="1900-01-02T00:00:00"/>
    <x v="64"/>
    <d v="2024-07-22T00:00:00"/>
    <d v="2024-07-22T18:34:55"/>
    <x v="40"/>
    <n v="324.47666666666601"/>
    <d v="1900-01-12T12:28:36"/>
    <d v="2024-07-22T00:00:00"/>
    <d v="2024-07-22T18:34:55"/>
    <m/>
    <d v="1899-12-31T00:00:00"/>
    <d v="2024-08-05T07:03:31"/>
    <b v="1"/>
    <d v="2024-08-05T07:03:31"/>
    <d v="2024-08-20T19:15:38"/>
    <d v="2024-08-20T19:15:38"/>
    <m/>
    <m/>
    <d v="2024-07-22T00:00:00"/>
    <s v="Entrega de equipo"/>
    <x v="6"/>
    <s v="Configuracion Software"/>
    <x v="2"/>
    <m/>
    <m/>
    <m/>
    <s v="No Partner"/>
    <s v="No Partner"/>
    <n v="2815"/>
    <n v="35"/>
    <s v="Mesa Ayuda Infraestructura"/>
    <m/>
    <m/>
    <n v="2766"/>
    <s v="CANELLA"/>
    <n v="2"/>
    <m/>
    <m/>
    <m/>
    <n v="1"/>
    <s v="CANELLA"/>
    <n v="2766"/>
    <s v="José Julajuj Chumil"/>
    <m/>
    <s v="normal"/>
    <s v="En proceso"/>
    <s v="Cambio de equipo a Alejandro Romero"/>
    <n v="72"/>
    <b v="1"/>
    <s v="[20281, 20272, 20271, 20171, 20168, 20167, 20166, 20165, 20164]"/>
    <m/>
    <s v="No Partner"/>
    <n v="20281"/>
    <n v="0"/>
    <n v="2766"/>
    <n v="8777"/>
    <s v="Mesa Ayuda Infraestructura"/>
    <n v="324.47666666666601"/>
    <m/>
  </r>
  <r>
    <n v="2913"/>
    <n v="0.5"/>
    <d v="1899-12-30T00:30:00"/>
    <s v="50-Finalizado"/>
    <d v="1900-01-02T00:00:00"/>
    <x v="64"/>
    <d v="2024-07-22T00:00:00"/>
    <d v="2024-07-22T18:34:55"/>
    <x v="40"/>
    <n v="324.47666666666601"/>
    <d v="1900-01-12T12:28:36"/>
    <d v="2024-07-22T00:00:00"/>
    <d v="2024-07-22T18:34:55"/>
    <m/>
    <d v="1899-12-31T00:00:00"/>
    <d v="2024-08-05T07:03:31"/>
    <b v="1"/>
    <d v="2024-08-05T07:03:31"/>
    <d v="2024-08-20T19:15:38"/>
    <d v="2024-08-20T19:15:38"/>
    <m/>
    <m/>
    <d v="2024-07-22T00:00:00"/>
    <s v="Configuración de cobian"/>
    <x v="6"/>
    <s v="Configuracion Software"/>
    <x v="2"/>
    <m/>
    <m/>
    <m/>
    <s v="No Partner"/>
    <s v="No Partner"/>
    <n v="2815"/>
    <n v="35"/>
    <s v="Mesa Ayuda Infraestructura"/>
    <m/>
    <m/>
    <n v="2766"/>
    <s v="CANELLA"/>
    <n v="2"/>
    <m/>
    <m/>
    <m/>
    <n v="1"/>
    <s v="CANELLA"/>
    <n v="2766"/>
    <s v="José Julajuj Chumil"/>
    <m/>
    <s v="normal"/>
    <s v="En proceso"/>
    <s v="Cambio de equipo a Alejandro Romero"/>
    <n v="72"/>
    <b v="1"/>
    <s v="[20281, 20272, 20271, 20171, 20168, 20167, 20166, 20165, 20164]"/>
    <m/>
    <s v="No Partner"/>
    <n v="20272"/>
    <n v="0"/>
    <n v="2766"/>
    <n v="8777"/>
    <s v="Mesa Ayuda Infraestructura"/>
    <n v="324.47666666666601"/>
    <m/>
  </r>
  <r>
    <n v="2913"/>
    <n v="0.5"/>
    <d v="1899-12-30T00:30:00"/>
    <s v="50-Finalizado"/>
    <d v="1900-01-02T00:00:00"/>
    <x v="64"/>
    <d v="2024-07-22T00:00:00"/>
    <d v="2024-07-22T18:34:55"/>
    <x v="40"/>
    <n v="324.47666666666601"/>
    <d v="1900-01-12T12:28:36"/>
    <d v="2024-07-22T00:00:00"/>
    <d v="2024-07-22T18:34:55"/>
    <m/>
    <d v="1899-12-31T00:00:00"/>
    <d v="2024-08-05T07:03:31"/>
    <b v="1"/>
    <d v="2024-08-05T07:03:31"/>
    <d v="2024-08-20T19:15:38"/>
    <d v="2024-08-20T19:15:38"/>
    <m/>
    <m/>
    <d v="2024-07-22T00:00:00"/>
    <s v="Transferencia de archivos"/>
    <x v="6"/>
    <s v="Configuracion Software"/>
    <x v="2"/>
    <m/>
    <m/>
    <m/>
    <s v="No Partner"/>
    <s v="No Partner"/>
    <n v="2815"/>
    <n v="35"/>
    <s v="Mesa Ayuda Infraestructura"/>
    <m/>
    <m/>
    <n v="2766"/>
    <s v="CANELLA"/>
    <n v="2"/>
    <m/>
    <m/>
    <m/>
    <n v="1"/>
    <s v="CANELLA"/>
    <n v="2766"/>
    <s v="José Julajuj Chumil"/>
    <m/>
    <s v="normal"/>
    <s v="En proceso"/>
    <s v="Cambio de equipo a Alejandro Romero"/>
    <n v="72"/>
    <b v="1"/>
    <s v="[20281, 20272, 20271, 20171, 20168, 20167, 20166, 20165, 20164]"/>
    <m/>
    <s v="No Partner"/>
    <n v="20271"/>
    <n v="0"/>
    <n v="2766"/>
    <n v="8777"/>
    <s v="Mesa Ayuda Infraestructura"/>
    <n v="324.47666666666601"/>
    <m/>
  </r>
  <r>
    <n v="2913"/>
    <n v="0.66666666666666596"/>
    <d v="1899-12-30T00:40:00"/>
    <s v="50-Finalizado"/>
    <d v="1900-01-02T00:00:00"/>
    <x v="64"/>
    <d v="2024-07-22T00:00:00"/>
    <d v="2024-07-22T18:34:55"/>
    <x v="40"/>
    <n v="324.47666666666601"/>
    <d v="1900-01-12T12:28:36"/>
    <d v="2024-07-22T00:00:00"/>
    <d v="2024-07-22T18:34:55"/>
    <m/>
    <d v="1899-12-31T00:00:00"/>
    <d v="2024-08-05T07:03:31"/>
    <b v="1"/>
    <d v="2024-08-05T07:03:31"/>
    <d v="2024-08-20T19:15:38"/>
    <d v="2024-08-20T19:15:38"/>
    <m/>
    <m/>
    <d v="2024-07-22T00:00:00"/>
    <s v="Instalación de Office 2016"/>
    <x v="6"/>
    <s v="Configuracion Software"/>
    <x v="2"/>
    <m/>
    <m/>
    <m/>
    <s v="No Partner"/>
    <s v="No Partner"/>
    <n v="2815"/>
    <n v="35"/>
    <s v="Mesa Ayuda Infraestructura"/>
    <m/>
    <m/>
    <n v="2766"/>
    <s v="CANELLA"/>
    <n v="2"/>
    <m/>
    <m/>
    <m/>
    <n v="1"/>
    <s v="CANELLA"/>
    <n v="2766"/>
    <s v="José Julajuj Chumil"/>
    <m/>
    <s v="normal"/>
    <s v="En proceso"/>
    <s v="Cambio de equipo a Alejandro Romero"/>
    <n v="72"/>
    <b v="1"/>
    <s v="[20281, 20272, 20271, 20171, 20168, 20167, 20166, 20165, 20164]"/>
    <m/>
    <s v="No Partner"/>
    <n v="20171"/>
    <n v="0"/>
    <n v="2766"/>
    <n v="8777"/>
    <s v="Mesa Ayuda Infraestructura"/>
    <n v="324.47666666666601"/>
    <m/>
  </r>
  <r>
    <n v="2913"/>
    <n v="0.16666666666666599"/>
    <d v="1899-12-30T00:10:00"/>
    <s v="50-Finalizado"/>
    <d v="1900-01-02T00:00:00"/>
    <x v="64"/>
    <d v="2024-07-22T00:00:00"/>
    <d v="2024-07-22T18:34:55"/>
    <x v="40"/>
    <n v="324.47666666666601"/>
    <d v="1900-01-12T12:28:36"/>
    <d v="2024-07-22T00:00:00"/>
    <d v="2024-07-22T18:34:55"/>
    <m/>
    <d v="1899-12-31T00:00:00"/>
    <d v="2024-08-05T07:03:31"/>
    <b v="1"/>
    <d v="2024-08-05T07:03:31"/>
    <d v="2024-08-20T19:15:38"/>
    <d v="2024-08-20T19:15:38"/>
    <m/>
    <m/>
    <d v="2024-07-22T00:00:00"/>
    <s v="Colocación de Licencia de VNC"/>
    <x v="6"/>
    <s v="Configuracion Software"/>
    <x v="2"/>
    <m/>
    <m/>
    <m/>
    <s v="No Partner"/>
    <s v="No Partner"/>
    <n v="2815"/>
    <n v="35"/>
    <s v="Mesa Ayuda Infraestructura"/>
    <m/>
    <m/>
    <n v="2766"/>
    <s v="CANELLA"/>
    <n v="2"/>
    <m/>
    <m/>
    <m/>
    <n v="1"/>
    <s v="CANELLA"/>
    <n v="2766"/>
    <s v="José Julajuj Chumil"/>
    <m/>
    <s v="normal"/>
    <s v="En proceso"/>
    <s v="Cambio de equipo a Alejandro Romero"/>
    <n v="72"/>
    <b v="1"/>
    <s v="[20281, 20272, 20271, 20171, 20168, 20167, 20166, 20165, 20164]"/>
    <m/>
    <s v="No Partner"/>
    <n v="20168"/>
    <n v="0"/>
    <n v="2766"/>
    <n v="8777"/>
    <s v="Mesa Ayuda Infraestructura"/>
    <n v="324.47666666666601"/>
    <m/>
  </r>
  <r>
    <n v="2913"/>
    <n v="0.25"/>
    <d v="1899-12-30T00:15:00"/>
    <s v="50-Finalizado"/>
    <d v="1900-01-02T00:00:00"/>
    <x v="64"/>
    <d v="2024-07-22T00:00:00"/>
    <d v="2024-07-22T18:34:55"/>
    <x v="40"/>
    <n v="324.47666666666601"/>
    <d v="1900-01-12T12:28:36"/>
    <d v="2024-07-22T00:00:00"/>
    <d v="2024-07-22T18:34:55"/>
    <m/>
    <d v="1899-12-31T00:00:00"/>
    <d v="2024-08-05T07:03:31"/>
    <b v="1"/>
    <d v="2024-08-05T07:03:31"/>
    <d v="2024-08-20T19:15:38"/>
    <d v="2024-08-20T19:15:38"/>
    <m/>
    <m/>
    <d v="2024-07-22T00:00:00"/>
    <s v="Eliminación  de licencia de AnyDesk"/>
    <x v="6"/>
    <s v="Configuracion Software"/>
    <x v="2"/>
    <m/>
    <m/>
    <m/>
    <s v="No Partner"/>
    <s v="No Partner"/>
    <n v="2815"/>
    <n v="35"/>
    <s v="Mesa Ayuda Infraestructura"/>
    <m/>
    <m/>
    <n v="2766"/>
    <s v="CANELLA"/>
    <n v="2"/>
    <m/>
    <m/>
    <m/>
    <n v="1"/>
    <s v="CANELLA"/>
    <n v="2766"/>
    <s v="José Julajuj Chumil"/>
    <m/>
    <s v="normal"/>
    <s v="En proceso"/>
    <s v="Cambio de equipo a Alejandro Romero"/>
    <n v="72"/>
    <b v="1"/>
    <s v="[20281, 20272, 20271, 20171, 20168, 20167, 20166, 20165, 20164]"/>
    <m/>
    <s v="No Partner"/>
    <n v="20167"/>
    <n v="0"/>
    <n v="2766"/>
    <n v="8777"/>
    <s v="Mesa Ayuda Infraestructura"/>
    <n v="324.47666666666601"/>
    <m/>
  </r>
  <r>
    <n v="2913"/>
    <n v="0.75"/>
    <d v="1899-12-30T00:45:00"/>
    <s v="50-Finalizado"/>
    <d v="1900-01-02T00:00:00"/>
    <x v="64"/>
    <d v="2024-07-22T00:00:00"/>
    <d v="2024-07-22T18:34:55"/>
    <x v="40"/>
    <n v="324.47666666666601"/>
    <d v="1900-01-12T12:28:36"/>
    <d v="2024-07-22T00:00:00"/>
    <d v="2024-07-22T18:34:55"/>
    <m/>
    <d v="1899-12-31T00:00:00"/>
    <d v="2024-08-05T07:03:31"/>
    <b v="1"/>
    <d v="2024-08-05T07:03:31"/>
    <d v="2024-08-20T19:15:38"/>
    <d v="2024-08-20T19:15:38"/>
    <m/>
    <m/>
    <d v="2024-07-22T00:00:00"/>
    <s v="Actualizaciones de Windows"/>
    <x v="6"/>
    <s v="Configuracion Software"/>
    <x v="2"/>
    <m/>
    <m/>
    <m/>
    <s v="No Partner"/>
    <s v="No Partner"/>
    <n v="2815"/>
    <n v="35"/>
    <s v="Mesa Ayuda Infraestructura"/>
    <m/>
    <m/>
    <n v="2766"/>
    <s v="CANELLA"/>
    <n v="2"/>
    <m/>
    <m/>
    <m/>
    <n v="1"/>
    <s v="CANELLA"/>
    <n v="2766"/>
    <s v="José Julajuj Chumil"/>
    <m/>
    <s v="normal"/>
    <s v="En proceso"/>
    <s v="Cambio de equipo a Alejandro Romero"/>
    <n v="72"/>
    <b v="1"/>
    <s v="[20281, 20272, 20271, 20171, 20168, 20167, 20166, 20165, 20164]"/>
    <m/>
    <s v="No Partner"/>
    <n v="20166"/>
    <n v="0"/>
    <n v="2766"/>
    <n v="8777"/>
    <s v="Mesa Ayuda Infraestructura"/>
    <n v="324.47666666666601"/>
    <m/>
  </r>
  <r>
    <n v="2913"/>
    <n v="0.16666666666666599"/>
    <d v="1899-12-30T00:10:00"/>
    <s v="50-Finalizado"/>
    <d v="1900-01-02T00:00:00"/>
    <x v="64"/>
    <d v="2024-07-22T00:00:00"/>
    <d v="2024-07-22T18:34:55"/>
    <x v="40"/>
    <n v="324.47666666666601"/>
    <d v="1900-01-12T12:28:36"/>
    <d v="2024-07-22T00:00:00"/>
    <d v="2024-07-22T18:34:55"/>
    <m/>
    <d v="1899-12-31T00:00:00"/>
    <d v="2024-08-05T07:03:31"/>
    <b v="1"/>
    <d v="2024-08-05T07:03:31"/>
    <d v="2024-08-20T19:15:38"/>
    <d v="2024-08-20T19:15:38"/>
    <m/>
    <m/>
    <d v="2024-07-22T00:00:00"/>
    <s v="Revisión de Checklist"/>
    <x v="6"/>
    <s v="Configuracion Software"/>
    <x v="2"/>
    <m/>
    <m/>
    <m/>
    <s v="No Partner"/>
    <s v="No Partner"/>
    <n v="2815"/>
    <n v="35"/>
    <s v="Mesa Ayuda Infraestructura"/>
    <m/>
    <m/>
    <n v="2766"/>
    <s v="CANELLA"/>
    <n v="2"/>
    <m/>
    <m/>
    <m/>
    <n v="1"/>
    <s v="CANELLA"/>
    <n v="2766"/>
    <s v="José Julajuj Chumil"/>
    <m/>
    <s v="normal"/>
    <s v="En proceso"/>
    <s v="Cambio de equipo a Alejandro Romero"/>
    <n v="72"/>
    <b v="1"/>
    <s v="[20281, 20272, 20271, 20171, 20168, 20167, 20166, 20165, 20164]"/>
    <m/>
    <s v="No Partner"/>
    <n v="20165"/>
    <n v="0"/>
    <n v="2766"/>
    <n v="8777"/>
    <s v="Mesa Ayuda Infraestructura"/>
    <n v="324.47666666666601"/>
    <m/>
  </r>
  <r>
    <n v="2913"/>
    <n v="0.5"/>
    <d v="1899-12-30T00:30:00"/>
    <s v="50-Finalizado"/>
    <d v="1900-01-02T00:00:00"/>
    <x v="64"/>
    <d v="2024-07-22T00:00:00"/>
    <d v="2024-07-22T18:34:55"/>
    <x v="40"/>
    <n v="324.47666666666601"/>
    <d v="1900-01-12T12:28:36"/>
    <d v="2024-07-22T00:00:00"/>
    <d v="2024-07-22T18:34:55"/>
    <m/>
    <d v="1899-12-31T00:00:00"/>
    <d v="2024-08-05T07:03:31"/>
    <b v="1"/>
    <d v="2024-08-05T07:03:31"/>
    <d v="2024-08-20T19:15:38"/>
    <d v="2024-08-20T19:15:38"/>
    <m/>
    <m/>
    <d v="2024-07-22T00:00:00"/>
    <s v="reseteo de computadora"/>
    <x v="6"/>
    <s v="Configuracion Software"/>
    <x v="2"/>
    <m/>
    <m/>
    <m/>
    <s v="No Partner"/>
    <s v="No Partner"/>
    <n v="2815"/>
    <n v="35"/>
    <s v="Mesa Ayuda Infraestructura"/>
    <m/>
    <m/>
    <n v="2766"/>
    <s v="CANELLA"/>
    <n v="2"/>
    <m/>
    <m/>
    <m/>
    <n v="1"/>
    <s v="CANELLA"/>
    <n v="2766"/>
    <s v="José Julajuj Chumil"/>
    <m/>
    <s v="normal"/>
    <s v="En proceso"/>
    <s v="Cambio de equipo a Alejandro Romero"/>
    <n v="72"/>
    <b v="1"/>
    <s v="[20281, 20272, 20271, 20171, 20168, 20167, 20166, 20165, 20164]"/>
    <m/>
    <s v="No Partner"/>
    <n v="20164"/>
    <n v="0"/>
    <n v="2766"/>
    <n v="8777"/>
    <s v="Mesa Ayuda Infraestructura"/>
    <n v="324.47666666666601"/>
    <m/>
  </r>
  <r>
    <n v="2856"/>
    <n v="0.5"/>
    <d v="1899-12-30T00:30:00"/>
    <s v="50-Finalizado"/>
    <d v="1900-01-02T00:00:00"/>
    <x v="65"/>
    <d v="2024-07-19T00:00:00"/>
    <d v="2024-07-19T21:56:23"/>
    <x v="40"/>
    <n v="393.11888888888802"/>
    <d v="1900-01-15T09:07:08"/>
    <d v="2024-07-19T00:00:00"/>
    <d v="2024-07-19T21:56:23"/>
    <m/>
    <d v="1899-12-31T00:00:00"/>
    <d v="2024-08-05T07:03:31"/>
    <b v="1"/>
    <d v="2024-08-05T07:03:31"/>
    <d v="2024-08-20T19:15:38"/>
    <d v="2024-08-20T19:15:38"/>
    <m/>
    <m/>
    <d v="2024-07-19T00:00:00"/>
    <s v="Pruebas y configuración del formato de cheques"/>
    <x v="7"/>
    <s v="Configuracion Software"/>
    <x v="2"/>
    <s v="Impresora"/>
    <m/>
    <m/>
    <s v="INVERSIONES QATAR, SOCIEDAD ANONIMA"/>
    <s v="GERENCIA GENERAL INVERSIONES QATAR, SOCIEDAD ANONIMA"/>
    <n v="2758"/>
    <n v="35"/>
    <s v="Mesa Ayuda Infraestructura"/>
    <n v="246897"/>
    <s v="KAREN NATHALY OVANDO SALAZAR"/>
    <n v="171"/>
    <s v="CANELLA"/>
    <n v="2"/>
    <n v="10"/>
    <m/>
    <m/>
    <n v="1"/>
    <s v="CANELLA"/>
    <n v="171"/>
    <s v="Andres de León"/>
    <m/>
    <s v="normal"/>
    <s v="En proceso"/>
    <s v="Configuracion de formato cheque Nataly Ovando"/>
    <n v="72"/>
    <b v="1"/>
    <s v="[19644]"/>
    <m/>
    <s v="06797@general.tbd"/>
    <n v="19644"/>
    <n v="0"/>
    <n v="171"/>
    <n v="8777"/>
    <s v="Mesa Ayuda Infraestructura"/>
    <n v="393.11888888888802"/>
    <m/>
  </r>
  <r>
    <n v="2855"/>
    <n v="1.5"/>
    <d v="1899-12-30T01:30:00"/>
    <s v="50-Finalizado"/>
    <d v="1900-01-02T00:00:00"/>
    <x v="66"/>
    <d v="2024-07-19T00:00:00"/>
    <d v="2024-07-19T21:46:09"/>
    <x v="40"/>
    <n v="393.28944444444397"/>
    <d v="1900-01-15T09:17:22"/>
    <d v="2024-07-19T00:00:00"/>
    <d v="2024-07-19T21:46:09"/>
    <m/>
    <d v="1899-12-31T00:00:00"/>
    <d v="2024-08-05T07:03:31"/>
    <b v="1"/>
    <d v="2024-08-05T07:03:31"/>
    <d v="2024-08-20T19:15:38"/>
    <d v="2024-08-20T19:15:38"/>
    <m/>
    <m/>
    <d v="2024-07-19T00:00:00"/>
    <s v="Creacion de GPO y configuracion en los TS"/>
    <x v="7"/>
    <s v="Configuracion Software"/>
    <x v="2"/>
    <m/>
    <m/>
    <m/>
    <s v="CANELLA, SOCIEDAD ANONIMA"/>
    <s v="INFORMATICA"/>
    <n v="2757"/>
    <n v="35"/>
    <s v="Mesa Ayuda Infraestructura"/>
    <n v="247014"/>
    <s v="JORGE ARMANDO SOLIS MIRANDA"/>
    <n v="171"/>
    <s v="CANELLA"/>
    <n v="2"/>
    <m/>
    <m/>
    <m/>
    <n v="1"/>
    <s v="CANELLA"/>
    <n v="171"/>
    <s v="Andres de León"/>
    <m/>
    <s v="normal"/>
    <s v="En proceso"/>
    <s v="Creacion de GPO y configuracion en los TS"/>
    <n v="72"/>
    <b v="1"/>
    <s v="[19631]"/>
    <m/>
    <s v="06665@general.tbd"/>
    <n v="19631"/>
    <n v="0"/>
    <n v="171"/>
    <n v="8777"/>
    <s v="Mesa Ayuda Infraestructura"/>
    <n v="393.28944444444397"/>
    <m/>
  </r>
  <r>
    <n v="2839"/>
    <n v="2"/>
    <d v="1899-12-30T02:00:00"/>
    <s v="50-Finalizado"/>
    <d v="1900-01-02T00:00:00"/>
    <x v="67"/>
    <d v="2024-07-19T00:00:00"/>
    <d v="2024-07-19T18:14:06"/>
    <x v="40"/>
    <n v="396.82361111111101"/>
    <d v="1900-01-15T12:49:25"/>
    <d v="2024-07-19T00:00:00"/>
    <d v="2024-07-19T18:14:06"/>
    <m/>
    <d v="1899-12-31T00:00:00"/>
    <d v="2024-08-05T07:03:31"/>
    <b v="1"/>
    <d v="2024-08-05T07:03:31"/>
    <d v="2024-08-20T19:15:38"/>
    <d v="2024-08-20T19:15:38"/>
    <m/>
    <m/>
    <d v="2024-07-19T00:00:00"/>
    <s v="Se procede a la creación de grupo y a la adición de los usuarios que tendrán permisos para crear reuniones. ( los usuarios fueron filtrados a través de un listado de personal del tercer nivel)"/>
    <x v="3"/>
    <m/>
    <x v="2"/>
    <s v="Office 365"/>
    <m/>
    <m/>
    <s v="CANELLA, SOCIEDAD ANONIMA"/>
    <s v="PROYECTOS Y ORGANIZACION Y METODOS"/>
    <n v="2741"/>
    <n v="35"/>
    <s v="Mesa Ayuda Infraestructura"/>
    <n v="247393"/>
    <s v="MIGUEL EDUARDO PEREZ LOPEZ"/>
    <n v="299"/>
    <s v="CANELLA"/>
    <m/>
    <n v="7"/>
    <m/>
    <m/>
    <n v="1"/>
    <s v="CANELLA"/>
    <n v="299"/>
    <s v="Rosario Lic"/>
    <m/>
    <s v="normal"/>
    <s v="En proceso"/>
    <s v="Creación de grupo - Reserva de Salas 3er nivel -"/>
    <n v="72"/>
    <b v="1"/>
    <s v="[19346]"/>
    <m/>
    <s v="06031@general.tbd"/>
    <n v="19346"/>
    <n v="0"/>
    <n v="299"/>
    <n v="8777"/>
    <s v="Mesa Ayuda Infraestructura"/>
    <n v="396.82361111111101"/>
    <m/>
  </r>
  <r>
    <n v="2827"/>
    <n v="0.5"/>
    <d v="1899-12-30T00:30:00"/>
    <s v="50-Finalizado"/>
    <d v="1900-01-02T00:00:00"/>
    <x v="68"/>
    <d v="2024-07-19T00:00:00"/>
    <d v="2024-07-19T15:37:05"/>
    <x v="40"/>
    <n v="399.44055555555502"/>
    <d v="1900-01-15T15:26:26"/>
    <d v="2024-07-19T00:00:00"/>
    <d v="2024-07-19T15:37:05"/>
    <m/>
    <d v="1899-12-31T00:00:00"/>
    <d v="2024-08-05T07:03:31"/>
    <b v="1"/>
    <d v="2024-08-05T07:03:31"/>
    <d v="2024-08-20T19:15:38"/>
    <d v="2024-08-20T19:15:38"/>
    <m/>
    <m/>
    <d v="2024-07-19T00:00:00"/>
    <s v="Realizar recorrido en el área de parqueo para cobertura"/>
    <x v="8"/>
    <s v="Configuracion Software"/>
    <x v="2"/>
    <s v="Redes y Comunicaciones"/>
    <m/>
    <m/>
    <s v="No Partner"/>
    <s v="No Partner"/>
    <n v="2729"/>
    <n v="35"/>
    <s v="Mesa Ayuda Infraestructura"/>
    <m/>
    <s v="CESAR ORLANDO MARTINEZ ABAL"/>
    <n v="186"/>
    <s v="CANELLA"/>
    <n v="2"/>
    <n v="28"/>
    <m/>
    <m/>
    <n v="1"/>
    <s v="CANELLA"/>
    <n v="186"/>
    <s v="Carlos Carias"/>
    <s v="&lt;p&gt;Verificar estabilidad y ancho de banda de la red&lt;/p&gt;&lt;p&gt;Recorrer cada pasillo de bodega Motul para verificar ancho de banda&lt;/p&gt;&lt;p&gt;Realizar recorrido en el área de parqueo para cobertura&amp;nbsp;&lt;/p&gt;"/>
    <s v="normal"/>
    <s v="En proceso"/>
    <s v="Verificar estabilidad de la red CD_Canella_Z13"/>
    <n v="72"/>
    <b v="1"/>
    <s v="[19304, 19303, 19302]"/>
    <m/>
    <s v="No Partner"/>
    <n v="19304"/>
    <n v="0"/>
    <n v="186"/>
    <n v="8777"/>
    <s v="Mesa Ayuda Infraestructura"/>
    <n v="399.44055555555502"/>
    <m/>
  </r>
  <r>
    <n v="2827"/>
    <n v="3"/>
    <d v="1899-12-30T03:00:00"/>
    <s v="50-Finalizado"/>
    <d v="1900-01-02T00:00:00"/>
    <x v="68"/>
    <d v="2024-07-19T00:00:00"/>
    <d v="2024-07-19T15:37:05"/>
    <x v="40"/>
    <n v="399.44055555555502"/>
    <d v="1900-01-15T15:26:26"/>
    <d v="2024-07-19T00:00:00"/>
    <d v="2024-07-19T15:37:05"/>
    <m/>
    <d v="1899-12-31T00:00:00"/>
    <d v="2024-08-05T07:03:31"/>
    <b v="1"/>
    <d v="2024-08-05T07:03:31"/>
    <d v="2024-08-20T19:15:38"/>
    <d v="2024-08-20T19:15:38"/>
    <m/>
    <m/>
    <d v="2024-07-19T00:00:00"/>
    <s v="Recorrer cada pasillo de bodega Motul para verificar ancho de banda"/>
    <x v="8"/>
    <s v="Configuracion Software"/>
    <x v="2"/>
    <s v="Redes y Comunicaciones"/>
    <m/>
    <m/>
    <s v="No Partner"/>
    <s v="No Partner"/>
    <n v="2729"/>
    <n v="35"/>
    <s v="Mesa Ayuda Infraestructura"/>
    <m/>
    <s v="CESAR ORLANDO MARTINEZ ABAL"/>
    <n v="186"/>
    <s v="CANELLA"/>
    <n v="2"/>
    <n v="28"/>
    <m/>
    <m/>
    <n v="1"/>
    <s v="CANELLA"/>
    <n v="186"/>
    <s v="Carlos Carias"/>
    <s v="&lt;p&gt;Verificar estabilidad y ancho de banda de la red&lt;/p&gt;&lt;p&gt;Recorrer cada pasillo de bodega Motul para verificar ancho de banda&lt;/p&gt;&lt;p&gt;Realizar recorrido en el área de parqueo para cobertura&amp;nbsp;&lt;/p&gt;"/>
    <s v="normal"/>
    <s v="En proceso"/>
    <s v="Verificar estabilidad de la red CD_Canella_Z13"/>
    <n v="72"/>
    <b v="1"/>
    <s v="[19304, 19303, 19302]"/>
    <m/>
    <s v="No Partner"/>
    <n v="19303"/>
    <n v="0"/>
    <n v="186"/>
    <n v="8777"/>
    <s v="Mesa Ayuda Infraestructura"/>
    <n v="399.44055555555502"/>
    <m/>
  </r>
  <r>
    <n v="2827"/>
    <n v="2"/>
    <d v="1899-12-30T02:00:00"/>
    <s v="50-Finalizado"/>
    <d v="1900-01-02T00:00:00"/>
    <x v="68"/>
    <d v="2024-07-19T00:00:00"/>
    <d v="2024-07-19T15:37:05"/>
    <x v="40"/>
    <n v="399.44055555555502"/>
    <d v="1900-01-15T15:26:26"/>
    <d v="2024-07-19T00:00:00"/>
    <d v="2024-07-19T15:37:05"/>
    <m/>
    <d v="1899-12-31T00:00:00"/>
    <d v="2024-08-05T07:03:31"/>
    <b v="1"/>
    <d v="2024-08-05T07:03:31"/>
    <d v="2024-08-20T19:15:38"/>
    <d v="2024-08-20T19:15:38"/>
    <m/>
    <m/>
    <d v="2024-07-19T00:00:00"/>
    <s v="Verificar estabilidad y ancho de banda de la red"/>
    <x v="8"/>
    <s v="Configuracion Software"/>
    <x v="2"/>
    <s v="Redes y Comunicaciones"/>
    <m/>
    <m/>
    <s v="No Partner"/>
    <s v="No Partner"/>
    <n v="2729"/>
    <n v="35"/>
    <s v="Mesa Ayuda Infraestructura"/>
    <m/>
    <s v="CESAR ORLANDO MARTINEZ ABAL"/>
    <n v="186"/>
    <s v="CANELLA"/>
    <n v="2"/>
    <n v="28"/>
    <m/>
    <m/>
    <n v="1"/>
    <s v="CANELLA"/>
    <n v="186"/>
    <s v="Carlos Carias"/>
    <s v="&lt;p&gt;Verificar estabilidad y ancho de banda de la red&lt;/p&gt;&lt;p&gt;Recorrer cada pasillo de bodega Motul para verificar ancho de banda&lt;/p&gt;&lt;p&gt;Realizar recorrido en el área de parqueo para cobertura&amp;nbsp;&lt;/p&gt;"/>
    <s v="normal"/>
    <s v="En proceso"/>
    <s v="Verificar estabilidad de la red CD_Canella_Z13"/>
    <n v="72"/>
    <b v="1"/>
    <s v="[19304, 19303, 19302]"/>
    <m/>
    <s v="No Partner"/>
    <n v="19302"/>
    <n v="0"/>
    <n v="186"/>
    <n v="8777"/>
    <s v="Mesa Ayuda Infraestructura"/>
    <n v="399.44055555555502"/>
    <m/>
  </r>
  <r>
    <n v="2826"/>
    <n v="8.3333333333333301E-2"/>
    <d v="1899-12-30T00:05:00"/>
    <s v="50-Finalizado"/>
    <d v="1900-01-02T00:00:00"/>
    <x v="69"/>
    <d v="2024-07-19T00:00:00"/>
    <d v="2024-07-19T15:36:19"/>
    <x v="40"/>
    <n v="399.45333333333298"/>
    <d v="1900-01-15T15:27:12"/>
    <d v="2024-07-19T00:00:00"/>
    <d v="2024-07-19T15:36:19"/>
    <m/>
    <d v="1899-12-31T00:00:00"/>
    <d v="2024-08-05T07:03:31"/>
    <b v="1"/>
    <d v="2024-08-05T07:03:31"/>
    <d v="2024-08-20T19:15:38"/>
    <d v="2024-08-20T19:15:38"/>
    <m/>
    <m/>
    <d v="2024-07-19T00:00:00"/>
    <s v="Llamada para coordinación de entrega de equipo"/>
    <x v="6"/>
    <s v="Configuracion Software"/>
    <x v="2"/>
    <m/>
    <m/>
    <m/>
    <s v="CANELLA, SOCIEDAD ANONIMA"/>
    <s v="GERENCIA DE DESARROLLO/SERVICIOS TI CORPORATIVOS"/>
    <n v="2728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nuevo equipo corporativo"/>
    <n v="72"/>
    <b v="1"/>
    <s v="[19633, 19456, 19408, 19336, 19328, 19317, 19316, 19315, 19295]"/>
    <m/>
    <s v="05860@general.tbd"/>
    <n v="19633"/>
    <n v="0"/>
    <n v="2766"/>
    <n v="8777"/>
    <s v="Mesa Ayuda Infraestructura"/>
    <n v="399.45333333333298"/>
    <m/>
  </r>
  <r>
    <n v="2826"/>
    <n v="1"/>
    <d v="1899-12-30T01:00:00"/>
    <s v="50-Finalizado"/>
    <d v="1900-01-02T00:00:00"/>
    <x v="69"/>
    <d v="2024-07-19T00:00:00"/>
    <d v="2024-07-19T15:36:19"/>
    <x v="40"/>
    <n v="399.45333333333298"/>
    <d v="1900-01-15T15:27:12"/>
    <d v="2024-07-19T00:00:00"/>
    <d v="2024-07-19T15:36:19"/>
    <m/>
    <d v="1899-12-31T00:00:00"/>
    <d v="2024-08-05T07:03:31"/>
    <b v="1"/>
    <d v="2024-08-05T07:03:31"/>
    <d v="2024-08-20T19:15:38"/>
    <d v="2024-08-20T19:15:38"/>
    <m/>
    <m/>
    <d v="2024-07-19T00:00:00"/>
    <s v="Actualización de Windows"/>
    <x v="6"/>
    <s v="Configuracion Software"/>
    <x v="2"/>
    <m/>
    <m/>
    <m/>
    <s v="CANELLA, SOCIEDAD ANONIMA"/>
    <s v="GERENCIA DE DESARROLLO/SERVICIOS TI CORPORATIVOS"/>
    <n v="2728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nuevo equipo corporativo"/>
    <n v="72"/>
    <b v="1"/>
    <s v="[19633, 19456, 19408, 19336, 19328, 19317, 19316, 19315, 19295]"/>
    <m/>
    <s v="05860@general.tbd"/>
    <n v="19456"/>
    <n v="0"/>
    <n v="2766"/>
    <n v="8777"/>
    <s v="Mesa Ayuda Infraestructura"/>
    <n v="399.45333333333298"/>
    <m/>
  </r>
  <r>
    <n v="2826"/>
    <n v="0.66666666666666596"/>
    <d v="1899-12-30T00:40:00"/>
    <s v="50-Finalizado"/>
    <d v="1900-01-02T00:00:00"/>
    <x v="69"/>
    <d v="2024-07-19T00:00:00"/>
    <d v="2024-07-19T15:36:19"/>
    <x v="40"/>
    <n v="399.45333333333298"/>
    <d v="1900-01-15T15:27:12"/>
    <d v="2024-07-19T00:00:00"/>
    <d v="2024-07-19T15:36:19"/>
    <m/>
    <d v="1899-12-31T00:00:00"/>
    <d v="2024-08-05T07:03:31"/>
    <b v="1"/>
    <d v="2024-08-05T07:03:31"/>
    <d v="2024-08-20T19:15:38"/>
    <d v="2024-08-20T19:15:38"/>
    <m/>
    <m/>
    <d v="2024-07-19T00:00:00"/>
    <s v="Instalación y Asignación de VPN"/>
    <x v="6"/>
    <s v="Configuracion Software"/>
    <x v="2"/>
    <m/>
    <m/>
    <m/>
    <s v="CANELLA, SOCIEDAD ANONIMA"/>
    <s v="GERENCIA DE DESARROLLO/SERVICIOS TI CORPORATIVOS"/>
    <n v="2728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nuevo equipo corporativo"/>
    <n v="72"/>
    <b v="1"/>
    <s v="[19633, 19456, 19408, 19336, 19328, 19317, 19316, 19315, 19295]"/>
    <m/>
    <s v="05860@general.tbd"/>
    <n v="19408"/>
    <n v="0"/>
    <n v="2766"/>
    <n v="8777"/>
    <s v="Mesa Ayuda Infraestructura"/>
    <n v="399.45333333333298"/>
    <m/>
  </r>
  <r>
    <n v="2826"/>
    <n v="0.75"/>
    <d v="1899-12-30T00:45:00"/>
    <s v="50-Finalizado"/>
    <d v="1900-01-02T00:00:00"/>
    <x v="69"/>
    <d v="2024-07-19T00:00:00"/>
    <d v="2024-07-19T15:36:19"/>
    <x v="40"/>
    <n v="399.45333333333298"/>
    <d v="1900-01-15T15:27:12"/>
    <d v="2024-07-19T00:00:00"/>
    <d v="2024-07-19T15:36:19"/>
    <m/>
    <d v="1899-12-31T00:00:00"/>
    <d v="2024-08-05T07:03:31"/>
    <b v="1"/>
    <d v="2024-08-05T07:03:31"/>
    <d v="2024-08-20T19:15:38"/>
    <d v="2024-08-20T19:15:38"/>
    <m/>
    <m/>
    <d v="2024-07-19T00:00:00"/>
    <s v="Configuración de usuario"/>
    <x v="6"/>
    <s v="Configuracion Software"/>
    <x v="2"/>
    <m/>
    <m/>
    <m/>
    <s v="CANELLA, SOCIEDAD ANONIMA"/>
    <s v="GERENCIA DE DESARROLLO/SERVICIOS TI CORPORATIVOS"/>
    <n v="2728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nuevo equipo corporativo"/>
    <n v="72"/>
    <b v="1"/>
    <s v="[19633, 19456, 19408, 19336, 19328, 19317, 19316, 19315, 19295]"/>
    <m/>
    <s v="05860@general.tbd"/>
    <n v="19336"/>
    <n v="0"/>
    <n v="2766"/>
    <n v="8777"/>
    <s v="Mesa Ayuda Infraestructura"/>
    <n v="399.45333333333298"/>
    <m/>
  </r>
  <r>
    <n v="2826"/>
    <n v="0.5"/>
    <d v="1899-12-30T00:30:00"/>
    <s v="50-Finalizado"/>
    <d v="1900-01-02T00:00:00"/>
    <x v="69"/>
    <d v="2024-07-19T00:00:00"/>
    <d v="2024-07-19T15:36:19"/>
    <x v="40"/>
    <n v="399.45333333333298"/>
    <d v="1900-01-15T15:27:12"/>
    <d v="2024-07-19T00:00:00"/>
    <d v="2024-07-19T15:36:19"/>
    <m/>
    <d v="1899-12-31T00:00:00"/>
    <d v="2024-08-05T07:03:31"/>
    <b v="1"/>
    <d v="2024-08-05T07:03:31"/>
    <d v="2024-08-20T19:15:38"/>
    <d v="2024-08-20T19:15:38"/>
    <m/>
    <m/>
    <d v="2024-07-19T00:00:00"/>
    <s v="Configuración de correo"/>
    <x v="6"/>
    <s v="Configuracion Software"/>
    <x v="2"/>
    <m/>
    <m/>
    <m/>
    <s v="CANELLA, SOCIEDAD ANONIMA"/>
    <s v="GERENCIA DE DESARROLLO/SERVICIOS TI CORPORATIVOS"/>
    <n v="2728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nuevo equipo corporativo"/>
    <n v="72"/>
    <b v="1"/>
    <s v="[19633, 19456, 19408, 19336, 19328, 19317, 19316, 19315, 19295]"/>
    <m/>
    <s v="05860@general.tbd"/>
    <n v="19328"/>
    <n v="0"/>
    <n v="2766"/>
    <n v="8777"/>
    <s v="Mesa Ayuda Infraestructura"/>
    <n v="399.45333333333298"/>
    <m/>
  </r>
  <r>
    <n v="2826"/>
    <n v="0.5"/>
    <d v="1899-12-30T00:30:00"/>
    <s v="50-Finalizado"/>
    <d v="1900-01-02T00:00:00"/>
    <x v="69"/>
    <d v="2024-07-19T00:00:00"/>
    <d v="2024-07-19T15:36:19"/>
    <x v="40"/>
    <n v="399.45333333333298"/>
    <d v="1900-01-15T15:27:12"/>
    <d v="2024-07-19T00:00:00"/>
    <d v="2024-07-19T15:36:19"/>
    <m/>
    <d v="1899-12-31T00:00:00"/>
    <d v="2024-08-05T07:03:31"/>
    <b v="1"/>
    <d v="2024-08-05T07:03:31"/>
    <d v="2024-08-20T19:15:38"/>
    <d v="2024-08-20T19:15:38"/>
    <m/>
    <m/>
    <d v="2024-07-19T00:00:00"/>
    <s v="Instalación de aplicaciones requeridas"/>
    <x v="6"/>
    <s v="Configuracion Software"/>
    <x v="2"/>
    <m/>
    <m/>
    <m/>
    <s v="CANELLA, SOCIEDAD ANONIMA"/>
    <s v="GERENCIA DE DESARROLLO/SERVICIOS TI CORPORATIVOS"/>
    <n v="2728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nuevo equipo corporativo"/>
    <n v="72"/>
    <b v="1"/>
    <s v="[19633, 19456, 19408, 19336, 19328, 19317, 19316, 19315, 19295]"/>
    <m/>
    <s v="05860@general.tbd"/>
    <n v="19317"/>
    <n v="0"/>
    <n v="2766"/>
    <n v="8777"/>
    <s v="Mesa Ayuda Infraestructura"/>
    <n v="399.45333333333298"/>
    <m/>
  </r>
  <r>
    <n v="2826"/>
    <n v="0.41666666666666602"/>
    <d v="1899-12-30T00:25:00"/>
    <s v="50-Finalizado"/>
    <d v="1900-01-02T00:00:00"/>
    <x v="69"/>
    <d v="2024-07-19T00:00:00"/>
    <d v="2024-07-19T15:36:19"/>
    <x v="40"/>
    <n v="399.45333333333298"/>
    <d v="1900-01-15T15:27:12"/>
    <d v="2024-07-19T00:00:00"/>
    <d v="2024-07-19T15:36:19"/>
    <m/>
    <d v="1899-12-31T00:00:00"/>
    <d v="2024-08-05T07:03:31"/>
    <b v="1"/>
    <d v="2024-08-05T07:03:31"/>
    <d v="2024-08-20T19:15:38"/>
    <d v="2024-08-20T19:15:38"/>
    <m/>
    <m/>
    <d v="2024-07-19T00:00:00"/>
    <s v="configuración de IP"/>
    <x v="6"/>
    <s v="Configuracion Software"/>
    <x v="2"/>
    <m/>
    <m/>
    <m/>
    <s v="CANELLA, SOCIEDAD ANONIMA"/>
    <s v="GERENCIA DE DESARROLLO/SERVICIOS TI CORPORATIVOS"/>
    <n v="2728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nuevo equipo corporativo"/>
    <n v="72"/>
    <b v="1"/>
    <s v="[19633, 19456, 19408, 19336, 19328, 19317, 19316, 19315, 19295]"/>
    <m/>
    <s v="05860@general.tbd"/>
    <n v="19316"/>
    <n v="0"/>
    <n v="2766"/>
    <n v="8777"/>
    <s v="Mesa Ayuda Infraestructura"/>
    <n v="399.45333333333298"/>
    <m/>
  </r>
  <r>
    <n v="2826"/>
    <n v="0.5"/>
    <d v="1899-12-30T00:30:00"/>
    <s v="50-Finalizado"/>
    <d v="1900-01-02T00:00:00"/>
    <x v="69"/>
    <d v="2024-07-19T00:00:00"/>
    <d v="2024-07-19T15:36:19"/>
    <x v="40"/>
    <n v="399.45333333333298"/>
    <d v="1900-01-15T15:27:12"/>
    <d v="2024-07-19T00:00:00"/>
    <d v="2024-07-19T15:36:19"/>
    <m/>
    <d v="1899-12-31T00:00:00"/>
    <d v="2024-08-05T07:03:31"/>
    <b v="1"/>
    <d v="2024-08-05T07:03:31"/>
    <d v="2024-08-20T19:15:38"/>
    <d v="2024-08-20T19:15:38"/>
    <m/>
    <m/>
    <d v="2024-07-19T00:00:00"/>
    <s v="Instalación de Windows"/>
    <x v="6"/>
    <s v="Configuracion Software"/>
    <x v="2"/>
    <m/>
    <m/>
    <m/>
    <s v="CANELLA, SOCIEDAD ANONIMA"/>
    <s v="GERENCIA DE DESARROLLO/SERVICIOS TI CORPORATIVOS"/>
    <n v="2728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nuevo equipo corporativo"/>
    <n v="72"/>
    <b v="1"/>
    <s v="[19633, 19456, 19408, 19336, 19328, 19317, 19316, 19315, 19295]"/>
    <m/>
    <s v="05860@general.tbd"/>
    <n v="19315"/>
    <n v="0"/>
    <n v="2766"/>
    <n v="8777"/>
    <s v="Mesa Ayuda Infraestructura"/>
    <n v="399.45333333333298"/>
    <m/>
  </r>
  <r>
    <n v="2826"/>
    <n v="0.58333333333333304"/>
    <d v="1899-12-30T00:35:00"/>
    <s v="50-Finalizado"/>
    <d v="1900-01-02T00:00:00"/>
    <x v="69"/>
    <d v="2024-07-19T00:00:00"/>
    <d v="2024-07-19T15:36:19"/>
    <x v="40"/>
    <n v="399.45333333333298"/>
    <d v="1900-01-15T15:27:12"/>
    <d v="2024-07-19T00:00:00"/>
    <d v="2024-07-19T15:36:19"/>
    <m/>
    <d v="1899-12-31T00:00:00"/>
    <d v="2024-08-05T07:03:31"/>
    <b v="1"/>
    <d v="2024-08-05T07:03:31"/>
    <d v="2024-08-20T19:15:38"/>
    <d v="2024-08-20T19:15:38"/>
    <m/>
    <m/>
    <d v="2024-07-19T00:00:00"/>
    <s v="formateo de equipo"/>
    <x v="6"/>
    <s v="Configuracion Software"/>
    <x v="2"/>
    <m/>
    <m/>
    <m/>
    <s v="CANELLA, SOCIEDAD ANONIMA"/>
    <s v="GERENCIA DE DESARROLLO/SERVICIOS TI CORPORATIVOS"/>
    <n v="2728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nuevo equipo corporativo"/>
    <n v="72"/>
    <b v="1"/>
    <s v="[19633, 19456, 19408, 19336, 19328, 19317, 19316, 19315, 19295]"/>
    <m/>
    <s v="05860@general.tbd"/>
    <n v="19295"/>
    <n v="0"/>
    <n v="2766"/>
    <n v="8777"/>
    <s v="Mesa Ayuda Infraestructura"/>
    <n v="399.45333333333298"/>
    <m/>
  </r>
  <r>
    <n v="2825"/>
    <n v="0.5"/>
    <d v="1899-12-30T00:30:00"/>
    <s v="50-Finalizado"/>
    <d v="1900-01-02T00:00:00"/>
    <x v="70"/>
    <d v="2024-07-19T00:00:00"/>
    <d v="2024-07-19T15:29:50"/>
    <x v="40"/>
    <n v="399.56138888888802"/>
    <d v="1900-01-15T15:33:41"/>
    <d v="2024-07-19T00:00:00"/>
    <d v="2024-07-19T15:29:50"/>
    <m/>
    <d v="1899-12-31T00:00:00"/>
    <d v="2024-08-05T07:03:31"/>
    <b v="1"/>
    <d v="2024-08-05T07:03:31"/>
    <d v="2024-08-20T19:15:38"/>
    <d v="2024-08-20T19:15:38"/>
    <m/>
    <m/>
    <d v="2024-07-19T00:00:00"/>
    <s v="Mantenimiento de inyectores y configuracion de media carta."/>
    <x v="7"/>
    <s v="Configuracion Hardware"/>
    <x v="2"/>
    <s v="Impresora"/>
    <m/>
    <m/>
    <s v="INVERSIONES QATAR, SOCIEDAD ANONIMA"/>
    <s v="GERENCIA GENERAL INVERSIONES QATAR, SOCIEDAD ANONIMA"/>
    <n v="2727"/>
    <n v="35"/>
    <s v="Mesa Ayuda Infraestructura"/>
    <n v="246897"/>
    <s v="KAREN NATHALY OVANDO SALAZAR"/>
    <n v="171"/>
    <s v="CANELLA"/>
    <n v="1"/>
    <n v="10"/>
    <m/>
    <m/>
    <n v="1"/>
    <s v="CANELLA"/>
    <n v="171"/>
    <s v="Andres de León"/>
    <m/>
    <s v="normal"/>
    <s v="En proceso"/>
    <s v="Mantenimiento de impresora Nataly Ovando"/>
    <n v="72"/>
    <b v="1"/>
    <s v="[19292]"/>
    <m/>
    <s v="06797@general.tbd"/>
    <n v="19292"/>
    <n v="0"/>
    <n v="171"/>
    <n v="8777"/>
    <s v="Mesa Ayuda Infraestructura"/>
    <n v="399.56138888888802"/>
    <m/>
  </r>
  <r>
    <n v="2824"/>
    <n v="3"/>
    <d v="1899-12-30T03:00:00"/>
    <s v="50-Finalizado"/>
    <d v="1900-01-02T00:00:00"/>
    <x v="71"/>
    <d v="2024-07-19T00:00:00"/>
    <d v="2024-07-19T15:12:54"/>
    <x v="40"/>
    <n v="399.84361111111099"/>
    <d v="1900-01-15T15:50:37"/>
    <d v="2024-07-19T00:00:00"/>
    <d v="2024-07-19T15:12:54"/>
    <m/>
    <d v="1899-12-31T00:00:00"/>
    <d v="2024-08-05T07:03:31"/>
    <b v="1"/>
    <d v="2024-08-05T07:03:31"/>
    <d v="2024-08-20T19:15:38"/>
    <d v="2024-08-20T19:15:38"/>
    <m/>
    <m/>
    <d v="2024-07-19T00:00:00"/>
    <s v="Revision cobertura WiFi"/>
    <x v="10"/>
    <s v="Configuracion Software"/>
    <x v="2"/>
    <s v="Redes y Comunicaciones"/>
    <s v="Enlaces"/>
    <m/>
    <s v="INVERSIONES QATAR, SOCIEDAD ANONIMA"/>
    <s v="GERENCIA GENERAL INVERSIONES QATAR, SOCIEDAD ANONIMA"/>
    <n v="2726"/>
    <n v="35"/>
    <s v="Mesa Ayuda Infraestructura"/>
    <n v="246994"/>
    <s v="CESAR ORLANDO MARTINEZ ABAL"/>
    <n v="248"/>
    <s v="CANELLA"/>
    <n v="2"/>
    <n v="28"/>
    <n v="29"/>
    <m/>
    <n v="1"/>
    <s v="CANELLA"/>
    <n v="248"/>
    <s v="Juan Carlos Barillas"/>
    <s v="&lt;p&gt;Revisión cobertura Wifi todos los pasillos Y&amp;nbsp;estanterías de la bodega, parqueo frente de bodega&amp;nbsp;&lt;/p&gt;"/>
    <s v="normal"/>
    <s v="En proceso"/>
    <s v="Verificación cobertura WiFi CD Z13"/>
    <n v="72"/>
    <b v="1"/>
    <s v="[19286]"/>
    <m/>
    <s v="06688@general.tbd"/>
    <n v="19286"/>
    <n v="0"/>
    <n v="248"/>
    <n v="8777"/>
    <s v="Mesa Ayuda Infraestructura"/>
    <n v="399.84361111111099"/>
    <m/>
  </r>
  <r>
    <n v="2812"/>
    <n v="0.25"/>
    <d v="1899-12-30T00:15:00"/>
    <s v="50-Finalizado"/>
    <d v="1900-01-02T00:00:00"/>
    <x v="72"/>
    <d v="2024-07-18T00:00:00"/>
    <d v="2024-07-18T23:00:00"/>
    <x v="40"/>
    <n v="416.05861111111102"/>
    <d v="1900-01-16T08:03:31"/>
    <d v="2024-07-18T00:00:00"/>
    <d v="2024-07-18T23:00:00"/>
    <m/>
    <d v="1899-12-31T00:00:00"/>
    <d v="2024-08-05T07:03:31"/>
    <b v="1"/>
    <d v="2024-08-05T07:03:31"/>
    <d v="2024-08-20T19:15:38"/>
    <d v="2024-08-20T19:15:38"/>
    <m/>
    <m/>
    <d v="2024-07-18T00:00:00"/>
    <s v="Configuración de correo en OWA"/>
    <x v="7"/>
    <s v="Configuracion Software"/>
    <x v="2"/>
    <s v="Office 365"/>
    <m/>
    <m/>
    <s v="CANELLA, SOCIEDAD ANONIMA"/>
    <s v="OPERACIONES TECNOLOGIA/BODEGA Y DESPACHO"/>
    <n v="2714"/>
    <n v="35"/>
    <s v="Mesa Ayuda Infraestructura"/>
    <n v="247839"/>
    <s v="CESAR ESTUARDO VILLELA ROSAS"/>
    <n v="171"/>
    <s v="CANELLA"/>
    <n v="2"/>
    <n v="7"/>
    <m/>
    <m/>
    <n v="1"/>
    <s v="CANELLA"/>
    <n v="171"/>
    <s v="Andres de León"/>
    <m/>
    <s v="normal"/>
    <s v="En proceso"/>
    <s v="Configuración de correo en OWA Cesar Villela"/>
    <n v="72"/>
    <b v="1"/>
    <s v="[19168]"/>
    <m/>
    <s v="03714@general.tbd"/>
    <n v="19168"/>
    <n v="0"/>
    <n v="171"/>
    <n v="8777"/>
    <s v="Mesa Ayuda Infraestructura"/>
    <n v="416.05861111111102"/>
    <m/>
  </r>
  <r>
    <n v="2811"/>
    <n v="0.5"/>
    <d v="1899-12-30T00:30:00"/>
    <s v="50-Finalizado"/>
    <d v="1900-01-02T00:00:00"/>
    <x v="73"/>
    <d v="2024-07-18T00:00:00"/>
    <d v="2024-07-18T22:53:04"/>
    <x v="40"/>
    <n v="416.174166666666"/>
    <d v="1900-01-16T08:10:27"/>
    <d v="2024-07-18T00:00:00"/>
    <d v="2024-07-18T22:53:04"/>
    <m/>
    <d v="1899-12-31T00:00:00"/>
    <d v="2024-08-05T07:03:31"/>
    <b v="1"/>
    <d v="2024-08-05T07:03:31"/>
    <d v="2024-08-20T19:15:38"/>
    <d v="2024-08-20T19:15:38"/>
    <m/>
    <m/>
    <d v="2024-07-19T00:00:00"/>
    <s v="Se procede a realizar la instalación y configuración de Drivers para proyección inalámbrica"/>
    <x v="3"/>
    <m/>
    <x v="2"/>
    <m/>
    <m/>
    <m/>
    <s v="CANELLA, SOCIEDAD ANONIMA"/>
    <s v="INFORMATICA"/>
    <n v="271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Pruebas de red en proyector Interactivo"/>
    <n v="72"/>
    <b v="1"/>
    <n v="19161"/>
    <m/>
    <s v="04025@general.tbd"/>
    <n v="19850"/>
    <n v="0"/>
    <n v="299"/>
    <n v="8777"/>
    <s v="Mesa Ayuda Infraestructura"/>
    <n v="416.174166666666"/>
    <m/>
  </r>
  <r>
    <n v="2811"/>
    <n v="0.5"/>
    <d v="1899-12-30T00:30:00"/>
    <s v="50-Finalizado"/>
    <d v="1900-01-02T00:00:00"/>
    <x v="73"/>
    <d v="2024-07-18T00:00:00"/>
    <d v="2024-07-18T22:53:04"/>
    <x v="40"/>
    <n v="416.174166666666"/>
    <d v="1900-01-16T08:10:27"/>
    <d v="2024-07-18T00:00:00"/>
    <d v="2024-07-18T22:53:04"/>
    <m/>
    <d v="1899-12-31T00:00:00"/>
    <d v="2024-08-05T07:03:31"/>
    <b v="1"/>
    <d v="2024-08-05T07:03:31"/>
    <d v="2024-08-20T19:15:38"/>
    <d v="2024-08-20T19:15:38"/>
    <m/>
    <m/>
    <d v="2024-07-18T00:00:00"/>
    <s v="Se procede a la instalación y a realizar las pruebas con módulo de red en proyector interactivo."/>
    <x v="3"/>
    <m/>
    <x v="2"/>
    <m/>
    <m/>
    <m/>
    <s v="CANELLA, SOCIEDAD ANONIMA"/>
    <s v="INFORMATICA"/>
    <n v="271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Pruebas de red en proyector Interactivo"/>
    <n v="72"/>
    <b v="1"/>
    <n v="19161"/>
    <m/>
    <s v="04025@general.tbd"/>
    <n v="19161"/>
    <n v="0"/>
    <n v="299"/>
    <n v="8777"/>
    <s v="Mesa Ayuda Infraestructura"/>
    <n v="416.174166666666"/>
    <m/>
  </r>
  <r>
    <n v="2788"/>
    <n v="0.16666666666666599"/>
    <d v="1899-12-30T00:10:00"/>
    <s v="50-Finalizado"/>
    <d v="1900-01-02T00:00:00"/>
    <x v="74"/>
    <d v="2024-07-18T00:00:00"/>
    <d v="2024-07-18T20:31:25"/>
    <x v="40"/>
    <n v="418.534999999999"/>
    <d v="1900-01-16T10:32:06"/>
    <d v="2024-07-18T00:00:00"/>
    <d v="2024-07-18T20:31:25"/>
    <m/>
    <d v="1899-12-31T00:00:00"/>
    <d v="2024-08-05T07:03:31"/>
    <b v="1"/>
    <d v="2024-08-05T07:03:31"/>
    <d v="2024-08-20T19:15:38"/>
    <d v="2024-08-20T19:15:38"/>
    <m/>
    <m/>
    <d v="2024-07-19T00:00:00"/>
    <s v="Notificación por correo de deshabilitación de usuario"/>
    <x v="9"/>
    <s v="Configuracion Software"/>
    <x v="2"/>
    <s v="Office 365"/>
    <m/>
    <m/>
    <s v="Partner sin user_id"/>
    <s v="Partner sin user_id"/>
    <n v="2690"/>
    <n v="35"/>
    <s v="Mesa Ayuda Infraestructura"/>
    <n v="153311"/>
    <s v="MIRNA LISSETTE ARRECIS ROSALES"/>
    <n v="314"/>
    <s v="CANELLA"/>
    <n v="2"/>
    <n v="7"/>
    <m/>
    <m/>
    <n v="1"/>
    <s v="CANELLA"/>
    <n v="314"/>
    <s v="Yosselyn Ignacio"/>
    <m/>
    <s v="normal"/>
    <s v="En proceso"/>
    <s v="Deshabilitación de usuario Juan Pablo Rodriguez"/>
    <n v="72"/>
    <b v="1"/>
    <s v="[19805, 19804, 19183]"/>
    <m/>
    <s v="Partner sin user_id. Partner: 153311"/>
    <n v="19805"/>
    <n v="0"/>
    <n v="314"/>
    <n v="8777"/>
    <s v="Mesa Ayuda Infraestructura"/>
    <n v="418.534999999999"/>
    <m/>
  </r>
  <r>
    <n v="2788"/>
    <n v="0.16666666666666599"/>
    <d v="1899-12-30T00:10:00"/>
    <s v="50-Finalizado"/>
    <d v="1900-01-02T00:00:00"/>
    <x v="74"/>
    <d v="2024-07-18T00:00:00"/>
    <d v="2024-07-18T20:31:25"/>
    <x v="40"/>
    <n v="418.534999999999"/>
    <d v="1900-01-16T10:32:06"/>
    <d v="2024-07-18T00:00:00"/>
    <d v="2024-07-18T20:31:25"/>
    <m/>
    <d v="1899-12-31T00:00:00"/>
    <d v="2024-08-05T07:03:31"/>
    <b v="1"/>
    <d v="2024-08-05T07:03:31"/>
    <d v="2024-08-20T19:15:38"/>
    <d v="2024-08-20T19:15:38"/>
    <m/>
    <m/>
    <d v="2024-07-19T00:00:00"/>
    <s v="Deshabilitar usuario Juan Pablo Rodriguez"/>
    <x v="9"/>
    <s v="Configuracion Software"/>
    <x v="2"/>
    <s v="Office 365"/>
    <m/>
    <m/>
    <s v="Partner sin user_id"/>
    <s v="Partner sin user_id"/>
    <n v="2690"/>
    <n v="35"/>
    <s v="Mesa Ayuda Infraestructura"/>
    <n v="153311"/>
    <s v="MIRNA LISSETTE ARRECIS ROSALES"/>
    <n v="314"/>
    <s v="CANELLA"/>
    <n v="2"/>
    <n v="7"/>
    <m/>
    <m/>
    <n v="1"/>
    <s v="CANELLA"/>
    <n v="314"/>
    <s v="Yosselyn Ignacio"/>
    <m/>
    <s v="normal"/>
    <s v="En proceso"/>
    <s v="Deshabilitación de usuario Juan Pablo Rodriguez"/>
    <n v="72"/>
    <b v="1"/>
    <s v="[19805, 19804, 19183]"/>
    <m/>
    <s v="Partner sin user_id. Partner: 153311"/>
    <n v="19804"/>
    <n v="0"/>
    <n v="314"/>
    <n v="8777"/>
    <s v="Mesa Ayuda Infraestructura"/>
    <n v="418.534999999999"/>
    <m/>
  </r>
  <r>
    <n v="2788"/>
    <n v="0.16666666666666599"/>
    <d v="1899-12-30T00:10:00"/>
    <s v="50-Finalizado"/>
    <d v="1900-01-02T00:00:00"/>
    <x v="74"/>
    <d v="2024-07-18T00:00:00"/>
    <d v="2024-07-18T20:31:25"/>
    <x v="40"/>
    <n v="418.534999999999"/>
    <d v="1900-01-16T10:32:06"/>
    <d v="2024-07-18T00:00:00"/>
    <d v="2024-07-18T20:31:25"/>
    <m/>
    <d v="1899-12-31T00:00:00"/>
    <d v="2024-08-05T07:03:31"/>
    <b v="1"/>
    <d v="2024-08-05T07:03:31"/>
    <d v="2024-08-20T19:15:38"/>
    <d v="2024-08-20T19:15:38"/>
    <m/>
    <m/>
    <d v="2024-07-18T00:00:00"/>
    <s v="Seguimiento a correo licda Arrecis para deshabilitar usuario 19/07"/>
    <x v="9"/>
    <s v="Configuracion Software"/>
    <x v="2"/>
    <s v="Office 365"/>
    <m/>
    <m/>
    <s v="Partner sin user_id"/>
    <s v="Partner sin user_id"/>
    <n v="2690"/>
    <n v="35"/>
    <s v="Mesa Ayuda Infraestructura"/>
    <n v="153311"/>
    <s v="MIRNA LISSETTE ARRECIS ROSALES"/>
    <n v="314"/>
    <s v="CANELLA"/>
    <n v="2"/>
    <n v="7"/>
    <m/>
    <m/>
    <n v="1"/>
    <s v="CANELLA"/>
    <n v="314"/>
    <s v="Yosselyn Ignacio"/>
    <m/>
    <s v="normal"/>
    <s v="En proceso"/>
    <s v="Deshabilitación de usuario Juan Pablo Rodriguez"/>
    <n v="72"/>
    <b v="1"/>
    <s v="[19805, 19804, 19183]"/>
    <m/>
    <s v="Partner sin user_id. Partner: 153311"/>
    <n v="19183"/>
    <n v="0"/>
    <n v="314"/>
    <n v="8777"/>
    <s v="Mesa Ayuda Infraestructura"/>
    <n v="418.534999999999"/>
    <m/>
  </r>
  <r>
    <n v="2778"/>
    <n v="0.16666666666666599"/>
    <d v="1899-12-30T00:10:00"/>
    <s v="50-Finalizado"/>
    <d v="1900-01-02T00:00:00"/>
    <x v="75"/>
    <d v="2024-07-18T00:00:00"/>
    <d v="2024-07-18T18:26:11"/>
    <x v="40"/>
    <n v="420.62222222222198"/>
    <d v="1900-01-16T12:37:20"/>
    <d v="2024-07-18T00:00:00"/>
    <d v="2024-07-18T18:26:11"/>
    <m/>
    <d v="1899-12-31T00:00:00"/>
    <d v="2024-08-05T07:03:31"/>
    <b v="1"/>
    <d v="2024-08-05T07:03:31"/>
    <d v="2024-08-20T19:15:38"/>
    <d v="2024-08-20T19:15:38"/>
    <m/>
    <m/>
    <d v="2024-07-18T00:00:00"/>
    <s v="Configuración de Cobian"/>
    <x v="6"/>
    <s v="Configuracion Software"/>
    <x v="2"/>
    <s v="Cobian Backup"/>
    <m/>
    <m/>
    <s v="SOLUCIONES EN COLOCACION Y RECUPERACION, S.A."/>
    <s v="SUBGERENCIA DE OPERACIONES"/>
    <n v="2680"/>
    <n v="35"/>
    <s v="Mesa Ayuda Infraestructura"/>
    <n v="247156"/>
    <s v="CRISTIAN ALEJANDRO GARCIA MONTUFAR"/>
    <n v="2766"/>
    <s v="CANELLA"/>
    <n v="2"/>
    <n v="25"/>
    <m/>
    <m/>
    <n v="1"/>
    <s v="CANELLA"/>
    <n v="2766"/>
    <s v="José Julajuj Chumil"/>
    <m/>
    <s v="normal"/>
    <s v="En proceso"/>
    <s v="BACKUP de archivos de usuario DARLIN JUMENEZ y creación de usuario Carla Martínez"/>
    <n v="72"/>
    <b v="1"/>
    <s v="[19172, 19149, 19109, 19108, 19087, 19086, 19080, 19070, 19066, 19064]"/>
    <m/>
    <s v="06463@general.tbd"/>
    <n v="19172"/>
    <n v="0"/>
    <n v="2766"/>
    <n v="8777"/>
    <s v="Mesa Ayuda Infraestructura"/>
    <n v="420.62222222222198"/>
    <m/>
  </r>
  <r>
    <n v="2778"/>
    <n v="0.33333333333333298"/>
    <d v="1899-12-30T00:20:00"/>
    <s v="50-Finalizado"/>
    <d v="1900-01-02T00:00:00"/>
    <x v="75"/>
    <d v="2024-07-18T00:00:00"/>
    <d v="2024-07-18T18:26:11"/>
    <x v="40"/>
    <n v="420.62222222222198"/>
    <d v="1900-01-16T12:37:20"/>
    <d v="2024-07-18T00:00:00"/>
    <d v="2024-07-18T18:26:11"/>
    <m/>
    <d v="1899-12-31T00:00:00"/>
    <d v="2024-08-05T07:03:31"/>
    <b v="1"/>
    <d v="2024-08-05T07:03:31"/>
    <d v="2024-08-20T19:15:38"/>
    <d v="2024-08-20T19:15:38"/>
    <m/>
    <m/>
    <d v="2024-07-18T00:00:00"/>
    <s v="Cambio de usuario"/>
    <x v="6"/>
    <s v="Configuracion Software"/>
    <x v="2"/>
    <s v="Cobian Backup"/>
    <m/>
    <m/>
    <s v="SOLUCIONES EN COLOCACION Y RECUPERACION, S.A."/>
    <s v="SUBGERENCIA DE OPERACIONES"/>
    <n v="2680"/>
    <n v="35"/>
    <s v="Mesa Ayuda Infraestructura"/>
    <n v="247156"/>
    <s v="CRISTIAN ALEJANDRO GARCIA MONTUFAR"/>
    <n v="2766"/>
    <s v="CANELLA"/>
    <n v="2"/>
    <n v="25"/>
    <m/>
    <m/>
    <n v="1"/>
    <s v="CANELLA"/>
    <n v="2766"/>
    <s v="José Julajuj Chumil"/>
    <m/>
    <s v="normal"/>
    <s v="En proceso"/>
    <s v="BACKUP de archivos de usuario DARLIN JUMENEZ y creación de usuario Carla Martínez"/>
    <n v="72"/>
    <b v="1"/>
    <s v="[19172, 19149, 19109, 19108, 19087, 19086, 19080, 19070, 19066, 19064]"/>
    <m/>
    <s v="06463@general.tbd"/>
    <n v="19149"/>
    <n v="0"/>
    <n v="2766"/>
    <n v="8777"/>
    <s v="Mesa Ayuda Infraestructura"/>
    <n v="420.62222222222198"/>
    <m/>
  </r>
  <r>
    <n v="2778"/>
    <n v="0.16666666666666599"/>
    <d v="1899-12-30T00:10:00"/>
    <s v="50-Finalizado"/>
    <d v="1900-01-02T00:00:00"/>
    <x v="75"/>
    <d v="2024-07-18T00:00:00"/>
    <d v="2024-07-18T18:26:11"/>
    <x v="40"/>
    <n v="420.62222222222198"/>
    <d v="1900-01-16T12:37:20"/>
    <d v="2024-07-18T00:00:00"/>
    <d v="2024-07-18T18:26:11"/>
    <m/>
    <d v="1899-12-31T00:00:00"/>
    <d v="2024-08-05T07:03:31"/>
    <b v="1"/>
    <d v="2024-08-05T07:03:31"/>
    <d v="2024-08-20T19:15:38"/>
    <d v="2024-08-20T19:15:38"/>
    <m/>
    <m/>
    <d v="2024-07-18T00:00:00"/>
    <s v="Prueba de verificación de impresora"/>
    <x v="6"/>
    <s v="Configuracion Software"/>
    <x v="2"/>
    <s v="Cobian Backup"/>
    <m/>
    <m/>
    <s v="SOLUCIONES EN COLOCACION Y RECUPERACION, S.A."/>
    <s v="SUBGERENCIA DE OPERACIONES"/>
    <n v="2680"/>
    <n v="35"/>
    <s v="Mesa Ayuda Infraestructura"/>
    <n v="247156"/>
    <s v="CRISTIAN ALEJANDRO GARCIA MONTUFAR"/>
    <n v="2766"/>
    <s v="CANELLA"/>
    <n v="2"/>
    <n v="25"/>
    <m/>
    <m/>
    <n v="1"/>
    <s v="CANELLA"/>
    <n v="2766"/>
    <s v="José Julajuj Chumil"/>
    <m/>
    <s v="normal"/>
    <s v="En proceso"/>
    <s v="BACKUP de archivos de usuario DARLIN JUMENEZ y creación de usuario Carla Martínez"/>
    <n v="72"/>
    <b v="1"/>
    <s v="[19172, 19149, 19109, 19108, 19087, 19086, 19080, 19070, 19066, 19064]"/>
    <m/>
    <s v="06463@general.tbd"/>
    <n v="19109"/>
    <n v="0"/>
    <n v="2766"/>
    <n v="8777"/>
    <s v="Mesa Ayuda Infraestructura"/>
    <n v="420.62222222222198"/>
    <m/>
  </r>
  <r>
    <n v="2778"/>
    <n v="8.3333333333333301E-2"/>
    <d v="1899-12-30T00:05:00"/>
    <s v="50-Finalizado"/>
    <d v="1900-01-02T00:00:00"/>
    <x v="75"/>
    <d v="2024-07-18T00:00:00"/>
    <d v="2024-07-18T18:26:11"/>
    <x v="40"/>
    <n v="420.62222222222198"/>
    <d v="1900-01-16T12:37:20"/>
    <d v="2024-07-18T00:00:00"/>
    <d v="2024-07-18T18:26:11"/>
    <m/>
    <d v="1899-12-31T00:00:00"/>
    <d v="2024-08-05T07:03:31"/>
    <b v="1"/>
    <d v="2024-08-05T07:03:31"/>
    <d v="2024-08-20T19:15:38"/>
    <d v="2024-08-20T19:15:38"/>
    <m/>
    <m/>
    <d v="2024-07-18T00:00:00"/>
    <s v="Verificación de correo"/>
    <x v="6"/>
    <s v="Configuracion Software"/>
    <x v="2"/>
    <s v="Cobian Backup"/>
    <m/>
    <m/>
    <s v="SOLUCIONES EN COLOCACION Y RECUPERACION, S.A."/>
    <s v="SUBGERENCIA DE OPERACIONES"/>
    <n v="2680"/>
    <n v="35"/>
    <s v="Mesa Ayuda Infraestructura"/>
    <n v="247156"/>
    <s v="CRISTIAN ALEJANDRO GARCIA MONTUFAR"/>
    <n v="2766"/>
    <s v="CANELLA"/>
    <n v="2"/>
    <n v="25"/>
    <m/>
    <m/>
    <n v="1"/>
    <s v="CANELLA"/>
    <n v="2766"/>
    <s v="José Julajuj Chumil"/>
    <m/>
    <s v="normal"/>
    <s v="En proceso"/>
    <s v="BACKUP de archivos de usuario DARLIN JUMENEZ y creación de usuario Carla Martínez"/>
    <n v="72"/>
    <b v="1"/>
    <s v="[19172, 19149, 19109, 19108, 19087, 19086, 19080, 19070, 19066, 19064]"/>
    <m/>
    <s v="06463@general.tbd"/>
    <n v="19108"/>
    <n v="0"/>
    <n v="2766"/>
    <n v="8777"/>
    <s v="Mesa Ayuda Infraestructura"/>
    <n v="420.62222222222198"/>
    <m/>
  </r>
  <r>
    <n v="2778"/>
    <n v="0.33333333333333298"/>
    <d v="1899-12-30T00:20:00"/>
    <s v="50-Finalizado"/>
    <d v="1900-01-02T00:00:00"/>
    <x v="75"/>
    <d v="2024-07-18T00:00:00"/>
    <d v="2024-07-18T18:26:11"/>
    <x v="40"/>
    <n v="420.62222222222198"/>
    <d v="1900-01-16T12:37:20"/>
    <d v="2024-07-18T00:00:00"/>
    <d v="2024-07-18T18:26:11"/>
    <m/>
    <d v="1899-12-31T00:00:00"/>
    <d v="2024-08-05T07:03:31"/>
    <b v="1"/>
    <d v="2024-08-05T07:03:31"/>
    <d v="2024-08-20T19:15:38"/>
    <d v="2024-08-20T19:15:38"/>
    <m/>
    <m/>
    <d v="2024-07-18T00:00:00"/>
    <s v="Ingreso de Nuevo usuario a equipo"/>
    <x v="6"/>
    <s v="Configuracion Software"/>
    <x v="2"/>
    <s v="Cobian Backup"/>
    <m/>
    <m/>
    <s v="SOLUCIONES EN COLOCACION Y RECUPERACION, S.A."/>
    <s v="SUBGERENCIA DE OPERACIONES"/>
    <n v="2680"/>
    <n v="35"/>
    <s v="Mesa Ayuda Infraestructura"/>
    <n v="247156"/>
    <s v="CRISTIAN ALEJANDRO GARCIA MONTUFAR"/>
    <n v="2766"/>
    <s v="CANELLA"/>
    <n v="2"/>
    <n v="25"/>
    <m/>
    <m/>
    <n v="1"/>
    <s v="CANELLA"/>
    <n v="2766"/>
    <s v="José Julajuj Chumil"/>
    <m/>
    <s v="normal"/>
    <s v="En proceso"/>
    <s v="BACKUP de archivos de usuario DARLIN JUMENEZ y creación de usuario Carla Martínez"/>
    <n v="72"/>
    <b v="1"/>
    <s v="[19172, 19149, 19109, 19108, 19087, 19086, 19080, 19070, 19066, 19064]"/>
    <m/>
    <s v="06463@general.tbd"/>
    <n v="19087"/>
    <n v="0"/>
    <n v="2766"/>
    <n v="8777"/>
    <s v="Mesa Ayuda Infraestructura"/>
    <n v="420.62222222222198"/>
    <m/>
  </r>
  <r>
    <n v="2778"/>
    <n v="0.16666666666666599"/>
    <d v="1899-12-30T00:10:00"/>
    <s v="50-Finalizado"/>
    <d v="1900-01-02T00:00:00"/>
    <x v="75"/>
    <d v="2024-07-18T00:00:00"/>
    <d v="2024-07-18T18:26:11"/>
    <x v="40"/>
    <n v="420.62222222222198"/>
    <d v="1900-01-16T12:37:20"/>
    <d v="2024-07-18T00:00:00"/>
    <d v="2024-07-18T18:26:11"/>
    <m/>
    <d v="1899-12-31T00:00:00"/>
    <d v="2024-08-05T07:03:31"/>
    <b v="1"/>
    <d v="2024-08-05T07:03:31"/>
    <d v="2024-08-20T19:15:38"/>
    <d v="2024-08-20T19:15:38"/>
    <m/>
    <m/>
    <d v="2024-07-18T00:00:00"/>
    <s v="Copiando Archivos de la carpeta Escritorio"/>
    <x v="6"/>
    <s v="Configuracion Software"/>
    <x v="2"/>
    <s v="Cobian Backup"/>
    <m/>
    <m/>
    <s v="SOLUCIONES EN COLOCACION Y RECUPERACION, S.A."/>
    <s v="SUBGERENCIA DE OPERACIONES"/>
    <n v="2680"/>
    <n v="35"/>
    <s v="Mesa Ayuda Infraestructura"/>
    <n v="247156"/>
    <s v="CRISTIAN ALEJANDRO GARCIA MONTUFAR"/>
    <n v="2766"/>
    <s v="CANELLA"/>
    <n v="2"/>
    <n v="25"/>
    <m/>
    <m/>
    <n v="1"/>
    <s v="CANELLA"/>
    <n v="2766"/>
    <s v="José Julajuj Chumil"/>
    <m/>
    <s v="normal"/>
    <s v="En proceso"/>
    <s v="BACKUP de archivos de usuario DARLIN JUMENEZ y creación de usuario Carla Martínez"/>
    <n v="72"/>
    <b v="1"/>
    <s v="[19172, 19149, 19109, 19108, 19087, 19086, 19080, 19070, 19066, 19064]"/>
    <m/>
    <s v="06463@general.tbd"/>
    <n v="19086"/>
    <n v="0"/>
    <n v="2766"/>
    <n v="8777"/>
    <s v="Mesa Ayuda Infraestructura"/>
    <n v="420.62222222222198"/>
    <m/>
  </r>
  <r>
    <n v="2778"/>
    <n v="0.16666666666666599"/>
    <d v="1899-12-30T00:10:00"/>
    <s v="50-Finalizado"/>
    <d v="1900-01-02T00:00:00"/>
    <x v="75"/>
    <d v="2024-07-18T00:00:00"/>
    <d v="2024-07-18T18:26:11"/>
    <x v="40"/>
    <n v="420.62222222222198"/>
    <d v="1900-01-16T12:37:20"/>
    <d v="2024-07-18T00:00:00"/>
    <d v="2024-07-18T18:26:11"/>
    <m/>
    <d v="1899-12-31T00:00:00"/>
    <d v="2024-08-05T07:03:31"/>
    <b v="1"/>
    <d v="2024-08-05T07:03:31"/>
    <d v="2024-08-20T19:15:38"/>
    <d v="2024-08-20T19:15:38"/>
    <m/>
    <m/>
    <d v="2024-07-18T00:00:00"/>
    <s v="Copiando Archivos de la carpeta Documentos"/>
    <x v="6"/>
    <s v="Configuracion Software"/>
    <x v="2"/>
    <s v="Cobian Backup"/>
    <m/>
    <m/>
    <s v="SOLUCIONES EN COLOCACION Y RECUPERACION, S.A."/>
    <s v="SUBGERENCIA DE OPERACIONES"/>
    <n v="2680"/>
    <n v="35"/>
    <s v="Mesa Ayuda Infraestructura"/>
    <n v="247156"/>
    <s v="CRISTIAN ALEJANDRO GARCIA MONTUFAR"/>
    <n v="2766"/>
    <s v="CANELLA"/>
    <n v="2"/>
    <n v="25"/>
    <m/>
    <m/>
    <n v="1"/>
    <s v="CANELLA"/>
    <n v="2766"/>
    <s v="José Julajuj Chumil"/>
    <m/>
    <s v="normal"/>
    <s v="En proceso"/>
    <s v="BACKUP de archivos de usuario DARLIN JUMENEZ y creación de usuario Carla Martínez"/>
    <n v="72"/>
    <b v="1"/>
    <s v="[19172, 19149, 19109, 19108, 19087, 19086, 19080, 19070, 19066, 19064]"/>
    <m/>
    <s v="06463@general.tbd"/>
    <n v="19080"/>
    <n v="0"/>
    <n v="2766"/>
    <n v="8777"/>
    <s v="Mesa Ayuda Infraestructura"/>
    <n v="420.62222222222198"/>
    <m/>
  </r>
  <r>
    <n v="2778"/>
    <n v="0.33333333333333298"/>
    <d v="1899-12-30T00:20:00"/>
    <s v="50-Finalizado"/>
    <d v="1900-01-02T00:00:00"/>
    <x v="75"/>
    <d v="2024-07-18T00:00:00"/>
    <d v="2024-07-18T18:26:11"/>
    <x v="40"/>
    <n v="420.62222222222198"/>
    <d v="1900-01-16T12:37:20"/>
    <d v="2024-07-18T00:00:00"/>
    <d v="2024-07-18T18:26:11"/>
    <m/>
    <d v="1899-12-31T00:00:00"/>
    <d v="2024-08-05T07:03:31"/>
    <b v="1"/>
    <d v="2024-08-05T07:03:31"/>
    <d v="2024-08-20T19:15:38"/>
    <d v="2024-08-20T19:15:38"/>
    <m/>
    <m/>
    <d v="2024-07-18T00:00:00"/>
    <s v="Copia de correos"/>
    <x v="6"/>
    <s v="Configuracion Software"/>
    <x v="2"/>
    <s v="Cobian Backup"/>
    <m/>
    <m/>
    <s v="SOLUCIONES EN COLOCACION Y RECUPERACION, S.A."/>
    <s v="SUBGERENCIA DE OPERACIONES"/>
    <n v="2680"/>
    <n v="35"/>
    <s v="Mesa Ayuda Infraestructura"/>
    <n v="247156"/>
    <s v="CRISTIAN ALEJANDRO GARCIA MONTUFAR"/>
    <n v="2766"/>
    <s v="CANELLA"/>
    <n v="2"/>
    <n v="25"/>
    <m/>
    <m/>
    <n v="1"/>
    <s v="CANELLA"/>
    <n v="2766"/>
    <s v="José Julajuj Chumil"/>
    <m/>
    <s v="normal"/>
    <s v="En proceso"/>
    <s v="BACKUP de archivos de usuario DARLIN JUMENEZ y creación de usuario Carla Martínez"/>
    <n v="72"/>
    <b v="1"/>
    <s v="[19172, 19149, 19109, 19108, 19087, 19086, 19080, 19070, 19066, 19064]"/>
    <m/>
    <s v="06463@general.tbd"/>
    <n v="19070"/>
    <n v="0"/>
    <n v="2766"/>
    <n v="8777"/>
    <s v="Mesa Ayuda Infraestructura"/>
    <n v="420.62222222222198"/>
    <m/>
  </r>
  <r>
    <n v="2778"/>
    <n v="0.16666666666666599"/>
    <d v="1899-12-30T00:10:00"/>
    <s v="50-Finalizado"/>
    <d v="1900-01-02T00:00:00"/>
    <x v="75"/>
    <d v="2024-07-18T00:00:00"/>
    <d v="2024-07-18T18:26:11"/>
    <x v="40"/>
    <n v="420.62222222222198"/>
    <d v="1900-01-16T12:37:20"/>
    <d v="2024-07-18T00:00:00"/>
    <d v="2024-07-18T18:26:11"/>
    <m/>
    <d v="1899-12-31T00:00:00"/>
    <d v="2024-08-05T07:03:31"/>
    <b v="1"/>
    <d v="2024-08-05T07:03:31"/>
    <d v="2024-08-20T19:15:38"/>
    <d v="2024-08-20T19:15:38"/>
    <m/>
    <m/>
    <d v="2024-07-18T00:00:00"/>
    <s v="Llamar a usuario debido a que usuario en maquina estaba bloqueada para ingresar de nuevo"/>
    <x v="6"/>
    <s v="Configuracion Software"/>
    <x v="2"/>
    <s v="Cobian Backup"/>
    <m/>
    <m/>
    <s v="SOLUCIONES EN COLOCACION Y RECUPERACION, S.A."/>
    <s v="SUBGERENCIA DE OPERACIONES"/>
    <n v="2680"/>
    <n v="35"/>
    <s v="Mesa Ayuda Infraestructura"/>
    <n v="247156"/>
    <s v="CRISTIAN ALEJANDRO GARCIA MONTUFAR"/>
    <n v="2766"/>
    <s v="CANELLA"/>
    <n v="2"/>
    <n v="25"/>
    <m/>
    <m/>
    <n v="1"/>
    <s v="CANELLA"/>
    <n v="2766"/>
    <s v="José Julajuj Chumil"/>
    <m/>
    <s v="normal"/>
    <s v="En proceso"/>
    <s v="BACKUP de archivos de usuario DARLIN JUMENEZ y creación de usuario Carla Martínez"/>
    <n v="72"/>
    <b v="1"/>
    <s v="[19172, 19149, 19109, 19108, 19087, 19086, 19080, 19070, 19066, 19064]"/>
    <m/>
    <s v="06463@general.tbd"/>
    <n v="19066"/>
    <n v="0"/>
    <n v="2766"/>
    <n v="8777"/>
    <s v="Mesa Ayuda Infraestructura"/>
    <n v="420.62222222222198"/>
    <m/>
  </r>
  <r>
    <n v="2778"/>
    <n v="0.16666666666666599"/>
    <d v="1899-12-30T00:10:00"/>
    <s v="50-Finalizado"/>
    <d v="1900-01-02T00:00:00"/>
    <x v="75"/>
    <d v="2024-07-18T00:00:00"/>
    <d v="2024-07-18T18:26:11"/>
    <x v="40"/>
    <n v="420.62222222222198"/>
    <d v="1900-01-16T12:37:20"/>
    <d v="2024-07-18T00:00:00"/>
    <d v="2024-07-18T18:26:11"/>
    <m/>
    <d v="1899-12-31T00:00:00"/>
    <d v="2024-08-05T07:03:31"/>
    <b v="1"/>
    <d v="2024-08-05T07:03:31"/>
    <d v="2024-08-20T19:15:38"/>
    <d v="2024-08-20T19:15:38"/>
    <m/>
    <m/>
    <d v="2024-07-18T00:00:00"/>
    <s v="Llamar a Cristian Montufar para solicitar IP"/>
    <x v="6"/>
    <s v="Configuracion Software"/>
    <x v="2"/>
    <s v="Cobian Backup"/>
    <m/>
    <m/>
    <s v="SOLUCIONES EN COLOCACION Y RECUPERACION, S.A."/>
    <s v="SUBGERENCIA DE OPERACIONES"/>
    <n v="2680"/>
    <n v="35"/>
    <s v="Mesa Ayuda Infraestructura"/>
    <n v="247156"/>
    <s v="CRISTIAN ALEJANDRO GARCIA MONTUFAR"/>
    <n v="2766"/>
    <s v="CANELLA"/>
    <n v="2"/>
    <n v="25"/>
    <m/>
    <m/>
    <n v="1"/>
    <s v="CANELLA"/>
    <n v="2766"/>
    <s v="José Julajuj Chumil"/>
    <m/>
    <s v="normal"/>
    <s v="En proceso"/>
    <s v="BACKUP de archivos de usuario DARLIN JUMENEZ y creación de usuario Carla Martínez"/>
    <n v="72"/>
    <b v="1"/>
    <s v="[19172, 19149, 19109, 19108, 19087, 19086, 19080, 19070, 19066, 19064]"/>
    <m/>
    <s v="06463@general.tbd"/>
    <n v="19064"/>
    <n v="0"/>
    <n v="2766"/>
    <n v="8777"/>
    <s v="Mesa Ayuda Infraestructura"/>
    <n v="420.62222222222198"/>
    <m/>
  </r>
  <r>
    <n v="2775"/>
    <n v="8.3333333333333301E-2"/>
    <d v="1899-12-30T00:05:00"/>
    <s v="50-Finalizado"/>
    <d v="1900-01-02T00:00:00"/>
    <x v="76"/>
    <d v="2024-07-18T00:00:00"/>
    <d v="2024-07-18T17:47:20"/>
    <x v="40"/>
    <n v="421.26972222222201"/>
    <d v="1900-01-16T13:16:11"/>
    <d v="2024-07-18T00:00:00"/>
    <d v="2024-07-18T17:47:20"/>
    <m/>
    <d v="1899-12-31T00:00:00"/>
    <d v="2024-08-05T07:03:31"/>
    <b v="1"/>
    <d v="2024-08-05T07:03:31"/>
    <d v="2024-08-20T19:15:38"/>
    <d v="2024-08-20T19:15:38"/>
    <m/>
    <m/>
    <d v="2024-07-19T00:00:00"/>
    <s v="Entrega de equipo a usuario asignado"/>
    <x v="6"/>
    <m/>
    <x v="2"/>
    <m/>
    <m/>
    <m/>
    <s v="Partner sin user_id"/>
    <s v="Partner sin user_id"/>
    <n v="2677"/>
    <n v="35"/>
    <s v="Mesa Ayuda Infraestructura"/>
    <n v="75243"/>
    <s v="JUSTIN STYVANNY HERNANDEZ OLIVA"/>
    <n v="2766"/>
    <s v="CANELLA"/>
    <m/>
    <m/>
    <m/>
    <m/>
    <n v="1"/>
    <s v="CANELLA"/>
    <n v="2766"/>
    <s v="José Julajuj Chumil"/>
    <m/>
    <s v="normal"/>
    <s v="En proceso"/>
    <s v="Diagnostico de Laptop"/>
    <n v="72"/>
    <b v="1"/>
    <s v="[19581, 19280, 19186, 19154, 19131, 19126, 19117, 19051, 19049, 19048]"/>
    <m/>
    <s v="Partner sin user_id. Partner: 75243"/>
    <n v="19581"/>
    <n v="0"/>
    <n v="2766"/>
    <n v="8777"/>
    <s v="Mesa Ayuda Infraestructura"/>
    <n v="421.26972222222201"/>
    <m/>
  </r>
  <r>
    <n v="2775"/>
    <n v="0.33333333333333298"/>
    <d v="1899-12-30T00:20:00"/>
    <s v="50-Finalizado"/>
    <d v="1900-01-02T00:00:00"/>
    <x v="76"/>
    <d v="2024-07-18T00:00:00"/>
    <d v="2024-07-18T17:47:20"/>
    <x v="40"/>
    <n v="421.26972222222201"/>
    <d v="1900-01-16T13:16:11"/>
    <d v="2024-07-18T00:00:00"/>
    <d v="2024-07-18T17:47:20"/>
    <m/>
    <d v="1899-12-31T00:00:00"/>
    <d v="2024-08-05T07:03:31"/>
    <b v="1"/>
    <d v="2024-08-05T07:03:31"/>
    <d v="2024-08-20T19:15:38"/>
    <d v="2024-08-20T19:15:38"/>
    <m/>
    <m/>
    <d v="2024-07-19T00:00:00"/>
    <s v="Limpieza de equipo antes de entraga"/>
    <x v="6"/>
    <m/>
    <x v="2"/>
    <m/>
    <m/>
    <m/>
    <s v="Partner sin user_id"/>
    <s v="Partner sin user_id"/>
    <n v="2677"/>
    <n v="35"/>
    <s v="Mesa Ayuda Infraestructura"/>
    <n v="75243"/>
    <s v="JUSTIN STYVANNY HERNANDEZ OLIVA"/>
    <n v="2766"/>
    <s v="CANELLA"/>
    <m/>
    <m/>
    <m/>
    <m/>
    <n v="1"/>
    <s v="CANELLA"/>
    <n v="2766"/>
    <s v="José Julajuj Chumil"/>
    <m/>
    <s v="normal"/>
    <s v="En proceso"/>
    <s v="Diagnostico de Laptop"/>
    <n v="72"/>
    <b v="1"/>
    <s v="[19581, 19280, 19186, 19154, 19131, 19126, 19117, 19051, 19049, 19048]"/>
    <m/>
    <s v="Partner sin user_id. Partner: 75243"/>
    <n v="19280"/>
    <n v="0"/>
    <n v="2766"/>
    <n v="8777"/>
    <s v="Mesa Ayuda Infraestructura"/>
    <n v="421.26972222222201"/>
    <m/>
  </r>
  <r>
    <n v="2775"/>
    <n v="8.3333333333333301E-2"/>
    <d v="1899-12-30T00:05:00"/>
    <s v="50-Finalizado"/>
    <d v="1900-01-02T00:00:00"/>
    <x v="76"/>
    <d v="2024-07-18T00:00:00"/>
    <d v="2024-07-18T17:47:20"/>
    <x v="40"/>
    <n v="421.26972222222201"/>
    <d v="1900-01-16T13:16:11"/>
    <d v="2024-07-18T00:00:00"/>
    <d v="2024-07-18T17:47:20"/>
    <m/>
    <d v="1899-12-31T00:00:00"/>
    <d v="2024-08-05T07:03:31"/>
    <b v="1"/>
    <d v="2024-08-05T07:03:31"/>
    <d v="2024-08-20T19:15:38"/>
    <d v="2024-08-20T19:15:38"/>
    <m/>
    <m/>
    <d v="2024-07-18T00:00:00"/>
    <s v="Llamada para recoger equipo"/>
    <x v="6"/>
    <m/>
    <x v="2"/>
    <m/>
    <m/>
    <m/>
    <s v="Partner sin user_id"/>
    <s v="Partner sin user_id"/>
    <n v="2677"/>
    <n v="35"/>
    <s v="Mesa Ayuda Infraestructura"/>
    <n v="75243"/>
    <s v="JUSTIN STYVANNY HERNANDEZ OLIVA"/>
    <n v="2766"/>
    <s v="CANELLA"/>
    <m/>
    <m/>
    <m/>
    <m/>
    <n v="1"/>
    <s v="CANELLA"/>
    <n v="2766"/>
    <s v="José Julajuj Chumil"/>
    <m/>
    <s v="normal"/>
    <s v="En proceso"/>
    <s v="Diagnostico de Laptop"/>
    <n v="72"/>
    <b v="1"/>
    <s v="[19581, 19280, 19186, 19154, 19131, 19126, 19117, 19051, 19049, 19048]"/>
    <m/>
    <s v="Partner sin user_id. Partner: 75243"/>
    <n v="19186"/>
    <n v="0"/>
    <n v="2766"/>
    <n v="8777"/>
    <s v="Mesa Ayuda Infraestructura"/>
    <n v="421.26972222222201"/>
    <m/>
  </r>
  <r>
    <n v="2775"/>
    <n v="0.5"/>
    <d v="1899-12-30T00:30:00"/>
    <s v="50-Finalizado"/>
    <d v="1900-01-02T00:00:00"/>
    <x v="76"/>
    <d v="2024-07-18T00:00:00"/>
    <d v="2024-07-18T17:47:20"/>
    <x v="40"/>
    <n v="421.26972222222201"/>
    <d v="1900-01-16T13:16:11"/>
    <d v="2024-07-18T00:00:00"/>
    <d v="2024-07-18T17:47:20"/>
    <m/>
    <d v="1899-12-31T00:00:00"/>
    <d v="2024-08-05T07:03:31"/>
    <b v="1"/>
    <d v="2024-08-05T07:03:31"/>
    <d v="2024-08-20T19:15:38"/>
    <d v="2024-08-20T19:15:38"/>
    <m/>
    <m/>
    <d v="2024-07-18T00:00:00"/>
    <s v="Cambio de M2 a otro equipo"/>
    <x v="6"/>
    <m/>
    <x v="2"/>
    <m/>
    <m/>
    <m/>
    <s v="Partner sin user_id"/>
    <s v="Partner sin user_id"/>
    <n v="2677"/>
    <n v="35"/>
    <s v="Mesa Ayuda Infraestructura"/>
    <n v="75243"/>
    <s v="JUSTIN STYVANNY HERNANDEZ OLIVA"/>
    <n v="2766"/>
    <s v="CANELLA"/>
    <m/>
    <m/>
    <m/>
    <m/>
    <n v="1"/>
    <s v="CANELLA"/>
    <n v="2766"/>
    <s v="José Julajuj Chumil"/>
    <m/>
    <s v="normal"/>
    <s v="En proceso"/>
    <s v="Diagnostico de Laptop"/>
    <n v="72"/>
    <b v="1"/>
    <s v="[19581, 19280, 19186, 19154, 19131, 19126, 19117, 19051, 19049, 19048]"/>
    <m/>
    <s v="Partner sin user_id. Partner: 75243"/>
    <n v="19154"/>
    <n v="0"/>
    <n v="2766"/>
    <n v="8777"/>
    <s v="Mesa Ayuda Infraestructura"/>
    <n v="421.26972222222201"/>
    <m/>
  </r>
  <r>
    <n v="2775"/>
    <n v="0.25"/>
    <d v="1899-12-30T00:15:00"/>
    <s v="50-Finalizado"/>
    <d v="1900-01-02T00:00:00"/>
    <x v="76"/>
    <d v="2024-07-18T00:00:00"/>
    <d v="2024-07-18T17:47:20"/>
    <x v="40"/>
    <n v="421.26972222222201"/>
    <d v="1900-01-16T13:16:11"/>
    <d v="2024-07-18T00:00:00"/>
    <d v="2024-07-18T17:47:20"/>
    <m/>
    <d v="1899-12-31T00:00:00"/>
    <d v="2024-08-05T07:03:31"/>
    <b v="1"/>
    <d v="2024-08-05T07:03:31"/>
    <d v="2024-08-20T19:15:38"/>
    <d v="2024-08-20T19:15:38"/>
    <m/>
    <m/>
    <d v="2024-07-18T00:00:00"/>
    <s v="Cambio de equipo debido a falla en placa"/>
    <x v="6"/>
    <m/>
    <x v="2"/>
    <m/>
    <m/>
    <m/>
    <s v="Partner sin user_id"/>
    <s v="Partner sin user_id"/>
    <n v="2677"/>
    <n v="35"/>
    <s v="Mesa Ayuda Infraestructura"/>
    <n v="75243"/>
    <s v="JUSTIN STYVANNY HERNANDEZ OLIVA"/>
    <n v="2766"/>
    <s v="CANELLA"/>
    <m/>
    <m/>
    <m/>
    <m/>
    <n v="1"/>
    <s v="CANELLA"/>
    <n v="2766"/>
    <s v="José Julajuj Chumil"/>
    <m/>
    <s v="normal"/>
    <s v="En proceso"/>
    <s v="Diagnostico de Laptop"/>
    <n v="72"/>
    <b v="1"/>
    <s v="[19581, 19280, 19186, 19154, 19131, 19126, 19117, 19051, 19049, 19048]"/>
    <m/>
    <s v="Partner sin user_id. Partner: 75243"/>
    <n v="19131"/>
    <n v="0"/>
    <n v="2766"/>
    <n v="8777"/>
    <s v="Mesa Ayuda Infraestructura"/>
    <n v="421.26972222222201"/>
    <m/>
  </r>
  <r>
    <n v="2775"/>
    <n v="8.3333333333333301E-2"/>
    <d v="1899-12-30T00:05:00"/>
    <s v="50-Finalizado"/>
    <d v="1900-01-02T00:00:00"/>
    <x v="76"/>
    <d v="2024-07-18T00:00:00"/>
    <d v="2024-07-18T17:47:20"/>
    <x v="40"/>
    <n v="421.26972222222201"/>
    <d v="1900-01-16T13:16:11"/>
    <d v="2024-07-18T00:00:00"/>
    <d v="2024-07-18T17:47:20"/>
    <m/>
    <d v="1899-12-31T00:00:00"/>
    <d v="2024-08-05T07:03:31"/>
    <b v="1"/>
    <d v="2024-08-05T07:03:31"/>
    <d v="2024-08-20T19:15:38"/>
    <d v="2024-08-20T19:15:38"/>
    <m/>
    <m/>
    <d v="2024-07-18T00:00:00"/>
    <s v="Llamada a usuario para información de falla de equipo"/>
    <x v="6"/>
    <m/>
    <x v="2"/>
    <m/>
    <m/>
    <m/>
    <s v="Partner sin user_id"/>
    <s v="Partner sin user_id"/>
    <n v="2677"/>
    <n v="35"/>
    <s v="Mesa Ayuda Infraestructura"/>
    <n v="75243"/>
    <s v="JUSTIN STYVANNY HERNANDEZ OLIVA"/>
    <n v="2766"/>
    <s v="CANELLA"/>
    <m/>
    <m/>
    <m/>
    <m/>
    <n v="1"/>
    <s v="CANELLA"/>
    <n v="2766"/>
    <s v="José Julajuj Chumil"/>
    <m/>
    <s v="normal"/>
    <s v="En proceso"/>
    <s v="Diagnostico de Laptop"/>
    <n v="72"/>
    <b v="1"/>
    <s v="[19581, 19280, 19186, 19154, 19131, 19126, 19117, 19051, 19049, 19048]"/>
    <m/>
    <s v="Partner sin user_id. Partner: 75243"/>
    <n v="19126"/>
    <n v="0"/>
    <n v="2766"/>
    <n v="8777"/>
    <s v="Mesa Ayuda Infraestructura"/>
    <n v="421.26972222222201"/>
    <m/>
  </r>
  <r>
    <n v="2775"/>
    <n v="0.25"/>
    <d v="1899-12-30T00:15:00"/>
    <s v="50-Finalizado"/>
    <d v="1900-01-02T00:00:00"/>
    <x v="76"/>
    <d v="2024-07-18T00:00:00"/>
    <d v="2024-07-18T17:47:20"/>
    <x v="40"/>
    <n v="421.26972222222201"/>
    <d v="1900-01-16T13:16:11"/>
    <d v="2024-07-18T00:00:00"/>
    <d v="2024-07-18T17:47:20"/>
    <m/>
    <d v="1899-12-31T00:00:00"/>
    <d v="2024-08-05T07:03:31"/>
    <b v="1"/>
    <d v="2024-08-05T07:03:31"/>
    <d v="2024-08-20T19:15:38"/>
    <d v="2024-08-20T19:15:38"/>
    <m/>
    <m/>
    <d v="2024-07-18T00:00:00"/>
    <s v="Ir a traer Equipo a servicio técnico"/>
    <x v="6"/>
    <m/>
    <x v="2"/>
    <m/>
    <m/>
    <m/>
    <s v="Partner sin user_id"/>
    <s v="Partner sin user_id"/>
    <n v="2677"/>
    <n v="35"/>
    <s v="Mesa Ayuda Infraestructura"/>
    <n v="75243"/>
    <s v="JUSTIN STYVANNY HERNANDEZ OLIVA"/>
    <n v="2766"/>
    <s v="CANELLA"/>
    <m/>
    <m/>
    <m/>
    <m/>
    <n v="1"/>
    <s v="CANELLA"/>
    <n v="2766"/>
    <s v="José Julajuj Chumil"/>
    <m/>
    <s v="normal"/>
    <s v="En proceso"/>
    <s v="Diagnostico de Laptop"/>
    <n v="72"/>
    <b v="1"/>
    <s v="[19581, 19280, 19186, 19154, 19131, 19126, 19117, 19051, 19049, 19048]"/>
    <m/>
    <s v="Partner sin user_id. Partner: 75243"/>
    <n v="19117"/>
    <n v="0"/>
    <n v="2766"/>
    <n v="8777"/>
    <s v="Mesa Ayuda Infraestructura"/>
    <n v="421.26972222222201"/>
    <m/>
  </r>
  <r>
    <n v="2775"/>
    <n v="8.3333333333333301E-2"/>
    <d v="1899-12-30T00:05:00"/>
    <s v="50-Finalizado"/>
    <d v="1900-01-02T00:00:00"/>
    <x v="76"/>
    <d v="2024-07-18T00:00:00"/>
    <d v="2024-07-18T17:47:20"/>
    <x v="40"/>
    <n v="421.26972222222201"/>
    <d v="1900-01-16T13:16:11"/>
    <d v="2024-07-18T00:00:00"/>
    <d v="2024-07-18T17:47:20"/>
    <m/>
    <d v="1899-12-31T00:00:00"/>
    <d v="2024-08-05T07:03:31"/>
    <b v="1"/>
    <d v="2024-08-05T07:03:31"/>
    <d v="2024-08-20T19:15:38"/>
    <d v="2024-08-20T19:15:38"/>
    <m/>
    <m/>
    <d v="2024-07-18T00:00:00"/>
    <s v="Llamada al usuario para indicar en 4 horas entrega de equipo"/>
    <x v="6"/>
    <m/>
    <x v="2"/>
    <m/>
    <m/>
    <m/>
    <s v="Partner sin user_id"/>
    <s v="Partner sin user_id"/>
    <n v="2677"/>
    <n v="35"/>
    <s v="Mesa Ayuda Infraestructura"/>
    <n v="75243"/>
    <s v="JUSTIN STYVANNY HERNANDEZ OLIVA"/>
    <n v="2766"/>
    <s v="CANELLA"/>
    <m/>
    <m/>
    <m/>
    <m/>
    <n v="1"/>
    <s v="CANELLA"/>
    <n v="2766"/>
    <s v="José Julajuj Chumil"/>
    <m/>
    <s v="normal"/>
    <s v="En proceso"/>
    <s v="Diagnostico de Laptop"/>
    <n v="72"/>
    <b v="1"/>
    <s v="[19581, 19280, 19186, 19154, 19131, 19126, 19117, 19051, 19049, 19048]"/>
    <m/>
    <s v="Partner sin user_id. Partner: 75243"/>
    <n v="19051"/>
    <n v="0"/>
    <n v="2766"/>
    <n v="8777"/>
    <s v="Mesa Ayuda Infraestructura"/>
    <n v="421.26972222222201"/>
    <m/>
  </r>
  <r>
    <n v="2775"/>
    <n v="0.33333333333333298"/>
    <d v="1899-12-30T00:20:00"/>
    <s v="50-Finalizado"/>
    <d v="1900-01-02T00:00:00"/>
    <x v="76"/>
    <d v="2024-07-18T00:00:00"/>
    <d v="2024-07-18T17:47:20"/>
    <x v="40"/>
    <n v="421.26972222222201"/>
    <d v="1900-01-16T13:16:11"/>
    <d v="2024-07-18T00:00:00"/>
    <d v="2024-07-18T17:47:20"/>
    <m/>
    <d v="1899-12-31T00:00:00"/>
    <d v="2024-08-05T07:03:31"/>
    <b v="1"/>
    <d v="2024-08-05T07:03:31"/>
    <d v="2024-08-20T19:15:38"/>
    <d v="2024-08-20T19:15:38"/>
    <m/>
    <m/>
    <d v="2024-07-18T00:00:00"/>
    <s v="Llevado de equipo a servicio técnico para apertura de orden de servicio"/>
    <x v="6"/>
    <m/>
    <x v="2"/>
    <m/>
    <m/>
    <m/>
    <s v="Partner sin user_id"/>
    <s v="Partner sin user_id"/>
    <n v="2677"/>
    <n v="35"/>
    <s v="Mesa Ayuda Infraestructura"/>
    <n v="75243"/>
    <s v="JUSTIN STYVANNY HERNANDEZ OLIVA"/>
    <n v="2766"/>
    <s v="CANELLA"/>
    <m/>
    <m/>
    <m/>
    <m/>
    <n v="1"/>
    <s v="CANELLA"/>
    <n v="2766"/>
    <s v="José Julajuj Chumil"/>
    <m/>
    <s v="normal"/>
    <s v="En proceso"/>
    <s v="Diagnostico de Laptop"/>
    <n v="72"/>
    <b v="1"/>
    <s v="[19581, 19280, 19186, 19154, 19131, 19126, 19117, 19051, 19049, 19048]"/>
    <m/>
    <s v="Partner sin user_id. Partner: 75243"/>
    <n v="19049"/>
    <n v="0"/>
    <n v="2766"/>
    <n v="8777"/>
    <s v="Mesa Ayuda Infraestructura"/>
    <n v="421.26972222222201"/>
    <m/>
  </r>
  <r>
    <n v="2775"/>
    <n v="0.16666666666666599"/>
    <d v="1899-12-30T00:10:00"/>
    <s v="50-Finalizado"/>
    <d v="1900-01-02T00:00:00"/>
    <x v="76"/>
    <d v="2024-07-18T00:00:00"/>
    <d v="2024-07-18T17:47:20"/>
    <x v="40"/>
    <n v="421.26972222222201"/>
    <d v="1900-01-16T13:16:11"/>
    <d v="2024-07-18T00:00:00"/>
    <d v="2024-07-18T17:47:20"/>
    <m/>
    <d v="1899-12-31T00:00:00"/>
    <d v="2024-08-05T07:03:31"/>
    <b v="1"/>
    <d v="2024-08-05T07:03:31"/>
    <d v="2024-08-20T19:15:38"/>
    <d v="2024-08-20T19:15:38"/>
    <m/>
    <m/>
    <d v="2024-07-18T00:00:00"/>
    <s v="Recepción de equipo"/>
    <x v="6"/>
    <m/>
    <x v="2"/>
    <m/>
    <m/>
    <m/>
    <s v="Partner sin user_id"/>
    <s v="Partner sin user_id"/>
    <n v="2677"/>
    <n v="35"/>
    <s v="Mesa Ayuda Infraestructura"/>
    <n v="75243"/>
    <s v="JUSTIN STYVANNY HERNANDEZ OLIVA"/>
    <n v="2766"/>
    <s v="CANELLA"/>
    <m/>
    <m/>
    <m/>
    <m/>
    <n v="1"/>
    <s v="CANELLA"/>
    <n v="2766"/>
    <s v="José Julajuj Chumil"/>
    <m/>
    <s v="normal"/>
    <s v="En proceso"/>
    <s v="Diagnostico de Laptop"/>
    <n v="72"/>
    <b v="1"/>
    <s v="[19581, 19280, 19186, 19154, 19131, 19126, 19117, 19051, 19049, 19048]"/>
    <m/>
    <s v="Partner sin user_id. Partner: 75243"/>
    <n v="19048"/>
    <n v="0"/>
    <n v="2766"/>
    <n v="8777"/>
    <s v="Mesa Ayuda Infraestructura"/>
    <n v="421.26972222222201"/>
    <m/>
  </r>
  <r>
    <n v="2736"/>
    <n v="0.33333333333333298"/>
    <d v="1899-12-30T00:20:00"/>
    <s v="50-Finalizado"/>
    <d v="1900-01-02T00:00:00"/>
    <x v="77"/>
    <d v="2024-07-17T00:00:00"/>
    <d v="2024-07-17T23:55:28"/>
    <x v="40"/>
    <n v="439.13416666666598"/>
    <d v="1900-01-17T07:08:03"/>
    <d v="2024-07-17T00:00:00"/>
    <d v="2024-07-17T23:55:28"/>
    <m/>
    <d v="1899-12-31T00:00:00"/>
    <d v="2024-08-05T07:03:31"/>
    <b v="1"/>
    <d v="2024-08-05T07:03:31"/>
    <d v="2024-08-20T19:15:38"/>
    <d v="2024-08-20T19:15:38"/>
    <m/>
    <m/>
    <d v="2024-07-17T00:00:00"/>
    <s v="Revisión de servidores en Data Center 3er Nivel / Raúl Hernández"/>
    <x v="8"/>
    <s v="Configuracion Software"/>
    <x v="2"/>
    <s v="Redes y Comunicaciones"/>
    <m/>
    <m/>
    <s v="CANELLA, SOCIEDAD ANONIMA"/>
    <s v="INFORMATICA"/>
    <n v="2638"/>
    <n v="35"/>
    <s v="Mesa Ayuda Infraestructura"/>
    <n v="247813"/>
    <s v="OSCAR RAUL HERNANDEZ REYNA"/>
    <n v="186"/>
    <s v="CANELLA"/>
    <n v="2"/>
    <n v="28"/>
    <m/>
    <m/>
    <n v="1"/>
    <s v="CANELLA"/>
    <n v="186"/>
    <s v="Carlos Carias"/>
    <m/>
    <s v="normal"/>
    <s v="En proceso"/>
    <s v="Revisión de servidores en Data Center 3er Nivel / Raúl Hernández"/>
    <n v="72"/>
    <b v="1"/>
    <s v="[18901]"/>
    <m/>
    <s v="04025@general.tbd"/>
    <n v="18901"/>
    <n v="0"/>
    <n v="186"/>
    <n v="8777"/>
    <s v="Mesa Ayuda Infraestructura"/>
    <n v="439.13416666666598"/>
    <m/>
  </r>
  <r>
    <n v="2703"/>
    <n v="3"/>
    <d v="1899-12-30T03:00:00"/>
    <s v="50-Finalizado"/>
    <d v="1900-01-02T00:00:00"/>
    <x v="78"/>
    <d v="2024-07-17T00:00:00"/>
    <d v="2024-07-17T18:46:06"/>
    <x v="40"/>
    <n v="444.29027777777702"/>
    <d v="1900-01-17T12:17:25"/>
    <d v="2024-07-17T00:00:00"/>
    <d v="2024-07-17T18:46:06"/>
    <m/>
    <d v="1899-12-31T00:00:00"/>
    <d v="2024-08-05T07:03:31"/>
    <b v="1"/>
    <d v="2024-08-05T07:03:31"/>
    <d v="2024-08-20T19:15:38"/>
    <d v="2024-08-20T19:15:38"/>
    <m/>
    <m/>
    <d v="2024-07-17T00:00:00"/>
    <s v="Se procede a darle seguimiento a la instalación de tablet para sala de reuniones grande de 3er nivel, en los cuales se verifican los siguientes aspectos: - lugar y forma de instalación ( tomando en cuenta  los aspectos a futuro si resistirá la instalación)"/>
    <x v="3"/>
    <m/>
    <x v="2"/>
    <m/>
    <m/>
    <m/>
    <s v="CANELLA, SOCIEDAD ANONIMA"/>
    <s v="PROYECTOS Y ORGANIZACION Y METODOS"/>
    <n v="2605"/>
    <n v="35"/>
    <s v="Mesa Ayuda Infraestructura"/>
    <n v="247556"/>
    <s v="DOUGLAS MONTOYA MONTAVES"/>
    <n v="299"/>
    <s v="CANELLA"/>
    <m/>
    <m/>
    <m/>
    <m/>
    <n v="1"/>
    <s v="CANELLA"/>
    <n v="299"/>
    <s v="Rosario Lic"/>
    <m/>
    <s v="normal"/>
    <s v="En proceso"/>
    <s v="Instalación - Tablet Sala Grande Tercer Nivel -"/>
    <n v="72"/>
    <b v="1"/>
    <s v="[18740]"/>
    <m/>
    <s v="05669@general.tbd"/>
    <n v="18740"/>
    <n v="0"/>
    <n v="299"/>
    <n v="8777"/>
    <s v="Mesa Ayuda Infraestructura"/>
    <n v="444.29027777777702"/>
    <m/>
  </r>
  <r>
    <n v="2660"/>
    <n v="1"/>
    <d v="1899-12-30T01:00:00"/>
    <s v="50-Finalizado"/>
    <d v="1900-01-02T00:00:00"/>
    <x v="79"/>
    <d v="2024-07-16T00:00:00"/>
    <d v="2024-07-16T23:02:28"/>
    <x v="40"/>
    <n v="464.01749999999998"/>
    <d v="1900-01-18T08:01:03"/>
    <d v="2024-07-16T00:00:00"/>
    <d v="2024-07-16T23:02:28"/>
    <m/>
    <d v="1899-12-31T00:00:00"/>
    <d v="2024-08-05T07:03:31"/>
    <b v="1"/>
    <d v="2024-08-05T07:03:31"/>
    <d v="2024-08-20T19:15:38"/>
    <d v="2024-08-20T19:15:38"/>
    <m/>
    <m/>
    <d v="2024-07-18T00:00:00"/>
    <s v="Se procede a realizar filtro de los correos de usuarios para creación de grupo ."/>
    <x v="3"/>
    <m/>
    <x v="2"/>
    <m/>
    <m/>
    <m/>
    <s v="CANELLA, SOCIEDAD ANONIMA"/>
    <s v="INFORMATICA"/>
    <n v="2562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compartir pantalla sin cable"/>
    <n v="72"/>
    <b v="1"/>
    <n v="18560"/>
    <m/>
    <s v="04025@general.tbd"/>
    <n v="19163"/>
    <n v="0"/>
    <n v="299"/>
    <n v="8777"/>
    <s v="Mesa Ayuda Infraestructura"/>
    <n v="464.01749999999998"/>
    <m/>
  </r>
  <r>
    <n v="2660"/>
    <n v="0.4"/>
    <d v="1899-12-30T00:24:00"/>
    <s v="50-Finalizado"/>
    <d v="1900-01-02T00:00:00"/>
    <x v="79"/>
    <d v="2024-07-16T00:00:00"/>
    <d v="2024-07-16T23:02:28"/>
    <x v="40"/>
    <n v="464.01749999999998"/>
    <d v="1900-01-18T08:01:03"/>
    <d v="2024-07-16T00:00:00"/>
    <d v="2024-07-16T23:02:28"/>
    <m/>
    <d v="1899-12-31T00:00:00"/>
    <d v="2024-08-05T07:03:31"/>
    <b v="1"/>
    <d v="2024-08-05T07:03:31"/>
    <d v="2024-08-20T19:15:38"/>
    <d v="2024-08-20T19:15:38"/>
    <m/>
    <m/>
    <d v="2024-07-16T00:00:00"/>
    <s v="Se  procede a verificar los métodos de proyección en proyectores de 3er nivel y 4to nivel por medio de aplicación."/>
    <x v="3"/>
    <m/>
    <x v="2"/>
    <m/>
    <m/>
    <m/>
    <s v="CANELLA, SOCIEDAD ANONIMA"/>
    <s v="INFORMATICA"/>
    <n v="2562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compartir pantalla sin cable"/>
    <n v="72"/>
    <b v="1"/>
    <n v="18560"/>
    <m/>
    <s v="04025@general.tbd"/>
    <n v="18560"/>
    <n v="0"/>
    <n v="299"/>
    <n v="8777"/>
    <s v="Mesa Ayuda Infraestructura"/>
    <n v="464.01749999999998"/>
    <m/>
  </r>
  <r>
    <n v="2614"/>
    <n v="0.58333333333333304"/>
    <d v="1899-12-30T00:35:00"/>
    <s v="50-Finalizado"/>
    <d v="1900-01-02T00:00:00"/>
    <x v="80"/>
    <d v="2024-07-16T00:00:00"/>
    <d v="2024-07-16T17:44:35"/>
    <x v="40"/>
    <n v="469.31555555555502"/>
    <d v="1900-01-18T13:18:56"/>
    <d v="2024-07-16T00:00:00"/>
    <d v="2024-07-16T17:44:35"/>
    <m/>
    <d v="1899-12-31T00:00:00"/>
    <d v="2024-08-05T07:03:31"/>
    <b v="1"/>
    <d v="2024-08-05T07:03:31"/>
    <d v="2024-08-20T19:15:38"/>
    <d v="2024-08-20T19:15:38"/>
    <m/>
    <m/>
    <d v="2024-07-16T00:00:00"/>
    <s v="Se procede a realizar orden de compra por anticipo de instalación de tierra física para Data Center"/>
    <x v="3"/>
    <m/>
    <x v="2"/>
    <m/>
    <m/>
    <m/>
    <s v="CANELLA, SOCIEDAD ANONIMA"/>
    <s v="INFORMATICA"/>
    <n v="2516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Instalación de Tierra Física"/>
    <n v="72"/>
    <b v="1"/>
    <s v="[18417]"/>
    <m/>
    <s v="04025@general.tbd"/>
    <n v="18417"/>
    <n v="0"/>
    <n v="299"/>
    <n v="8777"/>
    <s v="Mesa Ayuda Infraestructura"/>
    <n v="469.31555555555502"/>
    <m/>
  </r>
  <r>
    <n v="2540"/>
    <n v="1.75"/>
    <d v="1899-12-30T01:45:00"/>
    <s v="50-Finalizado"/>
    <d v="1900-01-02T00:00:00"/>
    <x v="81"/>
    <d v="2024-07-15T00:00:00"/>
    <d v="2024-07-15T15:48:29"/>
    <x v="40"/>
    <n v="495.25055555555502"/>
    <d v="1900-01-19T15:15:02"/>
    <d v="2024-07-15T00:00:00"/>
    <d v="2024-07-15T15:48:29"/>
    <m/>
    <d v="1899-12-31T00:00:00"/>
    <d v="2024-08-05T07:03:31"/>
    <b v="1"/>
    <d v="2024-08-05T07:03:31"/>
    <d v="2024-08-20T19:15:38"/>
    <d v="2024-08-20T19:15:38"/>
    <m/>
    <m/>
    <d v="2024-07-23T00:00:00"/>
    <s v="Descarga de PST 50GB"/>
    <x v="7"/>
    <s v="Configuracion Software"/>
    <x v="2"/>
    <s v="Office 365"/>
    <m/>
    <m/>
    <s v="CANELLA, SOCIEDAD ANONIMA"/>
    <s v="CONTABILIDAD, CANELLA, S. A."/>
    <n v="2442"/>
    <n v="35"/>
    <s v="Mesa Ayuda Infraestructura"/>
    <n v="247417"/>
    <s v="ALVARO LEONEL GUTIERREZ LOPEZ"/>
    <n v="171"/>
    <s v="CANELLA"/>
    <n v="2"/>
    <n v="7"/>
    <m/>
    <m/>
    <n v="1"/>
    <s v="CANELLA"/>
    <n v="171"/>
    <s v="Andres de León"/>
    <m/>
    <s v="normal"/>
    <s v="En proceso"/>
    <s v="Descarga de PST 50GB Alvaro Gutierrez"/>
    <n v="72"/>
    <b v="1"/>
    <s v="[20382]"/>
    <m/>
    <s v="05998@general.tbd"/>
    <n v="20382"/>
    <n v="0"/>
    <n v="171"/>
    <n v="8777"/>
    <s v="Mesa Ayuda Infraestructura"/>
    <n v="495.25055555555502"/>
    <m/>
  </r>
  <r>
    <n v="4594"/>
    <m/>
    <m/>
    <s v="30-En proceso"/>
    <d v="1900-01-01T00:00:00"/>
    <x v="82"/>
    <d v="2024-08-20T00:00:00"/>
    <d v="2024-08-20T20:16:29"/>
    <x v="4"/>
    <n v="0"/>
    <d v="1899-12-30T00:00:00"/>
    <d v="2024-08-20T00:00:00"/>
    <d v="2024-08-20T20:16:29"/>
    <m/>
    <d v="1899-12-31T00:00:00"/>
    <d v="1899-12-31T00:00:00"/>
    <m/>
    <d v="1899-12-31T00:00:00"/>
    <d v="2024-08-20T20:18:13"/>
    <d v="2024-08-20T20:18:13"/>
    <m/>
    <m/>
    <m/>
    <m/>
    <x v="2"/>
    <s v="Generación de reportes"/>
    <x v="1"/>
    <s v="SAP"/>
    <s v="Reportería"/>
    <m/>
    <s v="CANELLA, SOCIEDAD ANONIMA"/>
    <s v="AUDITORIA INTERNA"/>
    <n v="4496"/>
    <n v="35"/>
    <s v="Mesa Ayuda Infraestructura"/>
    <n v="247013"/>
    <s v="YOHAN OMAR LATIN BARRIENTOS"/>
    <n v="446"/>
    <s v="CANELLA"/>
    <n v="9"/>
    <n v="5"/>
    <n v="65"/>
    <m/>
    <n v="1"/>
    <s v="CANELLA"/>
    <n v="446"/>
    <s v="Ester Daniela Lopez Cruz"/>
    <m/>
    <s v="normal"/>
    <s v="En proceso"/>
    <s v="Reporte de Pagos efectuados"/>
    <n v="70"/>
    <m/>
    <s v="[]"/>
    <m/>
    <s v="06666@general.tbd"/>
    <m/>
    <m/>
    <m/>
    <m/>
    <m/>
    <n v="0"/>
    <m/>
  </r>
  <r>
    <n v="4591"/>
    <n v="0.25"/>
    <d v="1899-12-30T00:15:00"/>
    <s v="50-Finalizado"/>
    <d v="1900-01-01T00:00:00"/>
    <x v="83"/>
    <d v="2024-08-20T00:00:00"/>
    <d v="2024-08-20T18:49:35"/>
    <x v="41"/>
    <n v="3.97222222222222E-2"/>
    <d v="1899-12-30T00:02:23"/>
    <d v="2024-08-20T00:00:00"/>
    <d v="2024-08-20T18:49:35"/>
    <m/>
    <d v="1899-12-31T00:00:00"/>
    <d v="2024-08-20T18:51:58"/>
    <m/>
    <d v="1899-12-31T00:00:00"/>
    <d v="2024-08-20T20:12:32"/>
    <d v="2024-08-20T20:12:32"/>
    <s v="Resuelto"/>
    <m/>
    <d v="2024-08-20T00:00:00"/>
    <s v="Entrega y instalación de equipo"/>
    <x v="6"/>
    <s v="Configuracion Hardware"/>
    <x v="1"/>
    <s v="(N/A) Sin aplicación software"/>
    <m/>
    <m/>
    <s v="CANELLA, SOCIEDAD ANONIMA"/>
    <s v="CONTABILIDAD, CANELLA, S. A."/>
    <n v="4493"/>
    <n v="35"/>
    <s v="Mesa Ayuda Infraestructura"/>
    <n v="247616"/>
    <s v="YESSICA ANDREA LOARCA AMEZQUITA de MARTINEZ"/>
    <n v="2766"/>
    <s v="CANELLA"/>
    <n v="1"/>
    <n v="6"/>
    <m/>
    <m/>
    <n v="1"/>
    <s v="CANELLA"/>
    <n v="2766"/>
    <s v="José Julajuj Chumil"/>
    <m/>
    <s v="normal"/>
    <s v="En proceso"/>
    <s v="Asignación de teclado y mouse -Yessica Loarca-"/>
    <n v="72"/>
    <b v="1"/>
    <n v="28117"/>
    <n v="2"/>
    <s v="05432@general.tbd"/>
    <n v="28118"/>
    <n v="0"/>
    <n v="2766"/>
    <n v="8777"/>
    <s v="Mesa Ayuda Infraestructura"/>
    <n v="3.97222222222222E-2"/>
    <m/>
  </r>
  <r>
    <n v="4591"/>
    <n v="8.3333333333333301E-2"/>
    <d v="1899-12-30T00:05:00"/>
    <s v="50-Finalizado"/>
    <d v="1900-01-01T00:00:00"/>
    <x v="83"/>
    <d v="2024-08-20T00:00:00"/>
    <d v="2024-08-20T18:49:35"/>
    <x v="41"/>
    <n v="3.97222222222222E-2"/>
    <d v="1899-12-30T00:02:23"/>
    <d v="2024-08-20T00:00:00"/>
    <d v="2024-08-20T18:49:35"/>
    <m/>
    <d v="1899-12-31T00:00:00"/>
    <d v="2024-08-20T18:51:58"/>
    <m/>
    <d v="1899-12-31T00:00:00"/>
    <d v="2024-08-20T20:12:32"/>
    <d v="2024-08-20T20:12:32"/>
    <s v="Resuelto"/>
    <m/>
    <d v="2024-08-20T00:00:00"/>
    <s v="Asignación de teclado y mouse por STOD"/>
    <x v="6"/>
    <s v="Configuracion Hardware"/>
    <x v="1"/>
    <s v="(N/A) Sin aplicación software"/>
    <m/>
    <m/>
    <s v="CANELLA, SOCIEDAD ANONIMA"/>
    <s v="CONTABILIDAD, CANELLA, S. A."/>
    <n v="4493"/>
    <n v="35"/>
    <s v="Mesa Ayuda Infraestructura"/>
    <n v="247616"/>
    <s v="YESSICA ANDREA LOARCA AMEZQUITA de MARTINEZ"/>
    <n v="2766"/>
    <s v="CANELLA"/>
    <n v="1"/>
    <n v="6"/>
    <m/>
    <m/>
    <n v="1"/>
    <s v="CANELLA"/>
    <n v="2766"/>
    <s v="José Julajuj Chumil"/>
    <m/>
    <s v="normal"/>
    <s v="En proceso"/>
    <s v="Asignación de teclado y mouse -Yessica Loarca-"/>
    <n v="72"/>
    <b v="1"/>
    <n v="28117"/>
    <n v="2"/>
    <s v="05432@general.tbd"/>
    <n v="28117"/>
    <n v="0"/>
    <n v="2766"/>
    <n v="8777"/>
    <s v="Mesa Ayuda Infraestructura"/>
    <n v="3.97222222222222E-2"/>
    <m/>
  </r>
  <r>
    <n v="4590"/>
    <n v="0.25"/>
    <d v="1899-12-30T00:15:00"/>
    <s v="50-Finalizado"/>
    <d v="1900-01-01T00:00:00"/>
    <x v="84"/>
    <d v="2024-08-20T00:00:00"/>
    <d v="2024-08-20T18:47:30"/>
    <x v="42"/>
    <n v="1.7222222222222201E-2"/>
    <d v="1899-12-30T00:01:02"/>
    <d v="2024-08-20T00:00:00"/>
    <d v="2024-08-20T18:47:30"/>
    <m/>
    <d v="1899-12-31T00:00:00"/>
    <d v="2024-08-20T18:48:32"/>
    <m/>
    <d v="1899-12-31T00:00:00"/>
    <d v="2024-08-20T20:12:32"/>
    <d v="2024-08-20T20:12:32"/>
    <s v="Resuelto"/>
    <m/>
    <d v="2024-08-20T00:00:00"/>
    <s v="Entrega y instalación de equipo"/>
    <x v="6"/>
    <s v="Configuracion Hardware"/>
    <x v="1"/>
    <s v="(N/A) Sin aplicación software"/>
    <m/>
    <m/>
    <s v="CANELLA, SOCIEDAD ANONIMA"/>
    <s v="CONTABILIDAD, CANELLA, S. A."/>
    <n v="4492"/>
    <n v="35"/>
    <s v="Mesa Ayuda Infraestructura"/>
    <n v="247530"/>
    <s v="IDALIA MARIA LEMUS DAVILA"/>
    <n v="2766"/>
    <s v="CANELLA"/>
    <n v="1"/>
    <n v="6"/>
    <m/>
    <m/>
    <n v="1"/>
    <s v="CANELLA"/>
    <n v="2766"/>
    <s v="José Julajuj Chumil"/>
    <m/>
    <s v="normal"/>
    <s v="En proceso"/>
    <s v="Asignación de teclado y mouse -Idalia Lemus-"/>
    <n v="72"/>
    <b v="1"/>
    <n v="28115"/>
    <n v="2"/>
    <s v="05740@general.tbd"/>
    <n v="28116"/>
    <n v="0"/>
    <n v="2766"/>
    <n v="8777"/>
    <s v="Mesa Ayuda Infraestructura"/>
    <n v="1.7222222222222201E-2"/>
    <m/>
  </r>
  <r>
    <n v="4590"/>
    <n v="8.3333333333333301E-2"/>
    <d v="1899-12-30T00:05:00"/>
    <s v="50-Finalizado"/>
    <d v="1900-01-01T00:00:00"/>
    <x v="84"/>
    <d v="2024-08-20T00:00:00"/>
    <d v="2024-08-20T18:47:30"/>
    <x v="42"/>
    <n v="1.7222222222222201E-2"/>
    <d v="1899-12-30T00:01:02"/>
    <d v="2024-08-20T00:00:00"/>
    <d v="2024-08-20T18:47:30"/>
    <m/>
    <d v="1899-12-31T00:00:00"/>
    <d v="2024-08-20T18:48:32"/>
    <m/>
    <d v="1899-12-31T00:00:00"/>
    <d v="2024-08-20T20:12:32"/>
    <d v="2024-08-20T20:12:32"/>
    <s v="Resuelto"/>
    <m/>
    <d v="2024-08-20T00:00:00"/>
    <s v="Asignación de equipo por STOD"/>
    <x v="6"/>
    <s v="Configuracion Hardware"/>
    <x v="1"/>
    <s v="(N/A) Sin aplicación software"/>
    <m/>
    <m/>
    <s v="CANELLA, SOCIEDAD ANONIMA"/>
    <s v="CONTABILIDAD, CANELLA, S. A."/>
    <n v="4492"/>
    <n v="35"/>
    <s v="Mesa Ayuda Infraestructura"/>
    <n v="247530"/>
    <s v="IDALIA MARIA LEMUS DAVILA"/>
    <n v="2766"/>
    <s v="CANELLA"/>
    <n v="1"/>
    <n v="6"/>
    <m/>
    <m/>
    <n v="1"/>
    <s v="CANELLA"/>
    <n v="2766"/>
    <s v="José Julajuj Chumil"/>
    <m/>
    <s v="normal"/>
    <s v="En proceso"/>
    <s v="Asignación de teclado y mouse -Idalia Lemus-"/>
    <n v="72"/>
    <b v="1"/>
    <n v="28115"/>
    <n v="2"/>
    <s v="05740@general.tbd"/>
    <n v="28115"/>
    <n v="0"/>
    <n v="2766"/>
    <n v="8777"/>
    <s v="Mesa Ayuda Infraestructura"/>
    <n v="1.7222222222222201E-2"/>
    <m/>
  </r>
  <r>
    <n v="4588"/>
    <n v="0.25"/>
    <d v="1899-12-30T00:15:00"/>
    <s v="50-Finalizado"/>
    <d v="1900-01-01T00:00:00"/>
    <x v="85"/>
    <d v="2024-08-20T00:00:00"/>
    <d v="2024-08-20T18:23:07"/>
    <x v="43"/>
    <n v="0.34527777777777702"/>
    <d v="1899-12-30T00:20:43"/>
    <d v="2024-08-20T00:00:00"/>
    <d v="2024-08-20T18:23:07"/>
    <m/>
    <d v="1899-12-31T00:00:00"/>
    <d v="2024-08-20T18:43:50"/>
    <m/>
    <d v="1899-12-31T00:00:00"/>
    <d v="2024-08-20T20:12:32"/>
    <d v="2024-08-20T20:12:32"/>
    <s v="Resuelto"/>
    <m/>
    <d v="2024-08-20T00:00:00"/>
    <s v="Entrega de teclado y mouse e instalación"/>
    <x v="6"/>
    <s v="Configuracion Hardware"/>
    <x v="1"/>
    <s v="(N/A) Sin aplicación software"/>
    <m/>
    <m/>
    <s v="CANELLA, SOCIEDAD ANONIMA"/>
    <s v="CONTABILIDAD, CANELLA, S. A."/>
    <n v="4490"/>
    <n v="35"/>
    <s v="Mesa Ayuda Infraestructura"/>
    <n v="247298"/>
    <s v="DENILSON OMAR MORALES HERNANDEZ"/>
    <n v="2766"/>
    <s v="CANELLA"/>
    <n v="1"/>
    <n v="6"/>
    <m/>
    <m/>
    <n v="1"/>
    <s v="CANELLA"/>
    <n v="2766"/>
    <s v="José Julajuj Chumil"/>
    <m/>
    <s v="normal"/>
    <s v="En proceso"/>
    <s v="Asignación de teclado y mouse -Denilson Morales-"/>
    <n v="72"/>
    <b v="1"/>
    <n v="28096"/>
    <n v="2"/>
    <s v="06237@general.tbd"/>
    <n v="28097"/>
    <n v="0"/>
    <n v="2766"/>
    <n v="8777"/>
    <s v="Mesa Ayuda Infraestructura"/>
    <n v="0.34527777777777702"/>
    <m/>
  </r>
  <r>
    <n v="4588"/>
    <n v="8.3333333333333301E-2"/>
    <d v="1899-12-30T00:05:00"/>
    <s v="50-Finalizado"/>
    <d v="1900-01-01T00:00:00"/>
    <x v="85"/>
    <d v="2024-08-20T00:00:00"/>
    <d v="2024-08-20T18:23:07"/>
    <x v="43"/>
    <n v="0.34527777777777702"/>
    <d v="1899-12-30T00:20:43"/>
    <d v="2024-08-20T00:00:00"/>
    <d v="2024-08-20T18:23:07"/>
    <m/>
    <d v="1899-12-31T00:00:00"/>
    <d v="2024-08-20T18:43:50"/>
    <m/>
    <d v="1899-12-31T00:00:00"/>
    <d v="2024-08-20T20:12:32"/>
    <d v="2024-08-20T20:12:32"/>
    <s v="Resuelto"/>
    <m/>
    <d v="2024-08-20T00:00:00"/>
    <s v="Asignación de equipo por STOD"/>
    <x v="6"/>
    <s v="Configuracion Hardware"/>
    <x v="1"/>
    <s v="(N/A) Sin aplicación software"/>
    <m/>
    <m/>
    <s v="CANELLA, SOCIEDAD ANONIMA"/>
    <s v="CONTABILIDAD, CANELLA, S. A."/>
    <n v="4490"/>
    <n v="35"/>
    <s v="Mesa Ayuda Infraestructura"/>
    <n v="247298"/>
    <s v="DENILSON OMAR MORALES HERNANDEZ"/>
    <n v="2766"/>
    <s v="CANELLA"/>
    <n v="1"/>
    <n v="6"/>
    <m/>
    <m/>
    <n v="1"/>
    <s v="CANELLA"/>
    <n v="2766"/>
    <s v="José Julajuj Chumil"/>
    <m/>
    <s v="normal"/>
    <s v="En proceso"/>
    <s v="Asignación de teclado y mouse -Denilson Morales-"/>
    <n v="72"/>
    <b v="1"/>
    <n v="28096"/>
    <n v="2"/>
    <s v="06237@general.tbd"/>
    <n v="28096"/>
    <n v="0"/>
    <n v="2766"/>
    <n v="8777"/>
    <s v="Mesa Ayuda Infraestructura"/>
    <n v="0.34527777777777702"/>
    <m/>
  </r>
  <r>
    <n v="4587"/>
    <n v="0.116666666666666"/>
    <d v="1899-12-30T00:07:00"/>
    <s v="20-Asignado"/>
    <d v="1900-01-01T00:00:00"/>
    <x v="86"/>
    <d v="2024-09-20T00:00:00"/>
    <d v="2024-08-20T18:20:44"/>
    <x v="4"/>
    <n v="0"/>
    <d v="1899-12-30T00:00:00"/>
    <d v="2024-08-20T00:00:00"/>
    <d v="2024-08-20T18:20:44"/>
    <m/>
    <d v="1899-12-31T00:00:00"/>
    <d v="1899-12-31T00:00:00"/>
    <m/>
    <d v="1899-12-31T00:00:00"/>
    <d v="2024-08-20T20:12:32"/>
    <d v="2024-08-20T20:12:32"/>
    <m/>
    <m/>
    <d v="2024-08-20T00:00:00"/>
    <s v="Creación de TT"/>
    <x v="8"/>
    <s v="Configuracion Hardware"/>
    <x v="2"/>
    <m/>
    <m/>
    <m/>
    <s v="CORPORACION INMOBILIARIA CENTRAL SOCIEDAD ANONIMA"/>
    <s v="GERENCIA FINANCIERA - ADMINISTRATIVA"/>
    <n v="4489"/>
    <n v="35"/>
    <s v="Mesa Ayuda Infraestructura"/>
    <n v="247124"/>
    <s v="JOSE PABLO CARACUN MIRANDA"/>
    <n v="186"/>
    <s v="CANELLA"/>
    <n v="1"/>
    <m/>
    <m/>
    <m/>
    <n v="1"/>
    <s v="CANELLA"/>
    <n v="248"/>
    <s v="Juan Carlos Barillas"/>
    <s v="&lt;p&gt;Cotizar nuevo UPS y tarjetas de red&amp;nbsp; Tecnobodega&lt;/p&gt;&lt;p&gt;Cotizar un nuevo UPS para los servidores de Tecnobodega el cual debe incluir tarjeta de red para ser monitorizado&amp;nbsp;&lt;/p&gt;&lt;p&gt;también cotizar tarjeta de red para el UPS APC del rack de comunicaciones de Tecnobodega para monitorizarlo por PRTG&amp;nbsp;&lt;/p&gt;&lt;p&gt;podes cotizar con Isertec&amp;nbsp; ** &lt;a href=&quot;tel:2427-2427&quot; target=&quot;_blank&quot;&gt;&lt;u&gt;PBX: ** (502)2427-2427&lt;/u&gt;&lt;/a&gt;&lt;/p&gt;&lt;table class=&quot;table table-bordered&quot;&gt; **  &lt;tbody&gt;&lt;tr&gt; **   &lt;td&gt; **   &lt;p&gt;&amp;nbsp;&lt;/p&gt; **   &lt;table class=&quot;table table-bordered&quot;&gt; **    &lt;tbody&gt;&lt;tr&gt; **     &lt;td&gt; **     &lt;p&gt;&lt;img src=&quot;https://lh4.googleusercontent.com/KCfr-i39HyNmYezC5GF5EP7xXYFRwok6-FtPfP75h09YG9OboL5Xf5H7J1fy4UIfJAZV9hvhreuXDkJKVLjeI1VdQjo5mi4qNBa0tOx2wq4b33eAZDDv65lluwL6ybl6bd_9ZG5S=s0&quot;&gt;&lt;/p&gt; **     &lt;p&gt;&lt;b&gt;Carlos Urizar&lt;/b&gt;&lt;/p&gt; **     &lt;p&gt;Energy **     Sales Consultant / Guatemala&lt;/p&gt; **     &lt;/td&gt; **    &lt;/tr&gt; **    &lt;tr&gt; **     &lt;td&gt; **     &lt;p&gt;(502) 2427 2482 &lt;b&gt;· &lt;/b&gt;(502) 4515 3402&lt;/p&gt; **     &lt;p&gt;&lt;a href=&quot;http://www.isertec.com/&quot; target=&quot;_blank&quot;&gt;www.isertec.com&lt;/a&gt;&lt;/p&gt; **     &lt;p&gt;&lt;img src=&quot;https://lh4.googleusercontent.com/2jVUwUH_Q0I6bnd-vCNuMWBWc_80T3SrWdMJ1OP_BsCky3kpZtFeBQSaeZhpxsqehwdamKd0krSCc1Rvxzh52MquooSZSdAqgC7ZYD8CW9DftO0Y3TcOvd6d9XSHnjP5mYhpQPe8=s0&quot;&gt;&lt;/p&gt; **     &lt;/td&gt; **    &lt;/tr&gt; **   &lt;/tbody&gt;&lt;/table&gt; **   &lt;p&gt;&lt;/p&gt; **   &lt;/td&gt; **  &lt;/tr&gt; ** &lt;/tbody&gt;&lt;/table&gt;&lt;p&gt; **  **  **  **  **  ** &lt;/p&gt;&lt;p&gt;&lt;br&gt;&lt;/p&gt;&lt;table class=&quot;table table-bordered&quot;&gt; **  &lt;tbody&gt;&lt;tr&gt; **    **  &lt;/tr&gt; ** &lt;/tbody&gt;&lt;/table&gt;&lt;p&gt; **  **  **  **  **  ** &lt;/p&gt;"/>
    <s v="normal"/>
    <s v="En proceso"/>
    <s v="Cotizar nuevo UPS y tarjetas de red  Tecnobodega"/>
    <n v="69"/>
    <m/>
    <s v="[28095]"/>
    <m/>
    <s v="06518@general.tbd"/>
    <n v="28095"/>
    <n v="0"/>
    <n v="248"/>
    <n v="8777"/>
    <s v="Mesa Ayuda Infraestructura"/>
    <n v="0"/>
    <m/>
  </r>
  <r>
    <n v="4579"/>
    <n v="1"/>
    <d v="1899-12-30T01:00:00"/>
    <s v="50-Finalizado"/>
    <d v="1900-01-01T00:00:00"/>
    <x v="87"/>
    <d v="2024-08-20T00:00:00"/>
    <d v="2024-08-20T17:34:14"/>
    <x v="44"/>
    <n v="1.00305555555555"/>
    <d v="1899-12-30T01:00:11"/>
    <d v="2024-08-20T00:00:00"/>
    <d v="2024-08-20T17:34:14"/>
    <m/>
    <d v="1899-12-31T00:00:00"/>
    <d v="2024-08-20T18:34:25"/>
    <m/>
    <d v="1899-12-31T00:00:00"/>
    <d v="2024-08-20T20:12:34"/>
    <d v="2024-08-20T20:12:34"/>
    <m/>
    <m/>
    <d v="2024-08-20T00:00:00"/>
    <s v="/"/>
    <x v="2"/>
    <s v="Capacitaciones"/>
    <x v="1"/>
    <s v="SAP"/>
    <s v="Facturación, Notas Crédito"/>
    <m/>
    <s v="CANELLA, SOCIEDAD ANONIMA"/>
    <s v="CREDITOS Y COBROS"/>
    <n v="4481"/>
    <n v="35"/>
    <s v="Mesa Ayuda Infraestructura"/>
    <n v="247275"/>
    <s v="ESLY CAROLINA MERIDA AGUILAR"/>
    <n v="446"/>
    <s v="CANELLA"/>
    <n v="4"/>
    <n v="5"/>
    <n v="56"/>
    <m/>
    <n v="1"/>
    <s v="CANELLA"/>
    <n v="446"/>
    <s v="Ester Daniela Lopez Cruz"/>
    <m/>
    <s v="normal"/>
    <s v="En proceso"/>
    <s v="No se puede crear nota de crédito por error en el descuento"/>
    <n v="72"/>
    <b v="1"/>
    <s v="[28104]"/>
    <m/>
    <s v="06268@general.tbd"/>
    <n v="28104"/>
    <n v="0"/>
    <n v="446"/>
    <n v="8777"/>
    <s v="Mesa Ayuda Infraestructura"/>
    <n v="1.00305555555555"/>
    <m/>
  </r>
  <r>
    <n v="4577"/>
    <n v="1.3333333333333299"/>
    <d v="1899-12-30T01:20:00"/>
    <s v="40-Esperando cliente"/>
    <d v="1900-01-01T00:00:00"/>
    <x v="88"/>
    <d v="2024-08-20T00:00:00"/>
    <d v="2024-08-20T17:30:32"/>
    <x v="4"/>
    <n v="0"/>
    <d v="1899-12-30T00:00:00"/>
    <d v="2024-08-20T00:00:00"/>
    <d v="2024-08-20T17:30:32"/>
    <m/>
    <d v="1899-12-31T00:00:00"/>
    <d v="1899-12-31T00:00:00"/>
    <m/>
    <d v="1899-12-31T00:00:00"/>
    <d v="2024-08-20T20:12:35"/>
    <d v="2024-08-20T20:12:35"/>
    <m/>
    <m/>
    <d v="2024-08-20T00:00:00"/>
    <s v="Etiquetación de teclados y mouse de nuevo ingreso a bodega informática"/>
    <x v="6"/>
    <s v="Configuracion Hardware"/>
    <x v="1"/>
    <s v="Activos Fijos"/>
    <m/>
    <m/>
    <s v="No Partner"/>
    <s v="No Partner"/>
    <n v="4479"/>
    <n v="35"/>
    <s v="Mesa Ayuda Infraestructura"/>
    <m/>
    <m/>
    <n v="2766"/>
    <s v="CANELLA"/>
    <n v="1"/>
    <n v="32"/>
    <m/>
    <m/>
    <n v="1"/>
    <s v="CANELLA"/>
    <n v="2766"/>
    <s v="José Julajuj Chumil"/>
    <m/>
    <s v="normal"/>
    <s v="En proceso"/>
    <s v="Etiquetación de teclado y mouse -Informática-"/>
    <n v="71"/>
    <m/>
    <s v="[28081]"/>
    <m/>
    <s v="No Partner"/>
    <n v="28081"/>
    <n v="0"/>
    <n v="2766"/>
    <n v="8777"/>
    <s v="Mesa Ayuda Infraestructura"/>
    <n v="0"/>
    <m/>
  </r>
  <r>
    <n v="4575"/>
    <n v="0.58333333333333304"/>
    <d v="1899-12-30T00:35:00"/>
    <s v="50-Finalizado"/>
    <d v="1900-01-01T00:00:00"/>
    <x v="89"/>
    <d v="2024-08-20T00:00:00"/>
    <d v="2024-08-20T17:25:52"/>
    <x v="45"/>
    <n v="0.59888888888888803"/>
    <d v="1899-12-30T00:35:56"/>
    <d v="2024-08-20T00:00:00"/>
    <d v="2024-08-20T17:25:52"/>
    <m/>
    <d v="1899-12-31T00:00:00"/>
    <d v="2024-08-20T18:01:48"/>
    <m/>
    <d v="1899-12-31T00:00:00"/>
    <d v="2024-08-20T20:12:35"/>
    <d v="2024-08-20T20:12:35"/>
    <m/>
    <m/>
    <d v="2024-08-20T00:00:00"/>
    <s v="/"/>
    <x v="2"/>
    <s v="Actualización de Datos"/>
    <x v="0"/>
    <s v="STOD"/>
    <s v="Módulo de Viáticos"/>
    <m/>
    <s v="CANELLA, SOCIEDAD ANONIMA"/>
    <s v="FLOTAS/TALLER ISUZU"/>
    <n v="4477"/>
    <n v="35"/>
    <s v="Mesa Ayuda Infraestructura"/>
    <n v="247229"/>
    <s v="NOA JUDITH ESQUIVEL RAMIREZ"/>
    <n v="446"/>
    <s v="CANELLA"/>
    <n v="11"/>
    <n v="8"/>
    <n v="82"/>
    <m/>
    <n v="1"/>
    <s v="CANELLA"/>
    <n v="446"/>
    <s v="Ester Daniela Lopez Cruz"/>
    <m/>
    <s v="normal"/>
    <s v="En proceso"/>
    <s v="Cambio de usuario a solicitud de viatico"/>
    <n v="72"/>
    <b v="1"/>
    <s v="[28088]"/>
    <m/>
    <s v="06349@general.tbd"/>
    <n v="28088"/>
    <n v="0"/>
    <n v="446"/>
    <n v="8777"/>
    <s v="Mesa Ayuda Infraestructura"/>
    <n v="0.59888888888888803"/>
    <m/>
  </r>
  <r>
    <n v="4574"/>
    <n v="8.3333333333333301E-2"/>
    <d v="1899-12-30T00:05:00"/>
    <s v="50-Finalizado"/>
    <d v="1900-01-01T00:00:00"/>
    <x v="90"/>
    <d v="2024-08-20T00:00:00"/>
    <d v="2024-08-20T16:59:40"/>
    <x v="46"/>
    <n v="1.94444444444444E-2"/>
    <d v="1899-12-30T00:01:10"/>
    <d v="2024-08-20T00:00:00"/>
    <d v="2024-08-20T16:59:40"/>
    <m/>
    <d v="1899-12-31T00:00:00"/>
    <d v="2024-08-20T17:00:50"/>
    <m/>
    <d v="1899-12-31T00:00:00"/>
    <d v="2024-08-20T20:12:35"/>
    <d v="2024-08-20T20:12:35"/>
    <s v="Resuelto"/>
    <s v="Se procede a generar tarjeta de responsabilidad de activos asignados."/>
    <d v="2024-08-20T00:00:00"/>
    <s v="Se procede a generar tarjeta de responsabilidad de activos asignados."/>
    <x v="3"/>
    <s v="Actualización de Datos"/>
    <x v="1"/>
    <s v="SAP"/>
    <m/>
    <m/>
    <s v="CANELLA, SOCIEDAD ANONIMA"/>
    <s v="UNIDAD DE SOLUCIONES DIGITALES"/>
    <n v="4476"/>
    <n v="35"/>
    <s v="Mesa Ayuda Infraestructura"/>
    <n v="247878"/>
    <s v="GLORIA DEL ROSARIO PALOMO MENDEZ"/>
    <n v="299"/>
    <s v="CANELLA"/>
    <n v="11"/>
    <n v="5"/>
    <m/>
    <m/>
    <n v="1"/>
    <s v="CANELLA"/>
    <n v="299"/>
    <s v="Rosario Lic"/>
    <s v="&lt;p&gt;Se procede a generar tarjeta de responsabilidad de activos asignados.&lt;/p&gt;"/>
    <s v="normal"/>
    <s v="En proceso"/>
    <s v="Tarjeta de Responsabilidad"/>
    <n v="72"/>
    <b v="1"/>
    <s v="[28076]"/>
    <n v="2"/>
    <s v="03185@general.tbd"/>
    <n v="28076"/>
    <n v="0"/>
    <n v="299"/>
    <n v="8777"/>
    <s v="Mesa Ayuda Infraestructura"/>
    <n v="1.94444444444444E-2"/>
    <m/>
  </r>
  <r>
    <n v="4561"/>
    <n v="0.41666666666666602"/>
    <d v="1899-12-30T00:25:00"/>
    <s v="40-Esperando cliente"/>
    <d v="1900-01-01T00:00:00"/>
    <x v="91"/>
    <d v="2024-08-20T00:00:00"/>
    <d v="2024-08-20T16:01:09"/>
    <x v="4"/>
    <n v="0"/>
    <d v="1899-12-30T00:00:00"/>
    <d v="2024-08-20T00:00:00"/>
    <d v="2024-08-20T16:01:09"/>
    <m/>
    <d v="1899-12-31T00:00:00"/>
    <d v="1899-12-31T00:00:00"/>
    <m/>
    <d v="1899-12-31T00:00:00"/>
    <d v="2024-08-20T20:12:38"/>
    <d v="2024-08-20T20:12:38"/>
    <m/>
    <m/>
    <d v="2024-08-20T00:00:00"/>
    <s v="revisión de inventario de monitores"/>
    <x v="6"/>
    <s v="Configuracion Hardware"/>
    <x v="2"/>
    <s v="Activos Fijos"/>
    <m/>
    <m/>
    <s v="No Partner"/>
    <s v="No Partner"/>
    <n v="4463"/>
    <n v="35"/>
    <s v="Mesa Ayuda Infraestructura"/>
    <m/>
    <m/>
    <n v="2766"/>
    <s v="CANELLA"/>
    <n v="1"/>
    <n v="32"/>
    <m/>
    <m/>
    <n v="1"/>
    <s v="CANELLA"/>
    <n v="2766"/>
    <s v="José Julajuj Chumil"/>
    <m/>
    <s v="normal"/>
    <s v="En proceso"/>
    <s v="Verificación de inventario de equipo"/>
    <n v="71"/>
    <m/>
    <n v="28050"/>
    <m/>
    <s v="No Partner"/>
    <n v="28052"/>
    <n v="0"/>
    <n v="2766"/>
    <n v="8777"/>
    <s v="Mesa Ayuda Infraestructura"/>
    <n v="0"/>
    <m/>
  </r>
  <r>
    <n v="4561"/>
    <n v="0.41666666666666602"/>
    <d v="1899-12-30T00:25:00"/>
    <s v="40-Esperando cliente"/>
    <d v="1900-01-01T00:00:00"/>
    <x v="91"/>
    <d v="2024-08-20T00:00:00"/>
    <d v="2024-08-20T16:01:09"/>
    <x v="4"/>
    <n v="0"/>
    <d v="1899-12-30T00:00:00"/>
    <d v="2024-08-20T00:00:00"/>
    <d v="2024-08-20T16:01:09"/>
    <m/>
    <d v="1899-12-31T00:00:00"/>
    <d v="1899-12-31T00:00:00"/>
    <m/>
    <d v="1899-12-31T00:00:00"/>
    <d v="2024-08-20T20:12:38"/>
    <d v="2024-08-20T20:12:38"/>
    <m/>
    <m/>
    <d v="2024-08-20T00:00:00"/>
    <s v="revisión de inventario de equipo de computo"/>
    <x v="6"/>
    <s v="Configuracion Hardware"/>
    <x v="2"/>
    <s v="Activos Fijos"/>
    <m/>
    <m/>
    <s v="No Partner"/>
    <s v="No Partner"/>
    <n v="4463"/>
    <n v="35"/>
    <s v="Mesa Ayuda Infraestructura"/>
    <m/>
    <m/>
    <n v="2766"/>
    <s v="CANELLA"/>
    <n v="1"/>
    <n v="32"/>
    <m/>
    <m/>
    <n v="1"/>
    <s v="CANELLA"/>
    <n v="2766"/>
    <s v="José Julajuj Chumil"/>
    <m/>
    <s v="normal"/>
    <s v="En proceso"/>
    <s v="Verificación de inventario de equipo"/>
    <n v="71"/>
    <m/>
    <n v="28050"/>
    <m/>
    <s v="No Partner"/>
    <n v="28050"/>
    <n v="0"/>
    <n v="2766"/>
    <n v="8777"/>
    <s v="Mesa Ayuda Infraestructura"/>
    <n v="0"/>
    <m/>
  </r>
  <r>
    <n v="4551"/>
    <n v="1.5"/>
    <d v="1899-12-30T01:30:00"/>
    <s v="50-Finalizado"/>
    <d v="1900-01-01T00:00:00"/>
    <x v="92"/>
    <d v="2024-08-20T00:00:00"/>
    <d v="2024-08-20T14:43:42"/>
    <x v="47"/>
    <n v="1.51527777777777"/>
    <d v="1899-12-30T01:30:55"/>
    <d v="2024-08-20T00:00:00"/>
    <d v="2024-08-20T14:43:42"/>
    <m/>
    <d v="1899-12-31T00:00:00"/>
    <d v="2024-08-20T16:14:37"/>
    <m/>
    <d v="1899-12-31T00:00:00"/>
    <d v="2024-08-20T20:12:40"/>
    <d v="2024-08-20T20:12:40"/>
    <m/>
    <m/>
    <d v="2024-08-20T00:00:00"/>
    <s v="/"/>
    <x v="2"/>
    <s v="Capacitaciones"/>
    <x v="1"/>
    <s v="STOD"/>
    <s v="Recibos de Caja"/>
    <m/>
    <s v="CANELLA, SOCIEDAD ANONIMA"/>
    <s v="YAMAHA EL FRUTAL"/>
    <n v="4453"/>
    <n v="35"/>
    <s v="Mesa Ayuda Infraestructura"/>
    <n v="247643"/>
    <s v="CRISHNA BRISSETH LOPEZ GUZMAN"/>
    <n v="446"/>
    <s v="CANELLA"/>
    <n v="4"/>
    <n v="8"/>
    <n v="84"/>
    <m/>
    <n v="1"/>
    <s v="CANELLA"/>
    <n v="446"/>
    <s v="Ester Daniela Lopez Cruz"/>
    <m/>
    <s v="normal"/>
    <s v="En proceso"/>
    <s v="Recibos de caja no procesados AB-539 y AB-540"/>
    <n v="72"/>
    <b v="1"/>
    <s v="[28056]"/>
    <m/>
    <s v="05276@general.tbd"/>
    <n v="28056"/>
    <n v="0"/>
    <n v="446"/>
    <n v="8777"/>
    <s v="Mesa Ayuda Infraestructura"/>
    <n v="1.51527777777777"/>
    <m/>
  </r>
  <r>
    <n v="4549"/>
    <n v="0.33333333333333298"/>
    <d v="1899-12-30T00:20:00"/>
    <s v="50-Finalizado"/>
    <d v="1900-01-01T00:00:00"/>
    <x v="93"/>
    <d v="2024-08-20T00:00:00"/>
    <d v="2024-08-20T14:22:44"/>
    <x v="48"/>
    <n v="0.33750000000000002"/>
    <d v="1899-12-30T00:20:15"/>
    <d v="2024-08-20T00:00:00"/>
    <d v="2024-08-20T14:22:44"/>
    <m/>
    <d v="1899-12-31T00:00:00"/>
    <d v="2024-08-20T14:42:59"/>
    <m/>
    <d v="1899-12-31T00:00:00"/>
    <d v="2024-08-20T20:12:40"/>
    <d v="2024-08-20T20:12:40"/>
    <m/>
    <m/>
    <d v="2024-08-20T00:00:00"/>
    <s v="/"/>
    <x v="2"/>
    <s v="Actualización de Datos"/>
    <x v="1"/>
    <s v="STOD"/>
    <s v="Recibos de Caja"/>
    <m/>
    <s v="VEHICULOS ECONOMICOS, SOCIEDAD ANONIMA"/>
    <s v="CONTABILIDAD VEHICULOS ECONOMICOS"/>
    <n v="4451"/>
    <n v="35"/>
    <s v="Mesa Ayuda Infraestructura"/>
    <n v="247369"/>
    <s v="CLARA LUZ ORDOÑEZ"/>
    <n v="446"/>
    <s v="CANELLA"/>
    <n v="11"/>
    <n v="8"/>
    <n v="84"/>
    <m/>
    <n v="1"/>
    <s v="CANELLA"/>
    <n v="446"/>
    <s v="Ester Daniela Lopez Cruz"/>
    <m/>
    <s v="normal"/>
    <s v="En proceso"/>
    <s v="Recibo de caja no procesado AVANTI"/>
    <n v="72"/>
    <b v="1"/>
    <s v="[28017]"/>
    <m/>
    <s v="06076@general.tbd"/>
    <n v="28017"/>
    <n v="0"/>
    <n v="446"/>
    <n v="8777"/>
    <s v="Mesa Ayuda Infraestructura"/>
    <n v="0.33750000000000002"/>
    <m/>
  </r>
  <r>
    <n v="4546"/>
    <n v="2"/>
    <d v="1899-12-30T02:00:00"/>
    <s v="30-En proceso"/>
    <d v="1900-01-01T00:00:00"/>
    <x v="94"/>
    <d v="2024-08-20T00:00:00"/>
    <d v="2024-08-20T13:21:17"/>
    <x v="4"/>
    <n v="0"/>
    <d v="1899-12-30T00:00:00"/>
    <d v="2024-08-20T00:00:00"/>
    <d v="2024-08-20T13:21:17"/>
    <m/>
    <d v="1899-12-31T00:00:00"/>
    <d v="1899-12-31T00:00:00"/>
    <m/>
    <d v="1899-12-31T00:00:00"/>
    <d v="2024-08-20T20:12:41"/>
    <d v="2024-08-20T20:12:41"/>
    <m/>
    <m/>
    <d v="2024-08-20T00:00:00"/>
    <s v="Generar carteras para pruebas con edward y validar cambios en los stored procedure"/>
    <x v="0"/>
    <s v="Configuracion Software"/>
    <x v="1"/>
    <s v="Odoo Créditos y Cobros"/>
    <s v="Otros (no específico)"/>
    <s v="Proyecto A (de terceros)"/>
    <s v="CANELLA, SOCIEDAD ANONIMA"/>
    <s v="CENTRO DE COBRO"/>
    <n v="4448"/>
    <n v="35"/>
    <s v="Mesa Ayuda Infraestructura"/>
    <n v="246933"/>
    <s v="EDWARD ANTONY GARCIA ALVARADO"/>
    <n v="339"/>
    <s v="CANELLA"/>
    <n v="2"/>
    <n v="1"/>
    <n v="5"/>
    <n v="1"/>
    <n v="1"/>
    <s v="CANELLA"/>
    <n v="339"/>
    <s v="Alex Solorzano"/>
    <m/>
    <s v="normal"/>
    <s v="En proceso"/>
    <s v="Programación en odoo continuar con pruebas de la accion"/>
    <n v="70"/>
    <m/>
    <s v="[28033]"/>
    <m/>
    <s v="06757@general.tbd"/>
    <n v="28033"/>
    <n v="0"/>
    <n v="339"/>
    <n v="8777"/>
    <s v="Mesa Ayuda Infraestructura"/>
    <n v="0"/>
    <m/>
  </r>
  <r>
    <n v="4540"/>
    <n v="3.3333333333333298E-2"/>
    <d v="1899-12-30T00:02:00"/>
    <s v="50-Finalizado"/>
    <d v="1900-01-01T00:00:00"/>
    <x v="95"/>
    <d v="2024-08-19T00:00:00"/>
    <d v="2024-08-19T23:23:45"/>
    <x v="49"/>
    <n v="5.6944444444444402E-2"/>
    <d v="1899-12-30T00:03:25"/>
    <d v="2024-08-19T00:00:00"/>
    <d v="2024-08-19T23:23:45"/>
    <m/>
    <d v="1899-12-31T00:00:00"/>
    <d v="2024-08-19T23:27:10"/>
    <m/>
    <d v="1899-12-31T00:00:00"/>
    <d v="2024-08-20T19:15:38"/>
    <d v="2024-08-20T19:15:38"/>
    <s v="Resuelto"/>
    <m/>
    <d v="2024-08-19T00:00:00"/>
    <s v="Pruebas de impresión"/>
    <x v="6"/>
    <s v="Configuracion Software"/>
    <x v="0"/>
    <s v="Impresora"/>
    <m/>
    <m/>
    <s v="CANELLA, SOCIEDAD ANONIMA"/>
    <s v="CENTRO DE SERVICIOS YAMAHA"/>
    <n v="4442"/>
    <n v="35"/>
    <s v="Mesa Ayuda Infraestructura"/>
    <n v="247468"/>
    <s v="BRANDON AGUSTIN JORGE RAMIREZ"/>
    <n v="2766"/>
    <s v="CANELLA"/>
    <n v="2"/>
    <n v="10"/>
    <m/>
    <m/>
    <n v="1"/>
    <s v="CANELLA"/>
    <n v="2766"/>
    <s v="José Julajuj Chumil"/>
    <m/>
    <s v="normal"/>
    <s v="En proceso"/>
    <s v="Configuración de impresora -Brandon Jorge-"/>
    <n v="72"/>
    <b v="1"/>
    <s v="[27922, 27921, 27919]"/>
    <n v="2"/>
    <s v="05889@general.tbd"/>
    <n v="27922"/>
    <n v="0"/>
    <n v="2766"/>
    <n v="8777"/>
    <s v="Mesa Ayuda Infraestructura"/>
    <n v="5.6944444444444402E-2"/>
    <m/>
  </r>
  <r>
    <n v="4540"/>
    <n v="0.25"/>
    <d v="1899-12-30T00:15:00"/>
    <s v="50-Finalizado"/>
    <d v="1900-01-01T00:00:00"/>
    <x v="95"/>
    <d v="2024-08-19T00:00:00"/>
    <d v="2024-08-19T23:23:45"/>
    <x v="49"/>
    <n v="5.6944444444444402E-2"/>
    <d v="1899-12-30T00:03:25"/>
    <d v="2024-08-19T00:00:00"/>
    <d v="2024-08-19T23:23:45"/>
    <m/>
    <d v="1899-12-31T00:00:00"/>
    <d v="2024-08-19T23:27:10"/>
    <m/>
    <d v="1899-12-31T00:00:00"/>
    <d v="2024-08-20T19:15:38"/>
    <d v="2024-08-20T19:15:38"/>
    <s v="Resuelto"/>
    <m/>
    <d v="2024-08-19T00:00:00"/>
    <s v="Agregación de impresora a laptop por driver"/>
    <x v="6"/>
    <s v="Configuracion Software"/>
    <x v="0"/>
    <s v="Impresora"/>
    <m/>
    <m/>
    <s v="CANELLA, SOCIEDAD ANONIMA"/>
    <s v="CENTRO DE SERVICIOS YAMAHA"/>
    <n v="4442"/>
    <n v="35"/>
    <s v="Mesa Ayuda Infraestructura"/>
    <n v="247468"/>
    <s v="BRANDON AGUSTIN JORGE RAMIREZ"/>
    <n v="2766"/>
    <s v="CANELLA"/>
    <n v="2"/>
    <n v="10"/>
    <m/>
    <m/>
    <n v="1"/>
    <s v="CANELLA"/>
    <n v="2766"/>
    <s v="José Julajuj Chumil"/>
    <m/>
    <s v="normal"/>
    <s v="En proceso"/>
    <s v="Configuración de impresora -Brandon Jorge-"/>
    <n v="72"/>
    <b v="1"/>
    <s v="[27922, 27921, 27919]"/>
    <n v="2"/>
    <s v="05889@general.tbd"/>
    <n v="27921"/>
    <n v="0"/>
    <n v="2766"/>
    <n v="8777"/>
    <s v="Mesa Ayuda Infraestructura"/>
    <n v="5.6944444444444402E-2"/>
    <m/>
  </r>
  <r>
    <n v="4540"/>
    <n v="8.3333333333333301E-2"/>
    <d v="1899-12-30T00:05:00"/>
    <s v="50-Finalizado"/>
    <d v="1900-01-01T00:00:00"/>
    <x v="95"/>
    <d v="2024-08-19T00:00:00"/>
    <d v="2024-08-19T23:23:45"/>
    <x v="49"/>
    <n v="5.6944444444444402E-2"/>
    <d v="1899-12-30T00:03:25"/>
    <d v="2024-08-19T00:00:00"/>
    <d v="2024-08-19T23:23:45"/>
    <m/>
    <d v="1899-12-31T00:00:00"/>
    <d v="2024-08-19T23:27:10"/>
    <m/>
    <d v="1899-12-31T00:00:00"/>
    <d v="2024-08-20T19:15:38"/>
    <d v="2024-08-20T19:15:38"/>
    <s v="Resuelto"/>
    <m/>
    <d v="2024-08-19T00:00:00"/>
    <s v="llamado a usuario para verificación problema"/>
    <x v="6"/>
    <s v="Configuracion Software"/>
    <x v="0"/>
    <s v="Impresora"/>
    <m/>
    <m/>
    <s v="CANELLA, SOCIEDAD ANONIMA"/>
    <s v="CENTRO DE SERVICIOS YAMAHA"/>
    <n v="4442"/>
    <n v="35"/>
    <s v="Mesa Ayuda Infraestructura"/>
    <n v="247468"/>
    <s v="BRANDON AGUSTIN JORGE RAMIREZ"/>
    <n v="2766"/>
    <s v="CANELLA"/>
    <n v="2"/>
    <n v="10"/>
    <m/>
    <m/>
    <n v="1"/>
    <s v="CANELLA"/>
    <n v="2766"/>
    <s v="José Julajuj Chumil"/>
    <m/>
    <s v="normal"/>
    <s v="En proceso"/>
    <s v="Configuración de impresora -Brandon Jorge-"/>
    <n v="72"/>
    <b v="1"/>
    <s v="[27922, 27921, 27919]"/>
    <n v="2"/>
    <s v="05889@general.tbd"/>
    <n v="27919"/>
    <n v="0"/>
    <n v="2766"/>
    <n v="8777"/>
    <s v="Mesa Ayuda Infraestructura"/>
    <n v="5.6944444444444402E-2"/>
    <m/>
  </r>
  <r>
    <n v="4535"/>
    <n v="0.16666666666666599"/>
    <d v="1899-12-30T00:10:00"/>
    <s v="50-Finalizado"/>
    <d v="1900-01-01T00:00:00"/>
    <x v="96"/>
    <d v="2024-08-19T00:00:00"/>
    <d v="2024-08-19T22:57:20"/>
    <x v="50"/>
    <n v="0.41305555555555501"/>
    <d v="1899-12-30T00:24:47"/>
    <d v="2024-08-19T00:00:00"/>
    <d v="2024-08-19T22:57:20"/>
    <m/>
    <d v="1899-12-31T00:00:00"/>
    <d v="2024-08-19T23:22:07"/>
    <m/>
    <d v="1899-12-31T00:00:00"/>
    <d v="2024-08-20T19:15:38"/>
    <d v="2024-08-20T19:15:38"/>
    <s v="Resuelto"/>
    <m/>
    <d v="2024-08-19T00:00:00"/>
    <s v="Asignación, Entrega de equipo y revisión por usuario"/>
    <x v="6"/>
    <s v="Configuracion Hardware"/>
    <x v="1"/>
    <s v="Laptop"/>
    <m/>
    <m/>
    <m/>
    <m/>
    <n v="4437"/>
    <n v="35"/>
    <s v="Mesa Ayuda Infraestructura"/>
    <n v="254982"/>
    <s v="BRYAN ALEXANDER CABALLEROS JORDAN"/>
    <n v="2766"/>
    <s v="CANELLA"/>
    <n v="1"/>
    <n v="20"/>
    <m/>
    <m/>
    <n v="1"/>
    <s v="CANELLA"/>
    <n v="2766"/>
    <s v="José Julajuj Chumil"/>
    <m/>
    <s v="normal"/>
    <s v="En proceso"/>
    <s v="Configuración de equipo -Bryan Caballeros-"/>
    <n v="72"/>
    <b v="1"/>
    <n v="27903"/>
    <n v="2"/>
    <s v="No Extension.  partner_id: 254982 -- user_id res.users(2881,)"/>
    <n v="27918"/>
    <n v="0"/>
    <n v="2766"/>
    <n v="8777"/>
    <s v="Mesa Ayuda Infraestructura"/>
    <n v="0.41305555555555501"/>
    <m/>
  </r>
  <r>
    <n v="4535"/>
    <n v="1.3333333333333299"/>
    <d v="1899-12-30T01:20:00"/>
    <s v="50-Finalizado"/>
    <d v="1900-01-01T00:00:00"/>
    <x v="96"/>
    <d v="2024-08-19T00:00:00"/>
    <d v="2024-08-19T22:57:20"/>
    <x v="50"/>
    <n v="0.41305555555555501"/>
    <d v="1899-12-30T00:24:47"/>
    <d v="2024-08-19T00:00:00"/>
    <d v="2024-08-19T22:57:20"/>
    <m/>
    <d v="1899-12-31T00:00:00"/>
    <d v="2024-08-19T23:22:07"/>
    <m/>
    <d v="1899-12-31T00:00:00"/>
    <d v="2024-08-20T19:15:38"/>
    <d v="2024-08-20T19:15:38"/>
    <s v="Resuelto"/>
    <m/>
    <d v="2024-08-19T00:00:00"/>
    <s v="Configuración de usuario y aplicaciones asignadas"/>
    <x v="6"/>
    <s v="Configuracion Hardware"/>
    <x v="1"/>
    <s v="Laptop"/>
    <m/>
    <m/>
    <m/>
    <m/>
    <n v="4437"/>
    <n v="35"/>
    <s v="Mesa Ayuda Infraestructura"/>
    <n v="254982"/>
    <s v="BRYAN ALEXANDER CABALLEROS JORDAN"/>
    <n v="2766"/>
    <s v="CANELLA"/>
    <n v="1"/>
    <n v="20"/>
    <m/>
    <m/>
    <n v="1"/>
    <s v="CANELLA"/>
    <n v="2766"/>
    <s v="José Julajuj Chumil"/>
    <m/>
    <s v="normal"/>
    <s v="En proceso"/>
    <s v="Configuración de equipo -Bryan Caballeros-"/>
    <n v="72"/>
    <b v="1"/>
    <n v="27903"/>
    <n v="2"/>
    <s v="No Extension.  partner_id: 254982 -- user_id res.users(2881,)"/>
    <n v="27903"/>
    <n v="0"/>
    <n v="2766"/>
    <n v="8777"/>
    <s v="Mesa Ayuda Infraestructura"/>
    <n v="0.41305555555555501"/>
    <m/>
  </r>
  <r>
    <n v="4533"/>
    <n v="0.16666666666666599"/>
    <d v="1899-12-30T00:10:00"/>
    <s v="50-Finalizado"/>
    <d v="1900-01-01T00:00:00"/>
    <x v="97"/>
    <d v="2024-08-19T00:00:00"/>
    <d v="2024-08-19T22:44:35"/>
    <x v="4"/>
    <n v="0"/>
    <d v="1899-12-30T00:00:00"/>
    <d v="2024-08-19T00:00:00"/>
    <d v="2024-08-19T22:44:35"/>
    <m/>
    <d v="1899-12-31T00:00:00"/>
    <d v="1899-12-31T00:00:00"/>
    <m/>
    <d v="1899-12-31T00:00:00"/>
    <d v="2024-08-20T19:15:38"/>
    <d v="2024-08-20T19:15:38"/>
    <s v="Resuelto"/>
    <m/>
    <d v="2024-08-20T00:00:00"/>
    <s v="Asignación, revisión de usuario y entrega de equipo"/>
    <x v="6"/>
    <s v="Configuracion Hardware"/>
    <x v="1"/>
    <s v="Laptop"/>
    <m/>
    <m/>
    <m/>
    <m/>
    <n v="4435"/>
    <n v="35"/>
    <s v="Mesa Ayuda Infraestructura"/>
    <n v="254983"/>
    <s v="MANUEL ESTUARDO OSORIO CHAMAN"/>
    <n v="2766"/>
    <s v="CANELLA"/>
    <n v="1"/>
    <n v="20"/>
    <m/>
    <m/>
    <n v="1"/>
    <s v="CANELLA"/>
    <n v="2766"/>
    <s v="José Julajuj Chumil"/>
    <m/>
    <s v="normal"/>
    <s v="En proceso"/>
    <s v="Configuración de equipo -Manuel Osorio-"/>
    <n v="72"/>
    <b v="1"/>
    <n v="27902"/>
    <n v="2"/>
    <s v="No Extension.  partner_id: 254983 -- user_id res.users(2882,)"/>
    <n v="28053"/>
    <n v="0"/>
    <n v="2766"/>
    <n v="8777"/>
    <s v="Mesa Ayuda Infraestructura"/>
    <n v="0"/>
    <m/>
  </r>
  <r>
    <n v="4533"/>
    <n v="1.3333333333333299"/>
    <d v="1899-12-30T01:20:00"/>
    <s v="50-Finalizado"/>
    <d v="1900-01-01T00:00:00"/>
    <x v="97"/>
    <d v="2024-08-19T00:00:00"/>
    <d v="2024-08-19T22:44:35"/>
    <x v="4"/>
    <n v="0"/>
    <d v="1899-12-30T00:00:00"/>
    <d v="2024-08-19T00:00:00"/>
    <d v="2024-08-19T22:44:35"/>
    <m/>
    <d v="1899-12-31T00:00:00"/>
    <d v="1899-12-31T00:00:00"/>
    <m/>
    <d v="1899-12-31T00:00:00"/>
    <d v="2024-08-20T19:15:38"/>
    <d v="2024-08-20T19:15:38"/>
    <s v="Resuelto"/>
    <m/>
    <d v="2024-08-19T00:00:00"/>
    <s v="Configuración de usuario y aplicaciones"/>
    <x v="6"/>
    <s v="Configuracion Hardware"/>
    <x v="1"/>
    <s v="Laptop"/>
    <m/>
    <m/>
    <m/>
    <m/>
    <n v="4435"/>
    <n v="35"/>
    <s v="Mesa Ayuda Infraestructura"/>
    <n v="254983"/>
    <s v="MANUEL ESTUARDO OSORIO CHAMAN"/>
    <n v="2766"/>
    <s v="CANELLA"/>
    <n v="1"/>
    <n v="20"/>
    <m/>
    <m/>
    <n v="1"/>
    <s v="CANELLA"/>
    <n v="2766"/>
    <s v="José Julajuj Chumil"/>
    <m/>
    <s v="normal"/>
    <s v="En proceso"/>
    <s v="Configuración de equipo -Manuel Osorio-"/>
    <n v="72"/>
    <b v="1"/>
    <n v="27902"/>
    <n v="2"/>
    <s v="No Extension.  partner_id: 254983 -- user_id res.users(2882,)"/>
    <n v="27902"/>
    <n v="0"/>
    <n v="2766"/>
    <n v="8777"/>
    <s v="Mesa Ayuda Infraestructura"/>
    <n v="0"/>
    <m/>
  </r>
  <r>
    <n v="4518"/>
    <n v="0.21666666666666601"/>
    <d v="1899-12-30T00:13:00"/>
    <s v="50-Finalizado"/>
    <d v="1900-01-01T00:00:00"/>
    <x v="98"/>
    <d v="2024-08-19T00:00:00"/>
    <d v="2024-08-19T20:53:16"/>
    <x v="51"/>
    <n v="0.23611111111111099"/>
    <d v="1899-12-30T00:14:10"/>
    <d v="2024-08-19T00:00:00"/>
    <d v="2024-08-19T20:53:16"/>
    <m/>
    <d v="1899-12-31T00:00:00"/>
    <d v="2024-08-19T21:07:26"/>
    <m/>
    <d v="1899-12-31T00:00:00"/>
    <d v="2024-08-20T19:15:38"/>
    <d v="2024-08-20T19:15:38"/>
    <m/>
    <m/>
    <d v="2024-08-19T00:00:00"/>
    <s v="/"/>
    <x v="2"/>
    <s v="Actualización de Datos"/>
    <x v="0"/>
    <s v="STOD"/>
    <s v="Administración de Usuarios"/>
    <m/>
    <s v="CANELLA, SOCIEDAD ANONIMA"/>
    <s v="CENTRO DE SERVICIOS YAMAHA"/>
    <n v="4420"/>
    <n v="35"/>
    <s v="Mesa Ayuda Infraestructura"/>
    <n v="247468"/>
    <s v="BRANDON AGUSTIN JORGE RAMIREZ"/>
    <n v="446"/>
    <s v="CANELLA"/>
    <n v="11"/>
    <n v="8"/>
    <n v="34"/>
    <m/>
    <n v="1"/>
    <s v="CANELLA"/>
    <n v="446"/>
    <s v="Ester Daniela Lopez Cruz"/>
    <m/>
    <s v="normal"/>
    <s v="En proceso"/>
    <s v="Asignación de correo con usuario en STOD"/>
    <n v="72"/>
    <b v="1"/>
    <s v="[27876]"/>
    <m/>
    <s v="05889@general.tbd"/>
    <n v="27876"/>
    <n v="0"/>
    <n v="446"/>
    <n v="8777"/>
    <s v="Mesa Ayuda Infraestructura"/>
    <n v="0.23611111111111099"/>
    <m/>
  </r>
  <r>
    <n v="4517"/>
    <n v="0.55000000000000004"/>
    <d v="1899-12-30T00:33:00"/>
    <s v="40-Esperando cliente"/>
    <d v="1900-01-01T00:00:00"/>
    <x v="99"/>
    <d v="2024-08-19T00:00:00"/>
    <d v="2024-08-19T20:52:08"/>
    <x v="4"/>
    <n v="0"/>
    <d v="1899-12-30T00:00:00"/>
    <d v="2024-08-19T00:00:00"/>
    <d v="2024-08-19T20:52:08"/>
    <m/>
    <d v="1899-12-31T00:00:00"/>
    <d v="1899-12-31T00:00:00"/>
    <m/>
    <d v="1899-12-31T00:00:00"/>
    <d v="2024-08-20T19:15:38"/>
    <d v="2024-08-20T19:15:38"/>
    <s v="Resuelto"/>
    <s v="Se procede a realizar orden de compra por horas de consultora durante el mes de Julio 2024"/>
    <d v="2024-08-19T00:00:00"/>
    <s v="Se procede a realizar orden de compra por horas de consultora durante el mes de Julio 2024"/>
    <x v="3"/>
    <s v="Orden de compra"/>
    <x v="1"/>
    <s v="SAP"/>
    <m/>
    <m/>
    <s v="CANELLA, SOCIEDAD ANONIMA"/>
    <s v="INFORMATICA"/>
    <n v="4419"/>
    <n v="35"/>
    <s v="Mesa Ayuda Infraestructura"/>
    <n v="247813"/>
    <s v="OSCAR RAUL HERNANDEZ REYNA"/>
    <n v="299"/>
    <s v="CANELLA"/>
    <n v="6"/>
    <n v="5"/>
    <m/>
    <m/>
    <n v="1"/>
    <s v="CANELLA"/>
    <n v="299"/>
    <s v="Rosario Lic"/>
    <s v="&lt;p&gt;Se procede a realizar orden de compra por horas de consultora durante el mes de Julio 2024&lt;/p&gt;"/>
    <s v="normal"/>
    <s v="En proceso"/>
    <s v="OC - Integración de Información"/>
    <n v="71"/>
    <m/>
    <s v="[27880]"/>
    <n v="2"/>
    <s v="04025@general.tbd"/>
    <n v="27880"/>
    <n v="0"/>
    <n v="299"/>
    <n v="8777"/>
    <s v="Mesa Ayuda Infraestructura"/>
    <n v="0"/>
    <m/>
  </r>
  <r>
    <n v="4515"/>
    <n v="0.25"/>
    <d v="1899-12-30T00:15:00"/>
    <s v="50-Finalizado"/>
    <d v="1900-01-01T00:00:00"/>
    <x v="100"/>
    <d v="2024-08-19T00:00:00"/>
    <d v="2024-08-19T20:14:31"/>
    <x v="52"/>
    <n v="0.27611111111111097"/>
    <d v="1899-12-30T00:16:34"/>
    <d v="2024-08-19T00:00:00"/>
    <d v="2024-08-19T20:14:31"/>
    <m/>
    <d v="1899-12-31T00:00:00"/>
    <d v="2024-08-19T20:31:05"/>
    <m/>
    <d v="1899-12-31T00:00:00"/>
    <d v="2024-08-20T19:15:38"/>
    <d v="2024-08-20T19:15:38"/>
    <m/>
    <m/>
    <d v="2024-08-19T00:00:00"/>
    <s v="/"/>
    <x v="2"/>
    <s v="Actualización de Datos"/>
    <x v="1"/>
    <s v="STOD"/>
    <s v="Contratos de Mantto."/>
    <m/>
    <s v="CANELLA, SOCIEDAD ANONIMA"/>
    <s v="FLOTAS/TALLER ISUZU"/>
    <n v="4417"/>
    <n v="35"/>
    <s v="Mesa Ayuda Infraestructura"/>
    <n v="247269"/>
    <s v="BORIS IVAN CABRERA MELENDEZ"/>
    <n v="446"/>
    <s v="CANELLA"/>
    <n v="11"/>
    <n v="8"/>
    <n v="37"/>
    <m/>
    <n v="1"/>
    <s v="CANELLA"/>
    <n v="446"/>
    <s v="Ester Daniela Lopez Cruz"/>
    <m/>
    <s v="normal"/>
    <s v="En proceso"/>
    <s v="Cambio de códigos de artículos en contrato de mantenimiento 241"/>
    <n v="72"/>
    <b v="1"/>
    <s v="[27870]"/>
    <m/>
    <s v="06281@general.tbd"/>
    <n v="27870"/>
    <n v="0"/>
    <n v="446"/>
    <n v="8777"/>
    <s v="Mesa Ayuda Infraestructura"/>
    <n v="0.27611111111111097"/>
    <m/>
  </r>
  <r>
    <n v="4512"/>
    <n v="0.5"/>
    <d v="1899-12-30T00:30:00"/>
    <s v="40-Esperando cliente"/>
    <d v="1900-01-01T00:00:00"/>
    <x v="101"/>
    <d v="2024-08-19T00:00:00"/>
    <d v="2024-08-19T18:54:31"/>
    <x v="4"/>
    <n v="0"/>
    <d v="1899-12-30T00:00:00"/>
    <d v="2024-08-19T00:00:00"/>
    <d v="2024-08-19T18:54:31"/>
    <m/>
    <d v="1899-12-31T00:00:00"/>
    <d v="1899-12-31T00:00:00"/>
    <m/>
    <d v="1899-12-31T00:00:00"/>
    <d v="2024-08-20T19:15:38"/>
    <d v="2024-08-20T19:15:38"/>
    <m/>
    <m/>
    <d v="2024-08-19T00:00:00"/>
    <s v="Revisión de equipo core i7, todo funciona correctamente, puertos, pantalla, teclado en mal estado"/>
    <x v="6"/>
    <s v="Configuracion Hardware"/>
    <x v="2"/>
    <s v="Laptop"/>
    <m/>
    <m/>
    <s v="No Partner"/>
    <s v="No Partner"/>
    <n v="4414"/>
    <n v="35"/>
    <s v="Mesa Ayuda Infraestructura"/>
    <m/>
    <m/>
    <n v="2766"/>
    <s v="CANELLA"/>
    <n v="1"/>
    <n v="20"/>
    <m/>
    <m/>
    <n v="1"/>
    <s v="CANELLA"/>
    <n v="2766"/>
    <s v="José Julajuj Chumil"/>
    <m/>
    <s v="normal"/>
    <s v="En proceso"/>
    <s v="Revisión de equipos"/>
    <n v="71"/>
    <m/>
    <s v="[27893, 27863, 27862]"/>
    <m/>
    <s v="No Partner"/>
    <n v="27893"/>
    <n v="0"/>
    <n v="2766"/>
    <n v="8777"/>
    <s v="Mesa Ayuda Infraestructura"/>
    <n v="0"/>
    <m/>
  </r>
  <r>
    <n v="4512"/>
    <n v="0.5"/>
    <d v="1899-12-30T00:30:00"/>
    <s v="40-Esperando cliente"/>
    <d v="1900-01-01T00:00:00"/>
    <x v="101"/>
    <d v="2024-08-19T00:00:00"/>
    <d v="2024-08-19T18:54:31"/>
    <x v="4"/>
    <n v="0"/>
    <d v="1899-12-30T00:00:00"/>
    <d v="2024-08-19T00:00:00"/>
    <d v="2024-08-19T18:54:31"/>
    <m/>
    <d v="1899-12-31T00:00:00"/>
    <d v="1899-12-31T00:00:00"/>
    <m/>
    <d v="1899-12-31T00:00:00"/>
    <d v="2024-08-20T19:15:38"/>
    <d v="2024-08-20T19:15:38"/>
    <m/>
    <m/>
    <d v="2024-08-19T00:00:00"/>
    <s v="Revisión de equipo core i7, todo funciona correctamente, puertos, pantalla y mouese"/>
    <x v="6"/>
    <s v="Configuracion Hardware"/>
    <x v="2"/>
    <s v="Laptop"/>
    <m/>
    <m/>
    <s v="No Partner"/>
    <s v="No Partner"/>
    <n v="4414"/>
    <n v="35"/>
    <s v="Mesa Ayuda Infraestructura"/>
    <m/>
    <m/>
    <n v="2766"/>
    <s v="CANELLA"/>
    <n v="1"/>
    <n v="20"/>
    <m/>
    <m/>
    <n v="1"/>
    <s v="CANELLA"/>
    <n v="2766"/>
    <s v="José Julajuj Chumil"/>
    <m/>
    <s v="normal"/>
    <s v="En proceso"/>
    <s v="Revisión de equipos"/>
    <n v="71"/>
    <m/>
    <s v="[27893, 27863, 27862]"/>
    <m/>
    <s v="No Partner"/>
    <n v="27863"/>
    <n v="0"/>
    <n v="2766"/>
    <n v="8777"/>
    <s v="Mesa Ayuda Infraestructura"/>
    <n v="0"/>
    <m/>
  </r>
  <r>
    <n v="4512"/>
    <n v="0.5"/>
    <d v="1899-12-30T00:30:00"/>
    <s v="40-Esperando cliente"/>
    <d v="1900-01-01T00:00:00"/>
    <x v="101"/>
    <d v="2024-08-19T00:00:00"/>
    <d v="2024-08-19T18:54:31"/>
    <x v="4"/>
    <n v="0"/>
    <d v="1899-12-30T00:00:00"/>
    <d v="2024-08-19T00:00:00"/>
    <d v="2024-08-19T18:54:31"/>
    <m/>
    <d v="1899-12-31T00:00:00"/>
    <d v="1899-12-31T00:00:00"/>
    <m/>
    <d v="1899-12-31T00:00:00"/>
    <d v="2024-08-20T19:15:38"/>
    <d v="2024-08-20T19:15:38"/>
    <m/>
    <m/>
    <d v="2024-08-19T00:00:00"/>
    <s v="Revisión de equipo core i5, todo funciona correctamente, puertos, pantalla y mouese"/>
    <x v="6"/>
    <s v="Configuracion Hardware"/>
    <x v="2"/>
    <s v="Laptop"/>
    <m/>
    <m/>
    <s v="No Partner"/>
    <s v="No Partner"/>
    <n v="4414"/>
    <n v="35"/>
    <s v="Mesa Ayuda Infraestructura"/>
    <m/>
    <m/>
    <n v="2766"/>
    <s v="CANELLA"/>
    <n v="1"/>
    <n v="20"/>
    <m/>
    <m/>
    <n v="1"/>
    <s v="CANELLA"/>
    <n v="2766"/>
    <s v="José Julajuj Chumil"/>
    <m/>
    <s v="normal"/>
    <s v="En proceso"/>
    <s v="Revisión de equipos"/>
    <n v="71"/>
    <m/>
    <s v="[27893, 27863, 27862]"/>
    <m/>
    <s v="No Partner"/>
    <n v="27862"/>
    <n v="0"/>
    <n v="2766"/>
    <n v="8777"/>
    <s v="Mesa Ayuda Infraestructura"/>
    <n v="0"/>
    <m/>
  </r>
  <r>
    <n v="4498"/>
    <n v="0.18333333333333299"/>
    <d v="1899-12-30T00:11:00"/>
    <s v="40-Esperando cliente"/>
    <d v="1900-01-01T00:00:00"/>
    <x v="102"/>
    <d v="2024-08-19T00:00:00"/>
    <d v="2024-08-19T17:34:48"/>
    <x v="4"/>
    <n v="0"/>
    <d v="1899-12-30T00:00:00"/>
    <d v="2024-08-19T00:00:00"/>
    <d v="2024-08-19T17:34:48"/>
    <m/>
    <d v="1899-12-31T00:00:00"/>
    <d v="1899-12-31T00:00:00"/>
    <m/>
    <d v="1899-12-31T00:00:00"/>
    <d v="2024-08-20T19:15:38"/>
    <d v="2024-08-20T19:15:38"/>
    <m/>
    <s v="Se procede a realizar la compra de 2 ups y 1 combo de teclado y mouse para caja Maquipos escuintla y un ups para Caja Hyundai."/>
    <d v="2024-08-19T00:00:00"/>
    <s v="Seguimiento de compra /se procede a verificar el estatus de compra con proveedor"/>
    <x v="3"/>
    <s v="Orden de compra"/>
    <x v="1"/>
    <s v="(N/A) Sin aplicación software"/>
    <s v="(N/A) Sin módulo"/>
    <m/>
    <s v="CANELLA, SOCIEDAD ANONIMA"/>
    <s v="CONTABILIDAD, CANELLA, S. A."/>
    <n v="4400"/>
    <n v="35"/>
    <s v="Mesa Ayuda Infraestructura"/>
    <n v="247417"/>
    <s v="ALVARO LEONEL GUTIERREZ LOPEZ"/>
    <n v="299"/>
    <s v="CANELLA"/>
    <n v="6"/>
    <n v="6"/>
    <n v="13"/>
    <m/>
    <n v="1"/>
    <s v="CANELLA"/>
    <n v="299"/>
    <s v="Rosario Lic"/>
    <s v="&lt;p&gt;Se procede a realizar la compra de 2 ups y 1 combo de teclado y mouse para caja Maquipos escuintla y un ups para Caja Hyundai.&lt;/p&gt;"/>
    <s v="normal"/>
    <s v="En proceso"/>
    <s v="OC - UPS y combo inalámbrico para Maquipos Escuintla y teclado para Hyundai z13"/>
    <n v="71"/>
    <m/>
    <n v="27843"/>
    <m/>
    <s v="05998@general.tbd"/>
    <n v="28010"/>
    <n v="0"/>
    <n v="299"/>
    <n v="8777"/>
    <s v="Mesa Ayuda Infraestructura"/>
    <n v="0"/>
    <m/>
  </r>
  <r>
    <n v="4498"/>
    <n v="0"/>
    <d v="1899-12-30T00:00:00"/>
    <s v="40-Esperando cliente"/>
    <d v="1900-01-01T00:00:00"/>
    <x v="102"/>
    <d v="2024-08-19T00:00:00"/>
    <d v="2024-08-19T17:34:48"/>
    <x v="4"/>
    <n v="0"/>
    <d v="1899-12-30T00:00:00"/>
    <d v="2024-08-19T00:00:00"/>
    <d v="2024-08-19T17:34:48"/>
    <m/>
    <d v="1899-12-31T00:00:00"/>
    <d v="1899-12-31T00:00:00"/>
    <m/>
    <d v="1899-12-31T00:00:00"/>
    <d v="2024-08-20T19:15:38"/>
    <d v="2024-08-20T19:15:38"/>
    <m/>
    <s v="Se procede a realizar la compra de 2 ups y 1 combo de teclado y mouse para caja Maquipos escuintla y un ups para Caja Hyundai."/>
    <d v="2024-08-19T00:00:00"/>
    <s v="Se procede a realizar la compra de 2 ups y 1 combo de teclado y mouse para caja Maquipos escuintla y un ups para Caja Hyundai."/>
    <x v="3"/>
    <s v="Orden de compra"/>
    <x v="1"/>
    <s v="(N/A) Sin aplicación software"/>
    <s v="(N/A) Sin módulo"/>
    <m/>
    <s v="CANELLA, SOCIEDAD ANONIMA"/>
    <s v="CONTABILIDAD, CANELLA, S. A."/>
    <n v="4400"/>
    <n v="35"/>
    <s v="Mesa Ayuda Infraestructura"/>
    <n v="247417"/>
    <s v="ALVARO LEONEL GUTIERREZ LOPEZ"/>
    <n v="299"/>
    <s v="CANELLA"/>
    <n v="6"/>
    <n v="6"/>
    <n v="13"/>
    <m/>
    <n v="1"/>
    <s v="CANELLA"/>
    <n v="299"/>
    <s v="Rosario Lic"/>
    <s v="&lt;p&gt;Se procede a realizar la compra de 2 ups y 1 combo de teclado y mouse para caja Maquipos escuintla y un ups para Caja Hyundai.&lt;/p&gt;"/>
    <s v="normal"/>
    <s v="En proceso"/>
    <s v="OC - UPS y combo inalámbrico para Maquipos Escuintla y teclado para Hyundai z13"/>
    <n v="71"/>
    <m/>
    <n v="27843"/>
    <m/>
    <s v="05998@general.tbd"/>
    <n v="27843"/>
    <n v="0"/>
    <n v="299"/>
    <n v="8777"/>
    <s v="Mesa Ayuda Infraestructura"/>
    <n v="0"/>
    <m/>
  </r>
  <r>
    <n v="4496"/>
    <n v="0.25"/>
    <d v="1899-12-30T00:15:00"/>
    <s v="50-Finalizado"/>
    <d v="1900-01-01T00:00:00"/>
    <x v="103"/>
    <d v="2024-08-19T00:00:00"/>
    <d v="2024-08-19T17:31:58"/>
    <x v="53"/>
    <n v="0.25472222222222202"/>
    <d v="1899-12-30T00:15:17"/>
    <d v="2024-08-19T00:00:00"/>
    <d v="2024-08-19T17:31:58"/>
    <m/>
    <d v="1899-12-31T00:00:00"/>
    <d v="2024-08-19T17:47:15"/>
    <m/>
    <d v="1899-12-31T00:00:00"/>
    <d v="2024-08-20T19:15:38"/>
    <d v="2024-08-20T19:15:38"/>
    <m/>
    <m/>
    <d v="2024-08-19T00:00:00"/>
    <s v="/"/>
    <x v="2"/>
    <s v="Actualización de Datos"/>
    <x v="1"/>
    <s v="STOD"/>
    <s v="Contratos de Mantto."/>
    <m/>
    <s v="CANELLA, SOCIEDAD ANONIMA"/>
    <s v="ISUZU PERIFERICO"/>
    <n v="4398"/>
    <n v="35"/>
    <s v="Mesa Ayuda Infraestructura"/>
    <n v="247581"/>
    <s v="NICOLAS LOPEZ PACAY"/>
    <n v="446"/>
    <s v="CANELLA"/>
    <n v="11"/>
    <n v="8"/>
    <n v="37"/>
    <m/>
    <n v="1"/>
    <s v="CANELLA"/>
    <n v="446"/>
    <s v="Ester Daniela Lopez Cruz"/>
    <m/>
    <s v="normal"/>
    <s v="En proceso"/>
    <s v="Cambio de código de articulo en contrato de mantenimiento 118"/>
    <n v="72"/>
    <b v="1"/>
    <s v="[27846]"/>
    <m/>
    <s v="05588@general.tbd"/>
    <n v="27846"/>
    <n v="0"/>
    <n v="446"/>
    <n v="8777"/>
    <s v="Mesa Ayuda Infraestructura"/>
    <n v="0.25472222222222202"/>
    <m/>
  </r>
  <r>
    <n v="4494"/>
    <n v="8.3333333333333301E-2"/>
    <d v="1899-12-30T00:05:00"/>
    <s v="50-Finalizado"/>
    <d v="1900-01-01T00:00:00"/>
    <x v="104"/>
    <d v="2024-08-19T00:00:00"/>
    <d v="2024-08-19T17:30:03"/>
    <x v="54"/>
    <n v="2.75E-2"/>
    <d v="1899-12-30T00:01:39"/>
    <d v="2024-08-19T00:00:00"/>
    <d v="2024-08-19T17:30:03"/>
    <m/>
    <d v="1899-12-31T00:00:00"/>
    <d v="2024-08-19T17:31:42"/>
    <m/>
    <d v="1899-12-31T00:00:00"/>
    <d v="2024-08-20T19:15:38"/>
    <d v="2024-08-20T19:15:38"/>
    <s v="Resuelto"/>
    <m/>
    <d v="2024-08-19T00:00:00"/>
    <s v="Se hicieron pruebas para validar el ingreso"/>
    <x v="6"/>
    <s v="Configuracion Software"/>
    <x v="0"/>
    <s v="Laptop"/>
    <m/>
    <m/>
    <s v="CANELLA, SOCIEDAD ANONIMA"/>
    <s v="ISUZU"/>
    <n v="4396"/>
    <n v="35"/>
    <s v="Mesa Ayuda Infraestructura"/>
    <n v="247304"/>
    <s v="NORMAN ALFREDO VALENZUELA GONZALEZ"/>
    <n v="2766"/>
    <s v="CANELLA"/>
    <n v="2"/>
    <n v="20"/>
    <m/>
    <m/>
    <n v="1"/>
    <s v="CANELLA"/>
    <n v="2766"/>
    <s v="José Julajuj Chumil"/>
    <m/>
    <s v="normal"/>
    <s v="En proceso"/>
    <s v="Ingreso a correo por usuario y contraseña - Alfredo Valenzuela-"/>
    <n v="72"/>
    <b v="1"/>
    <s v="[27833, 27831, 27830]"/>
    <n v="2"/>
    <s v="06219@general.tbd"/>
    <n v="27833"/>
    <n v="0"/>
    <n v="2766"/>
    <n v="8777"/>
    <s v="Mesa Ayuda Infraestructura"/>
    <n v="2.75E-2"/>
    <m/>
  </r>
  <r>
    <n v="4494"/>
    <n v="8.3333333333333301E-2"/>
    <d v="1899-12-30T00:05:00"/>
    <s v="50-Finalizado"/>
    <d v="1900-01-01T00:00:00"/>
    <x v="104"/>
    <d v="2024-08-19T00:00:00"/>
    <d v="2024-08-19T17:30:03"/>
    <x v="54"/>
    <n v="2.75E-2"/>
    <d v="1899-12-30T00:01:39"/>
    <d v="2024-08-19T00:00:00"/>
    <d v="2024-08-19T17:30:03"/>
    <m/>
    <d v="1899-12-31T00:00:00"/>
    <d v="2024-08-19T17:31:42"/>
    <m/>
    <d v="1899-12-31T00:00:00"/>
    <d v="2024-08-20T19:15:38"/>
    <d v="2024-08-20T19:15:38"/>
    <s v="Resuelto"/>
    <m/>
    <d v="2024-08-19T00:00:00"/>
    <s v="Se valido el problema y se ingreso el usuario y contraseña"/>
    <x v="6"/>
    <s v="Configuracion Software"/>
    <x v="0"/>
    <s v="Laptop"/>
    <m/>
    <m/>
    <s v="CANELLA, SOCIEDAD ANONIMA"/>
    <s v="ISUZU"/>
    <n v="4396"/>
    <n v="35"/>
    <s v="Mesa Ayuda Infraestructura"/>
    <n v="247304"/>
    <s v="NORMAN ALFREDO VALENZUELA GONZALEZ"/>
    <n v="2766"/>
    <s v="CANELLA"/>
    <n v="2"/>
    <n v="20"/>
    <m/>
    <m/>
    <n v="1"/>
    <s v="CANELLA"/>
    <n v="2766"/>
    <s v="José Julajuj Chumil"/>
    <m/>
    <s v="normal"/>
    <s v="En proceso"/>
    <s v="Ingreso a correo por usuario y contraseña - Alfredo Valenzuela-"/>
    <n v="72"/>
    <b v="1"/>
    <s v="[27833, 27831, 27830]"/>
    <n v="2"/>
    <s v="06219@general.tbd"/>
    <n v="27831"/>
    <n v="0"/>
    <n v="2766"/>
    <n v="8777"/>
    <s v="Mesa Ayuda Infraestructura"/>
    <n v="2.75E-2"/>
    <m/>
  </r>
  <r>
    <n v="4494"/>
    <n v="3.3333333333333298E-2"/>
    <d v="1899-12-30T00:02:00"/>
    <s v="50-Finalizado"/>
    <d v="1900-01-01T00:00:00"/>
    <x v="104"/>
    <d v="2024-08-19T00:00:00"/>
    <d v="2024-08-19T17:30:03"/>
    <x v="54"/>
    <n v="2.75E-2"/>
    <d v="1899-12-30T00:01:39"/>
    <d v="2024-08-19T00:00:00"/>
    <d v="2024-08-19T17:30:03"/>
    <m/>
    <d v="1899-12-31T00:00:00"/>
    <d v="2024-08-19T17:31:42"/>
    <m/>
    <d v="1899-12-31T00:00:00"/>
    <d v="2024-08-20T19:15:38"/>
    <d v="2024-08-20T19:15:38"/>
    <s v="Resuelto"/>
    <m/>
    <d v="2024-08-19T00:00:00"/>
    <s v="Se verifico el problema por ingreso a correo"/>
    <x v="6"/>
    <s v="Configuracion Software"/>
    <x v="0"/>
    <s v="Laptop"/>
    <m/>
    <m/>
    <s v="CANELLA, SOCIEDAD ANONIMA"/>
    <s v="ISUZU"/>
    <n v="4396"/>
    <n v="35"/>
    <s v="Mesa Ayuda Infraestructura"/>
    <n v="247304"/>
    <s v="NORMAN ALFREDO VALENZUELA GONZALEZ"/>
    <n v="2766"/>
    <s v="CANELLA"/>
    <n v="2"/>
    <n v="20"/>
    <m/>
    <m/>
    <n v="1"/>
    <s v="CANELLA"/>
    <n v="2766"/>
    <s v="José Julajuj Chumil"/>
    <m/>
    <s v="normal"/>
    <s v="En proceso"/>
    <s v="Ingreso a correo por usuario y contraseña - Alfredo Valenzuela-"/>
    <n v="72"/>
    <b v="1"/>
    <s v="[27833, 27831, 27830]"/>
    <n v="2"/>
    <s v="06219@general.tbd"/>
    <n v="27830"/>
    <n v="0"/>
    <n v="2766"/>
    <n v="8777"/>
    <s v="Mesa Ayuda Infraestructura"/>
    <n v="2.75E-2"/>
    <m/>
  </r>
  <r>
    <n v="4492"/>
    <n v="0.133333333333333"/>
    <d v="1899-12-30T00:08:00"/>
    <s v="50-Finalizado"/>
    <d v="1900-01-01T00:00:00"/>
    <x v="105"/>
    <d v="2024-08-19T00:00:00"/>
    <d v="2024-08-19T17:24:27"/>
    <x v="55"/>
    <n v="5.47222222222222E-2"/>
    <d v="1899-12-30T00:03:17"/>
    <d v="2024-08-19T00:00:00"/>
    <d v="2024-08-19T17:24:27"/>
    <m/>
    <d v="1899-12-31T00:00:00"/>
    <d v="2024-08-19T17:27:44"/>
    <m/>
    <d v="1899-12-31T00:00:00"/>
    <d v="2024-08-20T19:15:38"/>
    <d v="2024-08-20T19:15:38"/>
    <s v="Resuelto"/>
    <m/>
    <d v="2024-08-19T00:00:00"/>
    <s v="Se indico como ingresar de nuevo para acceder"/>
    <x v="6"/>
    <s v="Configuracion Software"/>
    <x v="0"/>
    <s v="Planta Telefonica"/>
    <m/>
    <m/>
    <s v="MANTENIMIENTO AUTOMOTRIZ, SOCIEDAD ANONIMA"/>
    <s v="MAQUINARIA POST VENTA"/>
    <n v="4394"/>
    <n v="35"/>
    <s v="Mesa Ayuda Infraestructura"/>
    <n v="247518"/>
    <s v="MILTON RUFINO CHIGUICHON PATZAN"/>
    <n v="2766"/>
    <s v="CANELLA"/>
    <n v="2"/>
    <n v="14"/>
    <m/>
    <m/>
    <n v="1"/>
    <s v="CANELLA"/>
    <n v="2766"/>
    <s v="José Julajuj Chumil"/>
    <m/>
    <s v="normal"/>
    <s v="En proceso"/>
    <s v="Configuración de correo por Teléfono"/>
    <n v="72"/>
    <b v="1"/>
    <s v="[27827, 27826, 27825, 27824]"/>
    <n v="2"/>
    <s v="05771@general.tbd"/>
    <n v="27827"/>
    <n v="0"/>
    <n v="2766"/>
    <n v="8777"/>
    <s v="Mesa Ayuda Infraestructura"/>
    <n v="5.47222222222222E-2"/>
    <m/>
  </r>
  <r>
    <n v="4492"/>
    <n v="3.3333333333333298E-2"/>
    <d v="1899-12-30T00:02:00"/>
    <s v="50-Finalizado"/>
    <d v="1900-01-01T00:00:00"/>
    <x v="105"/>
    <d v="2024-08-19T00:00:00"/>
    <d v="2024-08-19T17:24:27"/>
    <x v="55"/>
    <n v="5.47222222222222E-2"/>
    <d v="1899-12-30T00:03:17"/>
    <d v="2024-08-19T00:00:00"/>
    <d v="2024-08-19T17:24:27"/>
    <m/>
    <d v="1899-12-31T00:00:00"/>
    <d v="2024-08-19T17:27:44"/>
    <m/>
    <d v="1899-12-31T00:00:00"/>
    <d v="2024-08-20T19:15:38"/>
    <d v="2024-08-20T19:15:38"/>
    <s v="Resuelto"/>
    <m/>
    <d v="2024-08-19T00:00:00"/>
    <s v="Se restableció la contraseña debido a no poder ingresar"/>
    <x v="6"/>
    <s v="Configuracion Software"/>
    <x v="0"/>
    <s v="Planta Telefonica"/>
    <m/>
    <m/>
    <s v="MANTENIMIENTO AUTOMOTRIZ, SOCIEDAD ANONIMA"/>
    <s v="MAQUINARIA POST VENTA"/>
    <n v="4394"/>
    <n v="35"/>
    <s v="Mesa Ayuda Infraestructura"/>
    <n v="247518"/>
    <s v="MILTON RUFINO CHIGUICHON PATZAN"/>
    <n v="2766"/>
    <s v="CANELLA"/>
    <n v="2"/>
    <n v="14"/>
    <m/>
    <m/>
    <n v="1"/>
    <s v="CANELLA"/>
    <n v="2766"/>
    <s v="José Julajuj Chumil"/>
    <m/>
    <s v="normal"/>
    <s v="En proceso"/>
    <s v="Configuración de correo por Teléfono"/>
    <n v="72"/>
    <b v="1"/>
    <s v="[27827, 27826, 27825, 27824]"/>
    <n v="2"/>
    <s v="05771@general.tbd"/>
    <n v="27826"/>
    <n v="0"/>
    <n v="2766"/>
    <n v="8777"/>
    <s v="Mesa Ayuda Infraestructura"/>
    <n v="5.47222222222222E-2"/>
    <m/>
  </r>
  <r>
    <n v="4492"/>
    <n v="0.133333333333333"/>
    <d v="1899-12-30T00:08:00"/>
    <s v="50-Finalizado"/>
    <d v="1900-01-01T00:00:00"/>
    <x v="105"/>
    <d v="2024-08-19T00:00:00"/>
    <d v="2024-08-19T17:24:27"/>
    <x v="55"/>
    <n v="5.47222222222222E-2"/>
    <d v="1899-12-30T00:03:17"/>
    <d v="2024-08-19T00:00:00"/>
    <d v="2024-08-19T17:24:27"/>
    <m/>
    <d v="1899-12-31T00:00:00"/>
    <d v="2024-08-19T17:27:44"/>
    <m/>
    <d v="1899-12-31T00:00:00"/>
    <d v="2024-08-20T19:15:38"/>
    <d v="2024-08-20T19:15:38"/>
    <s v="Resuelto"/>
    <m/>
    <d v="2024-08-19T00:00:00"/>
    <s v="Se dio indicación de como ingresar"/>
    <x v="6"/>
    <s v="Configuracion Software"/>
    <x v="0"/>
    <s v="Planta Telefonica"/>
    <m/>
    <m/>
    <s v="MANTENIMIENTO AUTOMOTRIZ, SOCIEDAD ANONIMA"/>
    <s v="MAQUINARIA POST VENTA"/>
    <n v="4394"/>
    <n v="35"/>
    <s v="Mesa Ayuda Infraestructura"/>
    <n v="247518"/>
    <s v="MILTON RUFINO CHIGUICHON PATZAN"/>
    <n v="2766"/>
    <s v="CANELLA"/>
    <n v="2"/>
    <n v="14"/>
    <m/>
    <m/>
    <n v="1"/>
    <s v="CANELLA"/>
    <n v="2766"/>
    <s v="José Julajuj Chumil"/>
    <m/>
    <s v="normal"/>
    <s v="En proceso"/>
    <s v="Configuración de correo por Teléfono"/>
    <n v="72"/>
    <b v="1"/>
    <s v="[27827, 27826, 27825, 27824]"/>
    <n v="2"/>
    <s v="05771@general.tbd"/>
    <n v="27825"/>
    <n v="0"/>
    <n v="2766"/>
    <n v="8777"/>
    <s v="Mesa Ayuda Infraestructura"/>
    <n v="5.47222222222222E-2"/>
    <m/>
  </r>
  <r>
    <n v="4492"/>
    <n v="3.3333333333333298E-2"/>
    <d v="1899-12-30T00:02:00"/>
    <s v="50-Finalizado"/>
    <d v="1900-01-01T00:00:00"/>
    <x v="105"/>
    <d v="2024-08-19T00:00:00"/>
    <d v="2024-08-19T17:24:27"/>
    <x v="55"/>
    <n v="5.47222222222222E-2"/>
    <d v="1899-12-30T00:03:17"/>
    <d v="2024-08-19T00:00:00"/>
    <d v="2024-08-19T17:24:27"/>
    <m/>
    <d v="1899-12-31T00:00:00"/>
    <d v="2024-08-19T17:27:44"/>
    <m/>
    <d v="1899-12-31T00:00:00"/>
    <d v="2024-08-20T19:15:38"/>
    <d v="2024-08-20T19:15:38"/>
    <s v="Resuelto"/>
    <m/>
    <d v="2024-08-19T00:00:00"/>
    <s v="Se comunico con el usuario para verificar lo solicitado"/>
    <x v="6"/>
    <s v="Configuracion Software"/>
    <x v="0"/>
    <s v="Planta Telefonica"/>
    <m/>
    <m/>
    <s v="MANTENIMIENTO AUTOMOTRIZ, SOCIEDAD ANONIMA"/>
    <s v="MAQUINARIA POST VENTA"/>
    <n v="4394"/>
    <n v="35"/>
    <s v="Mesa Ayuda Infraestructura"/>
    <n v="247518"/>
    <s v="MILTON RUFINO CHIGUICHON PATZAN"/>
    <n v="2766"/>
    <s v="CANELLA"/>
    <n v="2"/>
    <n v="14"/>
    <m/>
    <m/>
    <n v="1"/>
    <s v="CANELLA"/>
    <n v="2766"/>
    <s v="José Julajuj Chumil"/>
    <m/>
    <s v="normal"/>
    <s v="En proceso"/>
    <s v="Configuración de correo por Teléfono"/>
    <n v="72"/>
    <b v="1"/>
    <s v="[27827, 27826, 27825, 27824]"/>
    <n v="2"/>
    <s v="05771@general.tbd"/>
    <n v="27824"/>
    <n v="0"/>
    <n v="2766"/>
    <n v="8777"/>
    <s v="Mesa Ayuda Infraestructura"/>
    <n v="5.47222222222222E-2"/>
    <m/>
  </r>
  <r>
    <n v="4482"/>
    <n v="8.3333333333333301E-2"/>
    <d v="1899-12-30T00:05:00"/>
    <s v="50-Finalizado"/>
    <d v="1900-01-01T00:00:00"/>
    <x v="106"/>
    <d v="2024-08-19T00:00:00"/>
    <d v="2024-08-19T17:07:07"/>
    <x v="56"/>
    <n v="1.94444444444444E-2"/>
    <d v="1899-12-30T00:01:10"/>
    <d v="2024-08-19T00:00:00"/>
    <d v="2024-08-19T17:07:07"/>
    <m/>
    <d v="1899-12-31T00:00:00"/>
    <d v="2024-08-19T17:08:17"/>
    <m/>
    <d v="1899-12-31T00:00:00"/>
    <d v="2024-08-20T19:15:38"/>
    <d v="2024-08-20T19:15:38"/>
    <s v="Resuelto"/>
    <s v="Se procede a restablecer la contraseña para ingreso a equipo."/>
    <d v="2024-08-19T00:00:00"/>
    <s v="Se procede a restablecer la contraseña para ingreso a equipo."/>
    <x v="3"/>
    <s v="Actualización de Datos"/>
    <x v="0"/>
    <s v="Office 365"/>
    <s v="Outlook"/>
    <m/>
    <s v="MANTENIMIENTO AUTOMOTRIZ, SOCIEDAD ANONIMA"/>
    <s v="GRUPO 2, MAUTO"/>
    <n v="4384"/>
    <n v="35"/>
    <s v="Mesa Ayuda Infraestructura"/>
    <n v="247761"/>
    <s v="MILTER LEONEL ANAVISCA MEDRANO"/>
    <n v="299"/>
    <s v="CANELLA"/>
    <n v="11"/>
    <n v="7"/>
    <n v="22"/>
    <m/>
    <n v="1"/>
    <s v="CANELLA"/>
    <n v="299"/>
    <s v="Rosario Lic"/>
    <s v="&lt;p&gt;Se procede a restablecer la contraseña para ingreso a equipo.&lt;/p&gt;"/>
    <s v="normal"/>
    <s v="En proceso"/>
    <s v="Restablecimiento de contraseña"/>
    <n v="72"/>
    <b v="1"/>
    <s v="[27783]"/>
    <n v="2"/>
    <s v="04501@general.tbd"/>
    <n v="27783"/>
    <n v="0"/>
    <n v="299"/>
    <n v="8777"/>
    <s v="Mesa Ayuda Infraestructura"/>
    <n v="1.94444444444444E-2"/>
    <m/>
  </r>
  <r>
    <n v="4473"/>
    <n v="0.5"/>
    <d v="1899-12-30T00:30:00"/>
    <s v="50-Finalizado"/>
    <d v="1900-01-01T00:00:00"/>
    <x v="107"/>
    <d v="2024-08-19T00:00:00"/>
    <d v="2024-08-19T16:44:37"/>
    <x v="57"/>
    <n v="0.64944444444444405"/>
    <d v="1899-12-30T00:38:58"/>
    <d v="2024-08-19T00:00:00"/>
    <d v="2024-08-19T16:44:37"/>
    <m/>
    <d v="1899-12-31T00:00:00"/>
    <d v="2024-08-19T17:23:35"/>
    <m/>
    <d v="1899-12-31T00:00:00"/>
    <d v="2024-08-20T19:15:38"/>
    <d v="2024-08-20T19:15:38"/>
    <s v="Resuelto"/>
    <m/>
    <d v="2024-08-19T00:00:00"/>
    <s v="Se desconectaron todos los puertos y volvieron a conectar"/>
    <x v="6"/>
    <s v="Configuracion Hardware"/>
    <x v="0"/>
    <m/>
    <m/>
    <m/>
    <s v="No Partner"/>
    <s v="No Partner"/>
    <n v="4375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Problemas de conexión a red -Recepcion-"/>
    <n v="72"/>
    <b v="1"/>
    <s v="[27790, 27789, 27788]"/>
    <n v="2"/>
    <s v="No Partner"/>
    <n v="27790"/>
    <n v="0"/>
    <n v="2766"/>
    <n v="8777"/>
    <s v="Mesa Ayuda Infraestructura"/>
    <n v="0.64944444444444405"/>
    <m/>
  </r>
  <r>
    <n v="4473"/>
    <n v="0.5"/>
    <d v="1899-12-30T00:30:00"/>
    <s v="50-Finalizado"/>
    <d v="1900-01-01T00:00:00"/>
    <x v="107"/>
    <d v="2024-08-19T00:00:00"/>
    <d v="2024-08-19T16:44:37"/>
    <x v="57"/>
    <n v="0.64944444444444405"/>
    <d v="1899-12-30T00:38:58"/>
    <d v="2024-08-19T00:00:00"/>
    <d v="2024-08-19T16:44:37"/>
    <m/>
    <d v="1899-12-31T00:00:00"/>
    <d v="2024-08-19T17:23:35"/>
    <m/>
    <d v="1899-12-31T00:00:00"/>
    <d v="2024-08-20T19:15:38"/>
    <d v="2024-08-20T19:15:38"/>
    <s v="Resuelto"/>
    <m/>
    <d v="2024-08-19T00:00:00"/>
    <s v="Se fue a recepción para verificar conexión a internet haciendo pruebas"/>
    <x v="6"/>
    <s v="Configuracion Hardware"/>
    <x v="0"/>
    <m/>
    <m/>
    <m/>
    <s v="No Partner"/>
    <s v="No Partner"/>
    <n v="4375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Problemas de conexión a red -Recepcion-"/>
    <n v="72"/>
    <b v="1"/>
    <s v="[27790, 27789, 27788]"/>
    <n v="2"/>
    <s v="No Partner"/>
    <n v="27789"/>
    <n v="0"/>
    <n v="2766"/>
    <n v="8777"/>
    <s v="Mesa Ayuda Infraestructura"/>
    <n v="0.64944444444444405"/>
    <m/>
  </r>
  <r>
    <n v="4473"/>
    <n v="3.3333333333333298E-2"/>
    <d v="1899-12-30T00:02:00"/>
    <s v="50-Finalizado"/>
    <d v="1900-01-01T00:00:00"/>
    <x v="107"/>
    <d v="2024-08-19T00:00:00"/>
    <d v="2024-08-19T16:44:37"/>
    <x v="57"/>
    <n v="0.64944444444444405"/>
    <d v="1899-12-30T00:38:58"/>
    <d v="2024-08-19T00:00:00"/>
    <d v="2024-08-19T16:44:37"/>
    <m/>
    <d v="1899-12-31T00:00:00"/>
    <d v="2024-08-19T17:23:35"/>
    <m/>
    <d v="1899-12-31T00:00:00"/>
    <d v="2024-08-20T19:15:38"/>
    <d v="2024-08-20T19:15:38"/>
    <s v="Resuelto"/>
    <m/>
    <d v="2024-08-19T00:00:00"/>
    <s v="Se comunico con el usuario para validar problema"/>
    <x v="6"/>
    <s v="Configuracion Hardware"/>
    <x v="0"/>
    <m/>
    <m/>
    <m/>
    <s v="No Partner"/>
    <s v="No Partner"/>
    <n v="4375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Problemas de conexión a red -Recepcion-"/>
    <n v="72"/>
    <b v="1"/>
    <s v="[27790, 27789, 27788]"/>
    <n v="2"/>
    <s v="No Partner"/>
    <n v="27788"/>
    <n v="0"/>
    <n v="2766"/>
    <n v="8777"/>
    <s v="Mesa Ayuda Infraestructura"/>
    <n v="0.64944444444444405"/>
    <m/>
  </r>
  <r>
    <n v="4471"/>
    <n v="0.33333333333333298"/>
    <d v="1899-12-30T00:20:00"/>
    <s v="50-Finalizado"/>
    <d v="1900-01-01T00:00:00"/>
    <x v="108"/>
    <d v="2024-08-19T00:00:00"/>
    <d v="2024-08-19T16:39:11"/>
    <x v="58"/>
    <n v="0.05"/>
    <d v="1899-12-30T00:03:00"/>
    <d v="2024-08-19T00:00:00"/>
    <d v="2024-08-19T16:39:11"/>
    <m/>
    <d v="1899-12-31T00:00:00"/>
    <d v="2024-08-19T16:42:11"/>
    <m/>
    <d v="1899-12-31T00:00:00"/>
    <d v="2024-08-20T19:15:38"/>
    <d v="2024-08-20T19:15:38"/>
    <s v="Resuelto"/>
    <m/>
    <d v="2024-08-19T00:00:00"/>
    <s v="Se activo servicios de VPN para tener conexión,  validando el ingreso al usuario"/>
    <x v="6"/>
    <s v="Configuracion Software"/>
    <x v="0"/>
    <s v="Laptop"/>
    <m/>
    <m/>
    <s v="CANELLA, SOCIEDAD ANONIMA"/>
    <s v="MOTUL"/>
    <n v="4373"/>
    <n v="35"/>
    <s v="Mesa Ayuda Infraestructura"/>
    <n v="247632"/>
    <s v="JENIFER PAOLA MORALES MAYORGA"/>
    <n v="2766"/>
    <s v="CANELLA"/>
    <n v="2"/>
    <n v="20"/>
    <m/>
    <m/>
    <n v="1"/>
    <s v="CANELLA"/>
    <n v="2766"/>
    <s v="José Julajuj Chumil"/>
    <m/>
    <s v="normal"/>
    <s v="En proceso"/>
    <s v="Problemas de VPN -Paola Morales-"/>
    <n v="72"/>
    <b v="1"/>
    <n v="27759"/>
    <n v="2"/>
    <s v="05347@general.tbd"/>
    <n v="27760"/>
    <n v="0"/>
    <n v="2766"/>
    <n v="8777"/>
    <s v="Mesa Ayuda Infraestructura"/>
    <n v="0.05"/>
    <m/>
  </r>
  <r>
    <n v="4471"/>
    <n v="8.3333333333333301E-2"/>
    <d v="1899-12-30T00:05:00"/>
    <s v="50-Finalizado"/>
    <d v="1900-01-01T00:00:00"/>
    <x v="108"/>
    <d v="2024-08-19T00:00:00"/>
    <d v="2024-08-19T16:39:11"/>
    <x v="58"/>
    <n v="0.05"/>
    <d v="1899-12-30T00:03:00"/>
    <d v="2024-08-19T00:00:00"/>
    <d v="2024-08-19T16:39:11"/>
    <m/>
    <d v="1899-12-31T00:00:00"/>
    <d v="2024-08-19T16:42:11"/>
    <m/>
    <d v="1899-12-31T00:00:00"/>
    <d v="2024-08-20T19:15:38"/>
    <d v="2024-08-20T19:15:38"/>
    <s v="Resuelto"/>
    <m/>
    <d v="2024-08-19T00:00:00"/>
    <s v="Se comunico con el usuario para verificación del problema"/>
    <x v="6"/>
    <s v="Configuracion Software"/>
    <x v="0"/>
    <s v="Laptop"/>
    <m/>
    <m/>
    <s v="CANELLA, SOCIEDAD ANONIMA"/>
    <s v="MOTUL"/>
    <n v="4373"/>
    <n v="35"/>
    <s v="Mesa Ayuda Infraestructura"/>
    <n v="247632"/>
    <s v="JENIFER PAOLA MORALES MAYORGA"/>
    <n v="2766"/>
    <s v="CANELLA"/>
    <n v="2"/>
    <n v="20"/>
    <m/>
    <m/>
    <n v="1"/>
    <s v="CANELLA"/>
    <n v="2766"/>
    <s v="José Julajuj Chumil"/>
    <m/>
    <s v="normal"/>
    <s v="En proceso"/>
    <s v="Problemas de VPN -Paola Morales-"/>
    <n v="72"/>
    <b v="1"/>
    <n v="27759"/>
    <n v="2"/>
    <s v="05347@general.tbd"/>
    <n v="27759"/>
    <n v="0"/>
    <n v="2766"/>
    <n v="8777"/>
    <s v="Mesa Ayuda Infraestructura"/>
    <n v="0.05"/>
    <m/>
  </r>
  <r>
    <n v="4468"/>
    <n v="1"/>
    <d v="1899-12-30T01:00:00"/>
    <s v="50-Finalizado"/>
    <d v="1900-01-01T00:00:00"/>
    <x v="109"/>
    <d v="2024-08-19T00:00:00"/>
    <d v="2024-08-19T16:25:40"/>
    <x v="59"/>
    <n v="6.8247222222222197"/>
    <d v="1899-12-30T06:49:29"/>
    <d v="2024-08-19T00:00:00"/>
    <d v="2024-08-19T16:25:40"/>
    <m/>
    <d v="1899-12-31T00:00:00"/>
    <d v="2024-08-19T23:15:09"/>
    <m/>
    <d v="1899-12-31T00:00:00"/>
    <d v="2024-08-20T19:15:38"/>
    <d v="2024-08-20T19:15:38"/>
    <m/>
    <m/>
    <d v="2024-08-19T00:00:00"/>
    <s v="/"/>
    <x v="2"/>
    <s v="Generación de reportes"/>
    <x v="1"/>
    <s v="STOD"/>
    <m/>
    <m/>
    <s v="CANELLA, SOCIEDAD ANONIMA"/>
    <s v="YAMAHA VENTAS"/>
    <n v="4370"/>
    <n v="35"/>
    <s v="Mesa Ayuda Infraestructura"/>
    <n v="246983"/>
    <s v="PAOLA GABRIELA GONZALEZ PALENCIA"/>
    <n v="446"/>
    <s v="CANELLA"/>
    <n v="9"/>
    <n v="8"/>
    <m/>
    <m/>
    <n v="1"/>
    <s v="CANELLA"/>
    <n v="446"/>
    <s v="Ester Daniela Lopez Cruz"/>
    <m/>
    <s v="normal"/>
    <s v="En proceso"/>
    <s v="Reporte de Mercadeo y Publicidad"/>
    <n v="72"/>
    <b v="1"/>
    <s v="[27912, 27882, 27864, 27856, 27855]"/>
    <m/>
    <s v="06700@general.tbd"/>
    <n v="27912"/>
    <n v="0"/>
    <n v="446"/>
    <n v="8777"/>
    <s v="Mesa Ayuda Infraestructura"/>
    <n v="6.8247222222222197"/>
    <m/>
  </r>
  <r>
    <n v="4468"/>
    <n v="1"/>
    <d v="1899-12-30T01:00:00"/>
    <s v="50-Finalizado"/>
    <d v="1900-01-01T00:00:00"/>
    <x v="109"/>
    <d v="2024-08-19T00:00:00"/>
    <d v="2024-08-19T16:25:40"/>
    <x v="59"/>
    <n v="6.8247222222222197"/>
    <d v="1899-12-30T06:49:29"/>
    <d v="2024-08-19T00:00:00"/>
    <d v="2024-08-19T16:25:40"/>
    <m/>
    <d v="1899-12-31T00:00:00"/>
    <d v="2024-08-19T23:15:09"/>
    <m/>
    <d v="1899-12-31T00:00:00"/>
    <d v="2024-08-20T19:15:38"/>
    <d v="2024-08-20T19:15:38"/>
    <m/>
    <m/>
    <d v="2024-08-19T00:00:00"/>
    <s v="/"/>
    <x v="2"/>
    <s v="Generación de reportes"/>
    <x v="1"/>
    <s v="STOD"/>
    <m/>
    <m/>
    <s v="CANELLA, SOCIEDAD ANONIMA"/>
    <s v="YAMAHA VENTAS"/>
    <n v="4370"/>
    <n v="35"/>
    <s v="Mesa Ayuda Infraestructura"/>
    <n v="246983"/>
    <s v="PAOLA GABRIELA GONZALEZ PALENCIA"/>
    <n v="446"/>
    <s v="CANELLA"/>
    <n v="9"/>
    <n v="8"/>
    <m/>
    <m/>
    <n v="1"/>
    <s v="CANELLA"/>
    <n v="446"/>
    <s v="Ester Daniela Lopez Cruz"/>
    <m/>
    <s v="normal"/>
    <s v="En proceso"/>
    <s v="Reporte de Mercadeo y Publicidad"/>
    <n v="72"/>
    <b v="1"/>
    <s v="[27912, 27882, 27864, 27856, 27855]"/>
    <m/>
    <s v="06700@general.tbd"/>
    <n v="27882"/>
    <n v="0"/>
    <n v="446"/>
    <n v="8777"/>
    <s v="Mesa Ayuda Infraestructura"/>
    <n v="6.8247222222222197"/>
    <m/>
  </r>
  <r>
    <n v="4468"/>
    <n v="0.5"/>
    <d v="1899-12-30T00:30:00"/>
    <s v="50-Finalizado"/>
    <d v="1900-01-01T00:00:00"/>
    <x v="109"/>
    <d v="2024-08-19T00:00:00"/>
    <d v="2024-08-19T16:25:40"/>
    <x v="59"/>
    <n v="6.8247222222222197"/>
    <d v="1899-12-30T06:49:29"/>
    <d v="2024-08-19T00:00:00"/>
    <d v="2024-08-19T16:25:40"/>
    <m/>
    <d v="1899-12-31T00:00:00"/>
    <d v="2024-08-19T23:15:09"/>
    <m/>
    <d v="1899-12-31T00:00:00"/>
    <d v="2024-08-20T19:15:38"/>
    <d v="2024-08-20T19:15:38"/>
    <m/>
    <m/>
    <d v="2024-08-19T00:00:00"/>
    <s v="/"/>
    <x v="2"/>
    <s v="Generación de reportes"/>
    <x v="1"/>
    <s v="STOD"/>
    <m/>
    <m/>
    <s v="CANELLA, SOCIEDAD ANONIMA"/>
    <s v="YAMAHA VENTAS"/>
    <n v="4370"/>
    <n v="35"/>
    <s v="Mesa Ayuda Infraestructura"/>
    <n v="246983"/>
    <s v="PAOLA GABRIELA GONZALEZ PALENCIA"/>
    <n v="446"/>
    <s v="CANELLA"/>
    <n v="9"/>
    <n v="8"/>
    <m/>
    <m/>
    <n v="1"/>
    <s v="CANELLA"/>
    <n v="446"/>
    <s v="Ester Daniela Lopez Cruz"/>
    <m/>
    <s v="normal"/>
    <s v="En proceso"/>
    <s v="Reporte de Mercadeo y Publicidad"/>
    <n v="72"/>
    <b v="1"/>
    <s v="[27912, 27882, 27864, 27856, 27855]"/>
    <m/>
    <s v="06700@general.tbd"/>
    <n v="27864"/>
    <n v="0"/>
    <n v="446"/>
    <n v="8777"/>
    <s v="Mesa Ayuda Infraestructura"/>
    <n v="6.8247222222222197"/>
    <m/>
  </r>
  <r>
    <n v="4468"/>
    <n v="1.25"/>
    <d v="1899-12-30T01:15:00"/>
    <s v="50-Finalizado"/>
    <d v="1900-01-01T00:00:00"/>
    <x v="109"/>
    <d v="2024-08-19T00:00:00"/>
    <d v="2024-08-19T16:25:40"/>
    <x v="59"/>
    <n v="6.8247222222222197"/>
    <d v="1899-12-30T06:49:29"/>
    <d v="2024-08-19T00:00:00"/>
    <d v="2024-08-19T16:25:40"/>
    <m/>
    <d v="1899-12-31T00:00:00"/>
    <d v="2024-08-19T23:15:09"/>
    <m/>
    <d v="1899-12-31T00:00:00"/>
    <d v="2024-08-20T19:15:38"/>
    <d v="2024-08-20T19:15:38"/>
    <m/>
    <m/>
    <d v="2024-08-19T00:00:00"/>
    <s v="/"/>
    <x v="2"/>
    <s v="Generación de reportes"/>
    <x v="1"/>
    <s v="STOD"/>
    <m/>
    <m/>
    <s v="CANELLA, SOCIEDAD ANONIMA"/>
    <s v="YAMAHA VENTAS"/>
    <n v="4370"/>
    <n v="35"/>
    <s v="Mesa Ayuda Infraestructura"/>
    <n v="246983"/>
    <s v="PAOLA GABRIELA GONZALEZ PALENCIA"/>
    <n v="446"/>
    <s v="CANELLA"/>
    <n v="9"/>
    <n v="8"/>
    <m/>
    <m/>
    <n v="1"/>
    <s v="CANELLA"/>
    <n v="446"/>
    <s v="Ester Daniela Lopez Cruz"/>
    <m/>
    <s v="normal"/>
    <s v="En proceso"/>
    <s v="Reporte de Mercadeo y Publicidad"/>
    <n v="72"/>
    <b v="1"/>
    <s v="[27912, 27882, 27864, 27856, 27855]"/>
    <m/>
    <s v="06700@general.tbd"/>
    <n v="27856"/>
    <n v="0"/>
    <n v="446"/>
    <n v="8777"/>
    <s v="Mesa Ayuda Infraestructura"/>
    <n v="6.8247222222222197"/>
    <m/>
  </r>
  <r>
    <n v="4468"/>
    <n v="0.75"/>
    <d v="1899-12-30T00:45:00"/>
    <s v="50-Finalizado"/>
    <d v="1900-01-01T00:00:00"/>
    <x v="109"/>
    <d v="2024-08-19T00:00:00"/>
    <d v="2024-08-19T16:25:40"/>
    <x v="59"/>
    <n v="6.8247222222222197"/>
    <d v="1899-12-30T06:49:29"/>
    <d v="2024-08-19T00:00:00"/>
    <d v="2024-08-19T16:25:40"/>
    <m/>
    <d v="1899-12-31T00:00:00"/>
    <d v="2024-08-19T23:15:09"/>
    <m/>
    <d v="1899-12-31T00:00:00"/>
    <d v="2024-08-20T19:15:38"/>
    <d v="2024-08-20T19:15:38"/>
    <m/>
    <m/>
    <d v="2024-08-19T00:00:00"/>
    <s v="/"/>
    <x v="2"/>
    <s v="Generación de reportes"/>
    <x v="1"/>
    <s v="STOD"/>
    <m/>
    <m/>
    <s v="CANELLA, SOCIEDAD ANONIMA"/>
    <s v="YAMAHA VENTAS"/>
    <n v="4370"/>
    <n v="35"/>
    <s v="Mesa Ayuda Infraestructura"/>
    <n v="246983"/>
    <s v="PAOLA GABRIELA GONZALEZ PALENCIA"/>
    <n v="446"/>
    <s v="CANELLA"/>
    <n v="9"/>
    <n v="8"/>
    <m/>
    <m/>
    <n v="1"/>
    <s v="CANELLA"/>
    <n v="446"/>
    <s v="Ester Daniela Lopez Cruz"/>
    <m/>
    <s v="normal"/>
    <s v="En proceso"/>
    <s v="Reporte de Mercadeo y Publicidad"/>
    <n v="72"/>
    <b v="1"/>
    <s v="[27912, 27882, 27864, 27856, 27855]"/>
    <m/>
    <s v="06700@general.tbd"/>
    <n v="27855"/>
    <n v="0"/>
    <n v="446"/>
    <n v="8777"/>
    <s v="Mesa Ayuda Infraestructura"/>
    <n v="6.8247222222222197"/>
    <m/>
  </r>
  <r>
    <n v="4457"/>
    <n v="8.3333333333333301E-2"/>
    <d v="1899-12-30T00:05:00"/>
    <s v="40-Esperando cliente"/>
    <d v="1900-01-01T00:00:00"/>
    <x v="110"/>
    <d v="2024-08-19T00:00:00"/>
    <d v="2024-08-19T15:54:43"/>
    <x v="4"/>
    <n v="0"/>
    <d v="1899-12-30T00:00:00"/>
    <d v="2024-08-19T00:00:00"/>
    <d v="2024-08-19T15:54:43"/>
    <m/>
    <d v="1899-12-31T00:00:00"/>
    <d v="1899-12-31T00:00:00"/>
    <m/>
    <d v="1899-12-31T00:00:00"/>
    <d v="2024-08-20T19:15:38"/>
    <d v="2024-08-20T19:15:38"/>
    <m/>
    <s v="Se procede a realizar orden de compra por 15 pares de baterías para uso del departamento de IT. "/>
    <d v="2024-08-19T00:00:00"/>
    <s v="Orden de compra por 15 baterias"/>
    <x v="3"/>
    <s v="Orden de compra"/>
    <x v="2"/>
    <s v="(N/A) Sin aplicación software"/>
    <s v="(N/A) Sin módulo"/>
    <m/>
    <s v="No Partner"/>
    <s v="No Partner"/>
    <n v="4359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realizar orden de compra por 15 pares de baterías para uso del departamento de IT. &lt;/p&gt;"/>
    <s v="normal"/>
    <s v="En proceso"/>
    <s v="Compra de Baterías AA para departamento"/>
    <n v="71"/>
    <m/>
    <s v="[27741]"/>
    <m/>
    <s v="No Partner"/>
    <n v="27741"/>
    <n v="0"/>
    <n v="299"/>
    <n v="8777"/>
    <s v="Mesa Ayuda Infraestructura"/>
    <n v="0"/>
    <m/>
  </r>
  <r>
    <n v="4455"/>
    <n v="0.2"/>
    <d v="1899-12-30T00:12:00"/>
    <s v="50-Finalizado"/>
    <d v="1900-01-01T00:00:00"/>
    <x v="111"/>
    <d v="2024-08-19T00:00:00"/>
    <d v="2024-08-19T15:49:53"/>
    <x v="60"/>
    <n v="6.4444444444444401E-2"/>
    <d v="1899-12-30T00:03:52"/>
    <d v="2024-08-19T00:00:00"/>
    <d v="2024-08-19T15:49:53"/>
    <m/>
    <d v="1899-12-31T00:00:00"/>
    <d v="2024-08-19T15:53:45"/>
    <m/>
    <d v="1899-12-31T00:00:00"/>
    <d v="2024-08-20T19:15:38"/>
    <d v="2024-08-20T19:15:38"/>
    <s v="Resuelto"/>
    <m/>
    <d v="2024-08-19T00:00:00"/>
    <s v="Se configuro VPN y solicito hacer prueba para ingresar"/>
    <x v="6"/>
    <s v="Configuracion Software"/>
    <x v="0"/>
    <s v="Laptop"/>
    <m/>
    <m/>
    <m/>
    <m/>
    <n v="4357"/>
    <n v="35"/>
    <s v="Mesa Ayuda Infraestructura"/>
    <n v="254973"/>
    <s v="JOSE DAVID FLORES BARRIOS"/>
    <n v="2766"/>
    <s v="CANELLA"/>
    <n v="2"/>
    <n v="20"/>
    <m/>
    <m/>
    <n v="1"/>
    <s v="CANELLA"/>
    <n v="2766"/>
    <s v="José Julajuj Chumil"/>
    <m/>
    <s v="normal"/>
    <s v="En proceso"/>
    <s v="Configuración de VPN -Jose Flores-"/>
    <n v="72"/>
    <b v="1"/>
    <n v="27739"/>
    <n v="2"/>
    <s v="No Extension.  partner_id: 254973 -- user_id res.users(2872,)"/>
    <n v="27740"/>
    <n v="0"/>
    <n v="2766"/>
    <n v="8777"/>
    <s v="Mesa Ayuda Infraestructura"/>
    <n v="6.4444444444444401E-2"/>
    <m/>
  </r>
  <r>
    <n v="4455"/>
    <n v="3.3333333333333298E-2"/>
    <d v="1899-12-30T00:02:00"/>
    <s v="50-Finalizado"/>
    <d v="1900-01-01T00:00:00"/>
    <x v="111"/>
    <d v="2024-08-19T00:00:00"/>
    <d v="2024-08-19T15:49:53"/>
    <x v="60"/>
    <n v="6.4444444444444401E-2"/>
    <d v="1899-12-30T00:03:52"/>
    <d v="2024-08-19T00:00:00"/>
    <d v="2024-08-19T15:49:53"/>
    <m/>
    <d v="1899-12-31T00:00:00"/>
    <d v="2024-08-19T15:53:45"/>
    <m/>
    <d v="1899-12-31T00:00:00"/>
    <d v="2024-08-20T19:15:38"/>
    <d v="2024-08-20T19:15:38"/>
    <s v="Resuelto"/>
    <m/>
    <d v="2024-08-19T00:00:00"/>
    <s v="Se comunico con usuario para ver lo solicitado"/>
    <x v="6"/>
    <s v="Configuracion Software"/>
    <x v="0"/>
    <s v="Laptop"/>
    <m/>
    <m/>
    <m/>
    <m/>
    <n v="4357"/>
    <n v="35"/>
    <s v="Mesa Ayuda Infraestructura"/>
    <n v="254973"/>
    <s v="JOSE DAVID FLORES BARRIOS"/>
    <n v="2766"/>
    <s v="CANELLA"/>
    <n v="2"/>
    <n v="20"/>
    <m/>
    <m/>
    <n v="1"/>
    <s v="CANELLA"/>
    <n v="2766"/>
    <s v="José Julajuj Chumil"/>
    <m/>
    <s v="normal"/>
    <s v="En proceso"/>
    <s v="Configuración de VPN -Jose Flores-"/>
    <n v="72"/>
    <b v="1"/>
    <n v="27739"/>
    <n v="2"/>
    <s v="No Extension.  partner_id: 254973 -- user_id res.users(2872,)"/>
    <n v="27739"/>
    <n v="0"/>
    <n v="2766"/>
    <n v="8777"/>
    <s v="Mesa Ayuda Infraestructura"/>
    <n v="6.4444444444444401E-2"/>
    <m/>
  </r>
  <r>
    <n v="4451"/>
    <n v="8.3333333333333301E-2"/>
    <d v="1899-12-30T00:05:00"/>
    <s v="50-Finalizado"/>
    <d v="1900-01-01T00:00:00"/>
    <x v="112"/>
    <d v="2024-08-19T00:00:00"/>
    <d v="2024-08-19T15:46:38"/>
    <x v="61"/>
    <n v="2.5555555555555502E-2"/>
    <d v="1899-12-30T00:01:32"/>
    <d v="2024-08-19T00:00:00"/>
    <d v="2024-08-19T15:46:38"/>
    <m/>
    <d v="1899-12-31T00:00:00"/>
    <d v="2024-08-19T15:48:10"/>
    <m/>
    <d v="1899-12-31T00:00:00"/>
    <d v="2024-08-20T19:15:38"/>
    <d v="2024-08-20T19:15:38"/>
    <m/>
    <m/>
    <d v="2024-08-19T00:00:00"/>
    <s v="Se indico la nueva contraseña a usuario para ingreso a correo"/>
    <x v="6"/>
    <s v="Configuracion Software"/>
    <x v="0"/>
    <s v="Laptop"/>
    <m/>
    <m/>
    <s v="CANELLA, SOCIEDAD ANONIMA"/>
    <s v="GERENCIA DE DESARROLLO/SERVICIOS TI CORPORATIVOS"/>
    <n v="4353"/>
    <n v="35"/>
    <s v="Mesa Ayuda Infraestructura"/>
    <n v="246945"/>
    <s v="JOSE DANIEL CARIAS JUARROZ"/>
    <n v="2766"/>
    <s v="CANELLA"/>
    <n v="2"/>
    <n v="20"/>
    <m/>
    <m/>
    <n v="1"/>
    <s v="CANELLA"/>
    <n v="2766"/>
    <s v="José Julajuj Chumil"/>
    <m/>
    <s v="normal"/>
    <s v="En proceso"/>
    <s v="Reseteo de contraseña -Daniel Carias-"/>
    <n v="72"/>
    <b v="1"/>
    <n v="27732"/>
    <m/>
    <s v="06742@general.tbd"/>
    <n v="27735"/>
    <n v="0"/>
    <n v="2766"/>
    <n v="8777"/>
    <s v="Mesa Ayuda Infraestructura"/>
    <n v="2.5555555555555502E-2"/>
    <m/>
  </r>
  <r>
    <n v="4451"/>
    <n v="3.3333333333333298E-2"/>
    <d v="1899-12-30T00:02:00"/>
    <s v="50-Finalizado"/>
    <d v="1900-01-01T00:00:00"/>
    <x v="112"/>
    <d v="2024-08-19T00:00:00"/>
    <d v="2024-08-19T15:46:38"/>
    <x v="61"/>
    <n v="2.5555555555555502E-2"/>
    <d v="1899-12-30T00:01:32"/>
    <d v="2024-08-19T00:00:00"/>
    <d v="2024-08-19T15:46:38"/>
    <m/>
    <d v="1899-12-31T00:00:00"/>
    <d v="2024-08-19T15:48:10"/>
    <m/>
    <d v="1899-12-31T00:00:00"/>
    <d v="2024-08-20T19:15:38"/>
    <d v="2024-08-20T19:15:38"/>
    <m/>
    <m/>
    <d v="2024-08-19T00:00:00"/>
    <s v="Se comunico con el usuarios para verificar el problema"/>
    <x v="6"/>
    <s v="Configuracion Software"/>
    <x v="0"/>
    <s v="Laptop"/>
    <m/>
    <m/>
    <s v="CANELLA, SOCIEDAD ANONIMA"/>
    <s v="GERENCIA DE DESARROLLO/SERVICIOS TI CORPORATIVOS"/>
    <n v="4353"/>
    <n v="35"/>
    <s v="Mesa Ayuda Infraestructura"/>
    <n v="246945"/>
    <s v="JOSE DANIEL CARIAS JUARROZ"/>
    <n v="2766"/>
    <s v="CANELLA"/>
    <n v="2"/>
    <n v="20"/>
    <m/>
    <m/>
    <n v="1"/>
    <s v="CANELLA"/>
    <n v="2766"/>
    <s v="José Julajuj Chumil"/>
    <m/>
    <s v="normal"/>
    <s v="En proceso"/>
    <s v="Reseteo de contraseña -Daniel Carias-"/>
    <n v="72"/>
    <b v="1"/>
    <n v="27732"/>
    <m/>
    <s v="06742@general.tbd"/>
    <n v="27732"/>
    <n v="0"/>
    <n v="2766"/>
    <n v="8777"/>
    <s v="Mesa Ayuda Infraestructura"/>
    <n v="2.5555555555555502E-2"/>
    <m/>
  </r>
  <r>
    <n v="4441"/>
    <n v="0.133333333333333"/>
    <d v="1899-12-30T00:08:00"/>
    <s v="50-Finalizado"/>
    <d v="1900-01-01T00:00:00"/>
    <x v="113"/>
    <d v="2024-08-19T00:00:00"/>
    <d v="2024-08-19T15:08:44"/>
    <x v="62"/>
    <n v="0.52305555555555505"/>
    <d v="1899-12-30T00:31:23"/>
    <d v="2024-08-19T00:00:00"/>
    <d v="2024-08-19T15:08:44"/>
    <m/>
    <d v="1899-12-31T00:00:00"/>
    <d v="2024-08-19T15:40:07"/>
    <m/>
    <d v="1899-12-31T00:00:00"/>
    <d v="2024-08-20T19:15:38"/>
    <d v="2024-08-20T19:15:38"/>
    <s v="Resuelto"/>
    <m/>
    <d v="2024-08-19T00:00:00"/>
    <s v="Se reviso que tenia el cable de red mal puesto ya que toda la configuración estaba correcta"/>
    <x v="6"/>
    <s v="Configuracion Hardware"/>
    <x v="2"/>
    <s v="Laptop"/>
    <m/>
    <m/>
    <m/>
    <m/>
    <n v="4343"/>
    <n v="35"/>
    <s v="Mesa Ayuda Infraestructura"/>
    <n v="254973"/>
    <s v="JOSE DAVID FLORES BARRIOS"/>
    <n v="2766"/>
    <s v="CANELLA"/>
    <n v="1"/>
    <n v="20"/>
    <m/>
    <m/>
    <n v="1"/>
    <s v="CANELLA"/>
    <n v="2766"/>
    <s v="José Julajuj Chumil"/>
    <m/>
    <s v="normal"/>
    <s v="En proceso"/>
    <s v="Soporte a usuario por mala conexión de cable de red"/>
    <n v="72"/>
    <b v="1"/>
    <n v="27713"/>
    <n v="2"/>
    <s v="No Extension.  partner_id: 254973 -- user_id res.users(2872,)"/>
    <n v="27714"/>
    <n v="0"/>
    <n v="2766"/>
    <n v="8777"/>
    <s v="Mesa Ayuda Infraestructura"/>
    <n v="0.52305555555555505"/>
    <m/>
  </r>
  <r>
    <n v="4441"/>
    <n v="3.3333333333333298E-2"/>
    <d v="1899-12-30T00:02:00"/>
    <s v="50-Finalizado"/>
    <d v="1900-01-01T00:00:00"/>
    <x v="113"/>
    <d v="2024-08-19T00:00:00"/>
    <d v="2024-08-19T15:08:44"/>
    <x v="62"/>
    <n v="0.52305555555555505"/>
    <d v="1899-12-30T00:31:23"/>
    <d v="2024-08-19T00:00:00"/>
    <d v="2024-08-19T15:08:44"/>
    <m/>
    <d v="1899-12-31T00:00:00"/>
    <d v="2024-08-19T15:40:07"/>
    <m/>
    <d v="1899-12-31T00:00:00"/>
    <d v="2024-08-20T19:15:38"/>
    <d v="2024-08-20T19:15:38"/>
    <s v="Resuelto"/>
    <m/>
    <d v="2024-08-19T00:00:00"/>
    <s v="Se comunico con el usuario para verificar el problema"/>
    <x v="6"/>
    <s v="Configuracion Hardware"/>
    <x v="2"/>
    <s v="Laptop"/>
    <m/>
    <m/>
    <m/>
    <m/>
    <n v="4343"/>
    <n v="35"/>
    <s v="Mesa Ayuda Infraestructura"/>
    <n v="254973"/>
    <s v="JOSE DAVID FLORES BARRIOS"/>
    <n v="2766"/>
    <s v="CANELLA"/>
    <n v="1"/>
    <n v="20"/>
    <m/>
    <m/>
    <n v="1"/>
    <s v="CANELLA"/>
    <n v="2766"/>
    <s v="José Julajuj Chumil"/>
    <m/>
    <s v="normal"/>
    <s v="En proceso"/>
    <s v="Soporte a usuario por mala conexión de cable de red"/>
    <n v="72"/>
    <b v="1"/>
    <n v="27713"/>
    <n v="2"/>
    <s v="No Extension.  partner_id: 254973 -- user_id res.users(2872,)"/>
    <n v="27713"/>
    <n v="0"/>
    <n v="2766"/>
    <n v="8777"/>
    <s v="Mesa Ayuda Infraestructura"/>
    <n v="0.52305555555555505"/>
    <m/>
  </r>
  <r>
    <n v="4438"/>
    <n v="0.16666666666666599"/>
    <d v="1899-12-30T00:10:00"/>
    <s v="50-Finalizado"/>
    <d v="1900-01-01T00:00:00"/>
    <x v="114"/>
    <d v="2024-08-19T00:00:00"/>
    <d v="2024-08-19T15:04:20"/>
    <x v="63"/>
    <n v="0.58916666666666595"/>
    <d v="1899-12-30T00:35:21"/>
    <d v="2024-08-19T00:00:00"/>
    <d v="2024-08-19T15:04:20"/>
    <m/>
    <d v="1899-12-31T00:00:00"/>
    <d v="2024-08-19T15:39:41"/>
    <m/>
    <d v="1899-12-31T00:00:00"/>
    <d v="2024-08-20T19:15:38"/>
    <d v="2024-08-20T19:15:38"/>
    <s v="Resuelto"/>
    <m/>
    <d v="2024-08-19T00:00:00"/>
    <s v="Se configuro IP a usuario"/>
    <x v="6"/>
    <s v="Configuracion Software"/>
    <x v="2"/>
    <s v="Laptop"/>
    <m/>
    <m/>
    <s v="CANELLA, SOCIEDAD ANONIMA"/>
    <s v="COMPRAS/DIVISION AUTOMOTRIZ"/>
    <n v="4340"/>
    <n v="35"/>
    <s v="Mesa Ayuda Infraestructura"/>
    <n v="247255"/>
    <s v="JAVIER MARCOTULIO BRAN ASTURIAS"/>
    <n v="2766"/>
    <s v="CANELLA"/>
    <n v="2"/>
    <n v="20"/>
    <m/>
    <m/>
    <n v="1"/>
    <s v="CANELLA"/>
    <n v="2766"/>
    <s v="José Julajuj Chumil"/>
    <m/>
    <s v="normal"/>
    <s v="En proceso"/>
    <s v="Cambio configuración de IP -Javier Bran-"/>
    <n v="72"/>
    <b v="1"/>
    <n v="27708"/>
    <n v="2"/>
    <s v="06303@general.tbd"/>
    <n v="27709"/>
    <n v="0"/>
    <n v="2766"/>
    <n v="8777"/>
    <s v="Mesa Ayuda Infraestructura"/>
    <n v="0.58916666666666595"/>
    <m/>
  </r>
  <r>
    <n v="4438"/>
    <n v="3.3333333333333298E-2"/>
    <d v="1899-12-30T00:02:00"/>
    <s v="50-Finalizado"/>
    <d v="1900-01-01T00:00:00"/>
    <x v="114"/>
    <d v="2024-08-19T00:00:00"/>
    <d v="2024-08-19T15:04:20"/>
    <x v="63"/>
    <n v="0.58916666666666595"/>
    <d v="1899-12-30T00:35:21"/>
    <d v="2024-08-19T00:00:00"/>
    <d v="2024-08-19T15:04:20"/>
    <m/>
    <d v="1899-12-31T00:00:00"/>
    <d v="2024-08-19T15:39:41"/>
    <m/>
    <d v="1899-12-31T00:00:00"/>
    <d v="2024-08-20T19:15:38"/>
    <d v="2024-08-20T19:15:38"/>
    <s v="Resuelto"/>
    <m/>
    <d v="2024-08-19T00:00:00"/>
    <s v="se comunico con el usuario para verificación del problema"/>
    <x v="6"/>
    <s v="Configuracion Software"/>
    <x v="2"/>
    <s v="Laptop"/>
    <m/>
    <m/>
    <s v="CANELLA, SOCIEDAD ANONIMA"/>
    <s v="COMPRAS/DIVISION AUTOMOTRIZ"/>
    <n v="4340"/>
    <n v="35"/>
    <s v="Mesa Ayuda Infraestructura"/>
    <n v="247255"/>
    <s v="JAVIER MARCOTULIO BRAN ASTURIAS"/>
    <n v="2766"/>
    <s v="CANELLA"/>
    <n v="2"/>
    <n v="20"/>
    <m/>
    <m/>
    <n v="1"/>
    <s v="CANELLA"/>
    <n v="2766"/>
    <s v="José Julajuj Chumil"/>
    <m/>
    <s v="normal"/>
    <s v="En proceso"/>
    <s v="Cambio configuración de IP -Javier Bran-"/>
    <n v="72"/>
    <b v="1"/>
    <n v="27708"/>
    <n v="2"/>
    <s v="06303@general.tbd"/>
    <n v="27708"/>
    <n v="0"/>
    <n v="2766"/>
    <n v="8777"/>
    <s v="Mesa Ayuda Infraestructura"/>
    <n v="0.58916666666666595"/>
    <m/>
  </r>
  <r>
    <n v="4437"/>
    <n v="0.28333333333333299"/>
    <d v="1899-12-30T00:17:00"/>
    <s v="50-Finalizado"/>
    <d v="1900-01-01T00:00:00"/>
    <x v="115"/>
    <d v="2024-08-19T00:00:00"/>
    <d v="2024-08-19T15:02:01"/>
    <x v="64"/>
    <n v="0.29027777777777702"/>
    <d v="1899-12-30T00:17:25"/>
    <d v="2024-08-19T00:00:00"/>
    <d v="2024-08-19T15:02:01"/>
    <m/>
    <d v="1899-12-31T00:00:00"/>
    <d v="2024-08-19T15:19:26"/>
    <m/>
    <d v="1899-12-31T00:00:00"/>
    <d v="2024-08-20T19:15:38"/>
    <d v="2024-08-20T19:15:38"/>
    <m/>
    <m/>
    <d v="2024-08-19T00:00:00"/>
    <s v="Reiniciar servicios"/>
    <x v="2"/>
    <m/>
    <x v="1"/>
    <s v="STOD"/>
    <m/>
    <m/>
    <s v="VEHICULOS ECONOMICOS, SOCIEDAD ANONIMA"/>
    <s v="CONTABILIDAD VEHICULOS ECONOMICOS"/>
    <n v="4339"/>
    <n v="35"/>
    <s v="Mesa Ayuda Infraestructura"/>
    <n v="247369"/>
    <s v="CLARA LUZ ORDOÑEZ"/>
    <n v="446"/>
    <s v="CANELLA"/>
    <m/>
    <n v="8"/>
    <m/>
    <m/>
    <n v="1"/>
    <s v="CANELLA"/>
    <n v="446"/>
    <s v="Ester Daniela Lopez Cruz"/>
    <m/>
    <s v="normal"/>
    <s v="En proceso"/>
    <s v="Recibos de caja no procesados VESA"/>
    <n v="72"/>
    <b v="1"/>
    <s v="[27720]"/>
    <m/>
    <s v="06076@general.tbd"/>
    <n v="27720"/>
    <n v="0"/>
    <n v="446"/>
    <n v="8777"/>
    <s v="Mesa Ayuda Infraestructura"/>
    <n v="0.29027777777777702"/>
    <m/>
  </r>
  <r>
    <n v="4423"/>
    <n v="0.25"/>
    <d v="1899-12-30T00:15:00"/>
    <s v="50-Finalizado"/>
    <d v="1900-01-01T00:00:00"/>
    <x v="116"/>
    <d v="2024-08-17T00:00:00"/>
    <d v="2024-08-17T17:04:51"/>
    <x v="65"/>
    <n v="4.0277777777777697E-2"/>
    <d v="1899-12-30T00:02:25"/>
    <d v="2024-08-17T00:00:00"/>
    <d v="2024-08-17T17:04:51"/>
    <m/>
    <d v="1899-12-31T00:00:00"/>
    <d v="2024-08-17T17:07:16"/>
    <m/>
    <d v="1899-12-31T00:00:00"/>
    <d v="2024-08-20T19:15:38"/>
    <d v="2024-08-20T19:15:38"/>
    <s v="Resuelto"/>
    <m/>
    <d v="2024-08-17T00:00:00"/>
    <s v="Se dio soporte para verificar la configuración de impresora"/>
    <x v="6"/>
    <s v="Configuracion Hardware"/>
    <x v="2"/>
    <s v="Impresora"/>
    <m/>
    <m/>
    <s v="CANELLA, SOCIEDAD ANONIMA"/>
    <s v="LOGISTICA/DIVISION AUTOMOTRIZ"/>
    <n v="4325"/>
    <n v="35"/>
    <s v="Mesa Ayuda Infraestructura"/>
    <n v="247064"/>
    <s v="CESAR AGUSTO ANONA RAJPOP"/>
    <n v="2766"/>
    <s v="CANELLA"/>
    <n v="1"/>
    <n v="10"/>
    <m/>
    <m/>
    <n v="1"/>
    <s v="CANELLA"/>
    <n v="2766"/>
    <s v="José Julajuj Chumil"/>
    <m/>
    <s v="normal"/>
    <s v="En proceso"/>
    <s v="Soporte configuración de impresora -Cesar Anona-"/>
    <n v="72"/>
    <b v="1"/>
    <n v="27632"/>
    <n v="2"/>
    <s v="06608@general.tbd"/>
    <n v="27633"/>
    <n v="0"/>
    <n v="2766"/>
    <n v="8777"/>
    <s v="Mesa Ayuda Infraestructura"/>
    <n v="4.0277777777777697E-2"/>
    <m/>
  </r>
  <r>
    <n v="4423"/>
    <n v="8.3333333333333301E-2"/>
    <d v="1899-12-30T00:05:00"/>
    <s v="50-Finalizado"/>
    <d v="1900-01-01T00:00:00"/>
    <x v="116"/>
    <d v="2024-08-17T00:00:00"/>
    <d v="2024-08-17T17:04:51"/>
    <x v="65"/>
    <n v="4.0277777777777697E-2"/>
    <d v="1899-12-30T00:02:25"/>
    <d v="2024-08-17T00:00:00"/>
    <d v="2024-08-17T17:04:51"/>
    <m/>
    <d v="1899-12-31T00:00:00"/>
    <d v="2024-08-17T17:07:16"/>
    <m/>
    <d v="1899-12-31T00:00:00"/>
    <d v="2024-08-20T19:15:38"/>
    <d v="2024-08-20T19:15:38"/>
    <s v="Resuelto"/>
    <m/>
    <d v="2024-08-17T00:00:00"/>
    <s v="Se comunico con el usuario para verificación del problema"/>
    <x v="6"/>
    <s v="Configuracion Hardware"/>
    <x v="2"/>
    <s v="Impresora"/>
    <m/>
    <m/>
    <s v="CANELLA, SOCIEDAD ANONIMA"/>
    <s v="LOGISTICA/DIVISION AUTOMOTRIZ"/>
    <n v="4325"/>
    <n v="35"/>
    <s v="Mesa Ayuda Infraestructura"/>
    <n v="247064"/>
    <s v="CESAR AGUSTO ANONA RAJPOP"/>
    <n v="2766"/>
    <s v="CANELLA"/>
    <n v="1"/>
    <n v="10"/>
    <m/>
    <m/>
    <n v="1"/>
    <s v="CANELLA"/>
    <n v="2766"/>
    <s v="José Julajuj Chumil"/>
    <m/>
    <s v="normal"/>
    <s v="En proceso"/>
    <s v="Soporte configuración de impresora -Cesar Anona-"/>
    <n v="72"/>
    <b v="1"/>
    <n v="27632"/>
    <n v="2"/>
    <s v="06608@general.tbd"/>
    <n v="27632"/>
    <n v="0"/>
    <n v="2766"/>
    <n v="8777"/>
    <s v="Mesa Ayuda Infraestructura"/>
    <n v="4.0277777777777697E-2"/>
    <m/>
  </r>
  <r>
    <n v="4420"/>
    <n v="0.25"/>
    <d v="1899-12-30T00:15:00"/>
    <s v="50-Finalizado"/>
    <d v="1900-01-01T00:00:00"/>
    <x v="117"/>
    <d v="2024-08-17T00:00:00"/>
    <d v="2024-08-17T15:28:55"/>
    <x v="66"/>
    <n v="0.17527777777777701"/>
    <d v="1899-12-30T00:10:31"/>
    <d v="2024-08-17T00:00:00"/>
    <d v="2024-08-17T15:28:55"/>
    <m/>
    <d v="1899-12-31T00:00:00"/>
    <d v="2024-08-17T15:39:26"/>
    <m/>
    <d v="1899-12-31T00:00:00"/>
    <d v="2024-08-20T19:15:38"/>
    <d v="2024-08-20T19:15:38"/>
    <m/>
    <m/>
    <d v="2024-08-17T00:00:00"/>
    <s v="Configuración de acceso remoto"/>
    <x v="6"/>
    <s v="Configuracion Software"/>
    <x v="2"/>
    <s v="Laptop"/>
    <m/>
    <m/>
    <m/>
    <m/>
    <n v="4322"/>
    <n v="35"/>
    <s v="Mesa Ayuda Infraestructura"/>
    <n v="254973"/>
    <s v="JOSE DAVID FLORES BARRIOS"/>
    <n v="2766"/>
    <s v="CANELLA"/>
    <n v="2"/>
    <n v="20"/>
    <m/>
    <m/>
    <n v="1"/>
    <s v="CANELLA"/>
    <n v="2766"/>
    <s v="José Julajuj Chumil"/>
    <m/>
    <s v="normal"/>
    <s v="En proceso"/>
    <s v="Configuración de IP y Configuración de SAP"/>
    <n v="72"/>
    <b v="1"/>
    <s v="[27628, 27627, 27626]"/>
    <m/>
    <s v="No Extension.  partner_id: 254973 -- user_id res.users(2872,)"/>
    <n v="27628"/>
    <n v="0"/>
    <n v="2766"/>
    <n v="8777"/>
    <s v="Mesa Ayuda Infraestructura"/>
    <n v="0.17527777777777701"/>
    <m/>
  </r>
  <r>
    <n v="4420"/>
    <n v="0.16666666666666599"/>
    <d v="1899-12-30T00:10:00"/>
    <s v="50-Finalizado"/>
    <d v="1900-01-01T00:00:00"/>
    <x v="117"/>
    <d v="2024-08-17T00:00:00"/>
    <d v="2024-08-17T15:28:55"/>
    <x v="66"/>
    <n v="0.17527777777777701"/>
    <d v="1899-12-30T00:10:31"/>
    <d v="2024-08-17T00:00:00"/>
    <d v="2024-08-17T15:28:55"/>
    <m/>
    <d v="1899-12-31T00:00:00"/>
    <d v="2024-08-17T15:39:26"/>
    <m/>
    <d v="1899-12-31T00:00:00"/>
    <d v="2024-08-20T19:15:38"/>
    <d v="2024-08-20T19:15:38"/>
    <m/>
    <m/>
    <d v="2024-08-17T00:00:00"/>
    <s v="Se configuro la IP"/>
    <x v="6"/>
    <s v="Configuracion Software"/>
    <x v="2"/>
    <s v="Laptop"/>
    <m/>
    <m/>
    <m/>
    <m/>
    <n v="4322"/>
    <n v="35"/>
    <s v="Mesa Ayuda Infraestructura"/>
    <n v="254973"/>
    <s v="JOSE DAVID FLORES BARRIOS"/>
    <n v="2766"/>
    <s v="CANELLA"/>
    <n v="2"/>
    <n v="20"/>
    <m/>
    <m/>
    <n v="1"/>
    <s v="CANELLA"/>
    <n v="2766"/>
    <s v="José Julajuj Chumil"/>
    <m/>
    <s v="normal"/>
    <s v="En proceso"/>
    <s v="Configuración de IP y Configuración de SAP"/>
    <n v="72"/>
    <b v="1"/>
    <s v="[27628, 27627, 27626]"/>
    <m/>
    <s v="No Extension.  partner_id: 254973 -- user_id res.users(2872,)"/>
    <n v="27627"/>
    <n v="0"/>
    <n v="2766"/>
    <n v="8777"/>
    <s v="Mesa Ayuda Infraestructura"/>
    <n v="0.17527777777777701"/>
    <m/>
  </r>
  <r>
    <n v="4420"/>
    <n v="3.3333333333333298E-2"/>
    <d v="1899-12-30T00:02:00"/>
    <s v="50-Finalizado"/>
    <d v="1900-01-01T00:00:00"/>
    <x v="117"/>
    <d v="2024-08-17T00:00:00"/>
    <d v="2024-08-17T15:28:55"/>
    <x v="66"/>
    <n v="0.17527777777777701"/>
    <d v="1899-12-30T00:10:31"/>
    <d v="2024-08-17T00:00:00"/>
    <d v="2024-08-17T15:28:55"/>
    <m/>
    <d v="1899-12-31T00:00:00"/>
    <d v="2024-08-17T15:39:26"/>
    <m/>
    <d v="1899-12-31T00:00:00"/>
    <d v="2024-08-20T19:15:38"/>
    <d v="2024-08-20T19:15:38"/>
    <m/>
    <m/>
    <d v="2024-08-17T00:00:00"/>
    <s v="Se comunico con el usuario para verificación del problema"/>
    <x v="6"/>
    <s v="Configuracion Software"/>
    <x v="2"/>
    <s v="Laptop"/>
    <m/>
    <m/>
    <m/>
    <m/>
    <n v="4322"/>
    <n v="35"/>
    <s v="Mesa Ayuda Infraestructura"/>
    <n v="254973"/>
    <s v="JOSE DAVID FLORES BARRIOS"/>
    <n v="2766"/>
    <s v="CANELLA"/>
    <n v="2"/>
    <n v="20"/>
    <m/>
    <m/>
    <n v="1"/>
    <s v="CANELLA"/>
    <n v="2766"/>
    <s v="José Julajuj Chumil"/>
    <m/>
    <s v="normal"/>
    <s v="En proceso"/>
    <s v="Configuración de IP y Configuración de SAP"/>
    <n v="72"/>
    <b v="1"/>
    <s v="[27628, 27627, 27626]"/>
    <m/>
    <s v="No Extension.  partner_id: 254973 -- user_id res.users(2872,)"/>
    <n v="27626"/>
    <n v="0"/>
    <n v="2766"/>
    <n v="8777"/>
    <s v="Mesa Ayuda Infraestructura"/>
    <n v="0.17527777777777701"/>
    <m/>
  </r>
  <r>
    <n v="4403"/>
    <n v="0.3"/>
    <d v="1899-12-30T00:18:00"/>
    <s v="50-Finalizado"/>
    <d v="1900-01-01T00:00:00"/>
    <x v="118"/>
    <d v="2024-08-16T00:00:00"/>
    <d v="2024-08-16T18:55:16"/>
    <x v="67"/>
    <n v="3.6227777777777699"/>
    <d v="1899-12-30T03:37:22"/>
    <d v="2024-08-16T00:00:00"/>
    <d v="2024-08-16T18:55:16"/>
    <m/>
    <d v="1899-12-31T00:00:00"/>
    <d v="2024-08-16T22:32:38"/>
    <m/>
    <d v="1899-12-31T00:00:00"/>
    <d v="2024-08-20T19:15:38"/>
    <d v="2024-08-20T19:15:38"/>
    <m/>
    <m/>
    <d v="2024-08-16T00:00:00"/>
    <s v="Se procede a realizar orden de compra por Servicios Maquinaria"/>
    <x v="3"/>
    <s v="Orden de compra"/>
    <x v="2"/>
    <s v="(N/A) Sin aplicación software"/>
    <m/>
    <m/>
    <s v="CANELLA, SOCIEDAD ANONIMA"/>
    <s v="INFORMATICA"/>
    <n v="4305"/>
    <n v="35"/>
    <s v="Mesa Ayuda Infraestructura"/>
    <n v="247841"/>
    <s v="WILLIAMS GIOVANNI GALVAN ESTRADA"/>
    <n v="299"/>
    <s v="CANELLA"/>
    <n v="6"/>
    <n v="6"/>
    <m/>
    <m/>
    <n v="1"/>
    <s v="CANELLA"/>
    <n v="299"/>
    <s v="Rosario Lic"/>
    <s v="&lt;p&gt;Se procede a realizar orden de compra por Servicios Maquinaria&lt;/p&gt;"/>
    <s v="normal"/>
    <s v="En proceso"/>
    <s v="OC - Marvin Vargas"/>
    <n v="72"/>
    <b v="1"/>
    <s v="[27363]"/>
    <m/>
    <s v="03677@general.tbd"/>
    <n v="27363"/>
    <n v="0"/>
    <n v="299"/>
    <n v="8777"/>
    <s v="Mesa Ayuda Infraestructura"/>
    <n v="3.6227777777777699"/>
    <m/>
  </r>
  <r>
    <n v="4402"/>
    <n v="0.53333333333333299"/>
    <d v="1899-12-30T00:32:00"/>
    <s v="50-Finalizado"/>
    <d v="1900-01-01T00:00:00"/>
    <x v="119"/>
    <d v="2024-08-16T00:00:00"/>
    <d v="2024-08-16T18:54:25"/>
    <x v="68"/>
    <n v="3.6372222222222201"/>
    <d v="1899-12-30T03:38:14"/>
    <d v="2024-08-16T00:00:00"/>
    <d v="2024-08-16T18:54:25"/>
    <m/>
    <d v="1899-12-31T00:00:00"/>
    <d v="2024-08-16T22:32:39"/>
    <m/>
    <d v="1899-12-31T00:00:00"/>
    <d v="2024-08-20T19:15:38"/>
    <d v="2024-08-20T19:15:38"/>
    <m/>
    <m/>
    <d v="2024-08-16T00:00:00"/>
    <s v="Se procede a la creación de orden de compra por Hrs Facturación paginas web"/>
    <x v="3"/>
    <s v="Orden de compra"/>
    <x v="2"/>
    <s v="(N/A) Sin aplicación software"/>
    <m/>
    <m/>
    <s v="CANELLA, SOCIEDAD ANONIMA"/>
    <s v="INFORMATICA"/>
    <n v="4304"/>
    <n v="35"/>
    <s v="Mesa Ayuda Infraestructura"/>
    <n v="247841"/>
    <s v="WILLIAMS GIOVANNI GALVAN ESTRADA"/>
    <n v="299"/>
    <s v="CANELLA"/>
    <n v="6"/>
    <n v="6"/>
    <m/>
    <m/>
    <n v="1"/>
    <s v="CANELLA"/>
    <n v="299"/>
    <s v="Rosario Lic"/>
    <s v="&lt;p&gt;Se procede a la creación de orden de compra por Hrs Facturación paginas web&lt;/p&gt;"/>
    <s v="normal"/>
    <s v="En proceso"/>
    <s v="OC - Marvin Vargas"/>
    <n v="72"/>
    <b v="1"/>
    <s v="[27277]"/>
    <m/>
    <s v="03677@general.tbd"/>
    <n v="27277"/>
    <n v="0"/>
    <n v="299"/>
    <n v="8777"/>
    <s v="Mesa Ayuda Infraestructura"/>
    <n v="3.6372222222222201"/>
    <m/>
  </r>
  <r>
    <n v="4401"/>
    <n v="0.2"/>
    <d v="1899-12-30T00:12:00"/>
    <s v="50-Finalizado"/>
    <d v="1900-01-01T00:00:00"/>
    <x v="120"/>
    <d v="2024-08-16T00:00:00"/>
    <d v="2024-08-16T18:52:48"/>
    <x v="69"/>
    <n v="1.7222222222222201E-2"/>
    <d v="1899-12-30T00:01:02"/>
    <d v="2024-08-16T00:00:00"/>
    <d v="2024-08-16T18:52:48"/>
    <m/>
    <d v="1899-12-31T00:00:00"/>
    <d v="2024-08-16T18:53:50"/>
    <m/>
    <d v="1899-12-31T00:00:00"/>
    <d v="2024-08-20T19:15:38"/>
    <d v="2024-08-20T19:15:38"/>
    <m/>
    <m/>
    <d v="2024-08-20T00:00:00"/>
    <s v="Recepcion de 17 teclados"/>
    <x v="3"/>
    <s v="Orden de compra"/>
    <x v="2"/>
    <m/>
    <m/>
    <m/>
    <s v="CANELLA, SOCIEDAD ANONIMA"/>
    <s v="CONTABILIDAD, CANELLA, S. A."/>
    <n v="4303"/>
    <n v="35"/>
    <s v="Mesa Ayuda Infraestructura"/>
    <n v="247417"/>
    <s v="ALVARO LEONEL GUTIERREZ LOPEZ"/>
    <n v="299"/>
    <s v="CANELLA"/>
    <n v="6"/>
    <m/>
    <m/>
    <m/>
    <n v="1"/>
    <s v="CANELLA"/>
    <n v="299"/>
    <s v="Rosario Lic"/>
    <s v="&lt;p&gt;Se procede con la compra de 7 combos de teclados inalámbricos para uso de departamento de Contabilidad &lt;/p&gt;"/>
    <s v="normal"/>
    <s v="En proceso"/>
    <s v="Compra de 7 teclados inalámbricos"/>
    <n v="72"/>
    <b v="1"/>
    <n v="27154"/>
    <m/>
    <s v="05998@general.tbd"/>
    <n v="28064"/>
    <n v="0"/>
    <n v="299"/>
    <n v="8777"/>
    <s v="Mesa Ayuda Infraestructura"/>
    <n v="1.7222222222222201E-2"/>
    <m/>
  </r>
  <r>
    <n v="4401"/>
    <n v="0.266666666666666"/>
    <d v="1899-12-30T00:16:00"/>
    <s v="50-Finalizado"/>
    <d v="1900-01-01T00:00:00"/>
    <x v="120"/>
    <d v="2024-08-16T00:00:00"/>
    <d v="2024-08-16T18:52:48"/>
    <x v="69"/>
    <n v="1.7222222222222201E-2"/>
    <d v="1899-12-30T00:01:02"/>
    <d v="2024-08-16T00:00:00"/>
    <d v="2024-08-16T18:52:48"/>
    <m/>
    <d v="1899-12-31T00:00:00"/>
    <d v="2024-08-16T18:53:50"/>
    <m/>
    <d v="1899-12-31T00:00:00"/>
    <d v="2024-08-20T19:15:38"/>
    <d v="2024-08-20T19:15:38"/>
    <m/>
    <m/>
    <d v="2024-08-16T00:00:00"/>
    <s v="Se procede con la compra de 7 combos de teclados inalámbricos para uso de departamento de Contabilidad"/>
    <x v="3"/>
    <s v="Orden de compra"/>
    <x v="2"/>
    <m/>
    <m/>
    <m/>
    <s v="CANELLA, SOCIEDAD ANONIMA"/>
    <s v="CONTABILIDAD, CANELLA, S. A."/>
    <n v="4303"/>
    <n v="35"/>
    <s v="Mesa Ayuda Infraestructura"/>
    <n v="247417"/>
    <s v="ALVARO LEONEL GUTIERREZ LOPEZ"/>
    <n v="299"/>
    <s v="CANELLA"/>
    <n v="6"/>
    <m/>
    <m/>
    <m/>
    <n v="1"/>
    <s v="CANELLA"/>
    <n v="299"/>
    <s v="Rosario Lic"/>
    <s v="&lt;p&gt;Se procede con la compra de 7 combos de teclados inalámbricos para uso de departamento de Contabilidad &lt;/p&gt;"/>
    <s v="normal"/>
    <s v="En proceso"/>
    <s v="Compra de 7 teclados inalámbricos"/>
    <n v="72"/>
    <b v="1"/>
    <n v="27154"/>
    <m/>
    <s v="05998@general.tbd"/>
    <n v="27154"/>
    <n v="0"/>
    <n v="299"/>
    <n v="8777"/>
    <s v="Mesa Ayuda Infraestructura"/>
    <n v="1.7222222222222201E-2"/>
    <m/>
  </r>
  <r>
    <n v="4396"/>
    <n v="0.41666666666666602"/>
    <d v="1899-12-30T00:25:00"/>
    <s v="50-Finalizado"/>
    <d v="1900-01-01T00:00:00"/>
    <x v="121"/>
    <d v="2024-08-16T00:00:00"/>
    <d v="2024-08-16T17:36:37"/>
    <x v="70"/>
    <n v="2.8791666666666602"/>
    <d v="1899-12-30T02:52:45"/>
    <d v="2024-08-16T00:00:00"/>
    <d v="2024-08-16T17:36:37"/>
    <m/>
    <d v="1899-12-31T00:00:00"/>
    <d v="2024-08-16T20:29:22"/>
    <m/>
    <d v="1899-12-31T00:00:00"/>
    <d v="2024-08-20T19:15:38"/>
    <d v="2024-08-20T19:15:38"/>
    <s v="Resuelto"/>
    <m/>
    <d v="2024-08-16T00:00:00"/>
    <s v="Preparar equipo para conexion remota"/>
    <x v="10"/>
    <s v="Configuracion Software"/>
    <x v="2"/>
    <s v="Ciberseguridad"/>
    <m/>
    <m/>
    <s v="CANELLA, SOCIEDAD ANONIMA"/>
    <s v="INFORMATICA"/>
    <n v="429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visión Plan de trabajo Vulnerabilidades SPC-Canella&lt;/p&gt;"/>
    <s v="normal"/>
    <s v="En proceso"/>
    <s v="Revisión Plan de trabajo Vulnerabilidades SPC-Canella"/>
    <n v="72"/>
    <b v="1"/>
    <s v="[27137, 27132, 27130]"/>
    <n v="2"/>
    <s v="04025@general.tbd"/>
    <n v="27137"/>
    <n v="0"/>
    <n v="248"/>
    <n v="8777"/>
    <s v="Mesa Ayuda Infraestructura"/>
    <n v="2.8791666666666602"/>
    <m/>
  </r>
  <r>
    <n v="4396"/>
    <n v="0.33333333333333298"/>
    <d v="1899-12-30T00:20:00"/>
    <s v="50-Finalizado"/>
    <d v="1900-01-01T00:00:00"/>
    <x v="121"/>
    <d v="2024-08-16T00:00:00"/>
    <d v="2024-08-16T17:36:37"/>
    <x v="70"/>
    <n v="2.8791666666666602"/>
    <d v="1899-12-30T02:52:45"/>
    <d v="2024-08-16T00:00:00"/>
    <d v="2024-08-16T17:36:37"/>
    <m/>
    <d v="1899-12-31T00:00:00"/>
    <d v="2024-08-16T20:29:22"/>
    <m/>
    <d v="1899-12-31T00:00:00"/>
    <d v="2024-08-20T19:15:38"/>
    <d v="2024-08-20T19:15:38"/>
    <s v="Resuelto"/>
    <m/>
    <d v="2024-08-16T00:00:00"/>
    <s v="Creación de usuario VPN para acceso a servidores"/>
    <x v="10"/>
    <s v="Configuracion Software"/>
    <x v="2"/>
    <s v="Ciberseguridad"/>
    <m/>
    <m/>
    <s v="CANELLA, SOCIEDAD ANONIMA"/>
    <s v="INFORMATICA"/>
    <n v="429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visión Plan de trabajo Vulnerabilidades SPC-Canella&lt;/p&gt;"/>
    <s v="normal"/>
    <s v="En proceso"/>
    <s v="Revisión Plan de trabajo Vulnerabilidades SPC-Canella"/>
    <n v="72"/>
    <b v="1"/>
    <s v="[27137, 27132, 27130]"/>
    <n v="2"/>
    <s v="04025@general.tbd"/>
    <n v="27132"/>
    <n v="0"/>
    <n v="248"/>
    <n v="8777"/>
    <s v="Mesa Ayuda Infraestructura"/>
    <n v="2.8791666666666602"/>
    <m/>
  </r>
  <r>
    <n v="4396"/>
    <n v="0.66666666666666596"/>
    <d v="1899-12-30T00:40:00"/>
    <s v="50-Finalizado"/>
    <d v="1900-01-01T00:00:00"/>
    <x v="121"/>
    <d v="2024-08-16T00:00:00"/>
    <d v="2024-08-16T17:36:37"/>
    <x v="70"/>
    <n v="2.8791666666666602"/>
    <d v="1899-12-30T02:52:45"/>
    <d v="2024-08-16T00:00:00"/>
    <d v="2024-08-16T17:36:37"/>
    <m/>
    <d v="1899-12-31T00:00:00"/>
    <d v="2024-08-16T20:29:22"/>
    <m/>
    <d v="1899-12-31T00:00:00"/>
    <d v="2024-08-20T19:15:38"/>
    <d v="2024-08-20T19:15:38"/>
    <s v="Resuelto"/>
    <m/>
    <d v="2024-08-16T00:00:00"/>
    <s v="Revisión Plan de trabajo Vulnerabilidades SPC-Canella"/>
    <x v="10"/>
    <s v="Configuracion Software"/>
    <x v="2"/>
    <s v="Ciberseguridad"/>
    <m/>
    <m/>
    <s v="CANELLA, SOCIEDAD ANONIMA"/>
    <s v="INFORMATICA"/>
    <n v="429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visión Plan de trabajo Vulnerabilidades SPC-Canella&lt;/p&gt;"/>
    <s v="normal"/>
    <s v="En proceso"/>
    <s v="Revisión Plan de trabajo Vulnerabilidades SPC-Canella"/>
    <n v="72"/>
    <b v="1"/>
    <s v="[27137, 27132, 27130]"/>
    <n v="2"/>
    <s v="04025@general.tbd"/>
    <n v="27130"/>
    <n v="0"/>
    <n v="248"/>
    <n v="8777"/>
    <s v="Mesa Ayuda Infraestructura"/>
    <n v="2.8791666666666602"/>
    <m/>
  </r>
  <r>
    <n v="4392"/>
    <n v="0.75"/>
    <d v="1899-12-30T00:45:00"/>
    <s v="50-Finalizado"/>
    <d v="1900-01-01T00:00:00"/>
    <x v="122"/>
    <d v="2024-08-17T00:00:00"/>
    <d v="2024-08-16T17:17:11"/>
    <x v="71"/>
    <n v="23.842222222222201"/>
    <d v="1899-12-30T23:50:32"/>
    <d v="2024-08-16T00:00:00"/>
    <d v="2024-08-16T17:17:11"/>
    <m/>
    <d v="1899-12-31T00:00:00"/>
    <d v="2024-08-17T17:07:43"/>
    <m/>
    <d v="1899-12-31T00:00:00"/>
    <d v="2024-08-20T19:15:38"/>
    <d v="2024-08-20T19:15:38"/>
    <s v="Resuelto"/>
    <m/>
    <d v="2024-08-16T00:00:00"/>
    <s v="Backup de archivos de carpetas, Escritorio, Documentos, Logs por Cobian"/>
    <x v="6"/>
    <s v="Configuracion Software"/>
    <x v="2"/>
    <s v="Desktop"/>
    <m/>
    <m/>
    <m/>
    <m/>
    <n v="4294"/>
    <n v="35"/>
    <s v="Mesa Ayuda Infraestructura"/>
    <n v="254959"/>
    <s v="INGRID FERNANDA GARCIA GOMEZ"/>
    <n v="2766"/>
    <s v="CANELLA"/>
    <n v="2"/>
    <n v="21"/>
    <m/>
    <m/>
    <n v="1"/>
    <s v="CANELLA"/>
    <n v="2766"/>
    <s v="José Julajuj Chumil"/>
    <m/>
    <s v="normal"/>
    <s v="En proceso"/>
    <s v="Backup de equipo de computo -Edilcar Quiñones-"/>
    <n v="72"/>
    <b v="1"/>
    <n v="27107"/>
    <n v="2"/>
    <s v="No Extension.  partner_id: 254959 -- user_id res.users(2858,)"/>
    <n v="27108"/>
    <n v="0"/>
    <n v="2766"/>
    <n v="8777"/>
    <s v="Mesa Ayuda Infraestructura"/>
    <n v="23.842222222222201"/>
    <m/>
  </r>
  <r>
    <n v="4392"/>
    <n v="0.16666666666666599"/>
    <d v="1899-12-30T00:10:00"/>
    <s v="50-Finalizado"/>
    <d v="1900-01-01T00:00:00"/>
    <x v="122"/>
    <d v="2024-08-17T00:00:00"/>
    <d v="2024-08-16T17:17:11"/>
    <x v="71"/>
    <n v="23.842222222222201"/>
    <d v="1899-12-30T23:50:32"/>
    <d v="2024-08-16T00:00:00"/>
    <d v="2024-08-16T17:17:11"/>
    <m/>
    <d v="1899-12-31T00:00:00"/>
    <d v="2024-08-17T17:07:43"/>
    <m/>
    <d v="1899-12-31T00:00:00"/>
    <d v="2024-08-20T19:15:38"/>
    <d v="2024-08-20T19:15:38"/>
    <s v="Resuelto"/>
    <m/>
    <d v="2024-08-16T00:00:00"/>
    <s v="Llamada a usuario para ingresar equipo y dar acceso"/>
    <x v="6"/>
    <s v="Configuracion Software"/>
    <x v="2"/>
    <s v="Desktop"/>
    <m/>
    <m/>
    <m/>
    <m/>
    <n v="4294"/>
    <n v="35"/>
    <s v="Mesa Ayuda Infraestructura"/>
    <n v="254959"/>
    <s v="INGRID FERNANDA GARCIA GOMEZ"/>
    <n v="2766"/>
    <s v="CANELLA"/>
    <n v="2"/>
    <n v="21"/>
    <m/>
    <m/>
    <n v="1"/>
    <s v="CANELLA"/>
    <n v="2766"/>
    <s v="José Julajuj Chumil"/>
    <m/>
    <s v="normal"/>
    <s v="En proceso"/>
    <s v="Backup de equipo de computo -Edilcar Quiñones-"/>
    <n v="72"/>
    <b v="1"/>
    <n v="27107"/>
    <n v="2"/>
    <s v="No Extension.  partner_id: 254959 -- user_id res.users(2858,)"/>
    <n v="27107"/>
    <n v="0"/>
    <n v="2766"/>
    <n v="8777"/>
    <s v="Mesa Ayuda Infraestructura"/>
    <n v="23.842222222222201"/>
    <m/>
  </r>
  <r>
    <n v="4389"/>
    <n v="0.7"/>
    <d v="1899-12-30T00:42:00"/>
    <s v="50-Finalizado"/>
    <d v="1900-01-01T00:00:00"/>
    <x v="123"/>
    <d v="2024-08-16T00:00:00"/>
    <d v="2024-08-16T16:52:52"/>
    <x v="72"/>
    <n v="5.6633333333333304"/>
    <d v="1899-12-30T05:39:48"/>
    <d v="2024-08-16T00:00:00"/>
    <d v="2024-08-16T16:52:52"/>
    <m/>
    <d v="1899-12-31T00:00:00"/>
    <d v="2024-08-16T22:32:40"/>
    <m/>
    <d v="1899-12-31T00:00:00"/>
    <d v="2024-08-20T19:15:38"/>
    <d v="2024-08-20T19:15:38"/>
    <m/>
    <m/>
    <d v="2024-08-16T00:00:00"/>
    <s v="Se procede a realizar orden de compra por horas de consultoría Actualización fase 4 y soportes varios"/>
    <x v="3"/>
    <s v="Orden de compra"/>
    <x v="2"/>
    <s v="(N/A) Sin aplicación software"/>
    <s v="(N/A) Sin módulo"/>
    <m/>
    <s v="CANELLA, SOCIEDAD ANONIMA"/>
    <s v="INFORMATICA"/>
    <n v="4291"/>
    <n v="35"/>
    <s v="Mesa Ayuda Infraestructura"/>
    <n v="247841"/>
    <s v="WILLIAMS GIOVANNI GALVAN ESTRADA"/>
    <n v="299"/>
    <s v="CANELLA"/>
    <n v="6"/>
    <n v="6"/>
    <n v="13"/>
    <m/>
    <n v="1"/>
    <s v="CANELLA"/>
    <n v="299"/>
    <s v="Rosario Lic"/>
    <s v="&lt;p&gt;Se procede a realizar orden de compra por horas de consultoría Actualización fase 4 y soportes varios&amp;nbsp;&lt;br&gt;&lt;/p&gt;"/>
    <s v="normal"/>
    <s v="En proceso"/>
    <s v="OC - Marvin Vargas"/>
    <n v="72"/>
    <b v="1"/>
    <s v="[27148]"/>
    <m/>
    <s v="03677@general.tbd"/>
    <n v="27148"/>
    <n v="0"/>
    <n v="299"/>
    <n v="8777"/>
    <s v="Mesa Ayuda Infraestructura"/>
    <n v="5.6633333333333304"/>
    <m/>
  </r>
  <r>
    <n v="4384"/>
    <n v="0.05"/>
    <d v="1899-12-30T00:03:00"/>
    <s v="50-Finalizado"/>
    <d v="1900-01-01T00:00:00"/>
    <x v="124"/>
    <d v="2024-08-16T00:00:00"/>
    <d v="2024-08-16T16:23:10"/>
    <x v="73"/>
    <n v="4.5833333333333302E-2"/>
    <d v="1899-12-30T00:02:45"/>
    <d v="2024-08-16T00:00:00"/>
    <d v="2024-08-16T16:23:10"/>
    <m/>
    <d v="1899-12-31T00:00:00"/>
    <d v="2024-08-16T16:25:55"/>
    <m/>
    <d v="1899-12-31T00:00:00"/>
    <d v="2024-08-20T19:15:38"/>
    <d v="2024-08-20T19:15:38"/>
    <s v="Resuelto"/>
    <m/>
    <d v="2024-08-16T00:00:00"/>
    <s v="Comunicación para confirmar nueva contraseña y verificar correo"/>
    <x v="6"/>
    <s v="Configuracion Software"/>
    <x v="2"/>
    <s v="Laptop"/>
    <m/>
    <m/>
    <s v="CANELLA, SOCIEDAD ANONIMA"/>
    <s v="GERENCIA DE DESARROLLO/SERVICIOS TI CORPORATIVOS"/>
    <n v="4286"/>
    <n v="35"/>
    <s v="Mesa Ayuda Infraestructura"/>
    <n v="247123"/>
    <s v="PABLO BENJAMIN OROZCO BARRIOS"/>
    <n v="2766"/>
    <s v="CANELLA"/>
    <n v="2"/>
    <n v="20"/>
    <m/>
    <m/>
    <n v="1"/>
    <s v="CANELLA"/>
    <n v="2766"/>
    <s v="José Julajuj Chumil"/>
    <m/>
    <s v="normal"/>
    <s v="En proceso"/>
    <s v="Restablecimiento de contraseña -Pablo Orozco-"/>
    <n v="72"/>
    <b v="1"/>
    <n v="27067"/>
    <n v="2"/>
    <s v="06519@general.tbd"/>
    <n v="27068"/>
    <n v="0"/>
    <n v="2766"/>
    <n v="8777"/>
    <s v="Mesa Ayuda Infraestructura"/>
    <n v="4.5833333333333302E-2"/>
    <m/>
  </r>
  <r>
    <n v="4384"/>
    <n v="1.6666666666666601E-2"/>
    <d v="1899-12-30T00:01:00"/>
    <s v="50-Finalizado"/>
    <d v="1900-01-01T00:00:00"/>
    <x v="124"/>
    <d v="2024-08-16T00:00:00"/>
    <d v="2024-08-16T16:23:10"/>
    <x v="73"/>
    <n v="4.5833333333333302E-2"/>
    <d v="1899-12-30T00:02:45"/>
    <d v="2024-08-16T00:00:00"/>
    <d v="2024-08-16T16:23:10"/>
    <m/>
    <d v="1899-12-31T00:00:00"/>
    <d v="2024-08-16T16:25:55"/>
    <m/>
    <d v="1899-12-31T00:00:00"/>
    <d v="2024-08-20T19:15:38"/>
    <d v="2024-08-20T19:15:38"/>
    <s v="Resuelto"/>
    <m/>
    <d v="2024-08-16T00:00:00"/>
    <s v="Comunicación para verificar problema de ingreso a correo"/>
    <x v="6"/>
    <s v="Configuracion Software"/>
    <x v="2"/>
    <s v="Laptop"/>
    <m/>
    <m/>
    <s v="CANELLA, SOCIEDAD ANONIMA"/>
    <s v="GERENCIA DE DESARROLLO/SERVICIOS TI CORPORATIVOS"/>
    <n v="4286"/>
    <n v="35"/>
    <s v="Mesa Ayuda Infraestructura"/>
    <n v="247123"/>
    <s v="PABLO BENJAMIN OROZCO BARRIOS"/>
    <n v="2766"/>
    <s v="CANELLA"/>
    <n v="2"/>
    <n v="20"/>
    <m/>
    <m/>
    <n v="1"/>
    <s v="CANELLA"/>
    <n v="2766"/>
    <s v="José Julajuj Chumil"/>
    <m/>
    <s v="normal"/>
    <s v="En proceso"/>
    <s v="Restablecimiento de contraseña -Pablo Orozco-"/>
    <n v="72"/>
    <b v="1"/>
    <n v="27067"/>
    <n v="2"/>
    <s v="06519@general.tbd"/>
    <n v="27067"/>
    <n v="0"/>
    <n v="2766"/>
    <n v="8777"/>
    <s v="Mesa Ayuda Infraestructura"/>
    <n v="4.5833333333333302E-2"/>
    <m/>
  </r>
  <r>
    <n v="4381"/>
    <n v="0.25"/>
    <d v="1899-12-30T00:15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Reinicio de equipo de computo para ejecutar actualizaciones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187"/>
    <n v="0"/>
    <n v="2766"/>
    <n v="8777"/>
    <s v="Mesa Ayuda Infraestructura"/>
    <n v="72.036666666666605"/>
    <m/>
  </r>
  <r>
    <n v="4381"/>
    <n v="0.75"/>
    <d v="1899-12-30T00:45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Se procede a ejecutar las actualizaciones de Windows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109"/>
    <n v="0"/>
    <n v="2766"/>
    <n v="8777"/>
    <s v="Mesa Ayuda Infraestructura"/>
    <n v="72.036666666666605"/>
    <m/>
  </r>
  <r>
    <n v="4381"/>
    <n v="0.25"/>
    <d v="1899-12-30T00:15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Se procede a ejecutar el instalador de Office 2016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084"/>
    <n v="0"/>
    <n v="2766"/>
    <n v="8777"/>
    <s v="Mesa Ayuda Infraestructura"/>
    <n v="72.036666666666605"/>
    <m/>
  </r>
  <r>
    <n v="4381"/>
    <n v="0.16666666666666599"/>
    <d v="1899-12-30T00:10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Se procede a ejecutar el instalador de Xopero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083"/>
    <n v="0"/>
    <n v="2766"/>
    <n v="8777"/>
    <s v="Mesa Ayuda Infraestructura"/>
    <n v="72.036666666666605"/>
    <m/>
  </r>
  <r>
    <n v="4381"/>
    <n v="0.05"/>
    <d v="1899-12-30T00:03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Se procede a ejecutar el instalador de AnyDesk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081"/>
    <n v="0"/>
    <n v="2766"/>
    <n v="8777"/>
    <s v="Mesa Ayuda Infraestructura"/>
    <n v="72.036666666666605"/>
    <m/>
  </r>
  <r>
    <n v="4381"/>
    <n v="0.133333333333333"/>
    <d v="1899-12-30T00:08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Se procede a ejecutar el instalador de Cobian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071"/>
    <n v="0"/>
    <n v="2766"/>
    <n v="8777"/>
    <s v="Mesa Ayuda Infraestructura"/>
    <n v="72.036666666666605"/>
    <m/>
  </r>
  <r>
    <n v="4381"/>
    <n v="0.16666666666666599"/>
    <d v="1899-12-30T00:10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Se procede a ejecutar el instalador de Rust Desk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070"/>
    <n v="0"/>
    <n v="2766"/>
    <n v="8777"/>
    <s v="Mesa Ayuda Infraestructura"/>
    <n v="72.036666666666605"/>
    <m/>
  </r>
  <r>
    <n v="4381"/>
    <n v="8.3333333333333301E-2"/>
    <d v="1899-12-30T00:05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Se procede a ejecutar el instalador de Cisco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069"/>
    <n v="0"/>
    <n v="2766"/>
    <n v="8777"/>
    <s v="Mesa Ayuda Infraestructura"/>
    <n v="72.036666666666605"/>
    <m/>
  </r>
  <r>
    <n v="4381"/>
    <n v="0.16666666666666599"/>
    <d v="1899-12-30T00:10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Se procede a ejecutar el instalador de adobe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058"/>
    <n v="0"/>
    <n v="2766"/>
    <n v="8777"/>
    <s v="Mesa Ayuda Infraestructura"/>
    <n v="72.036666666666605"/>
    <m/>
  </r>
  <r>
    <n v="4381"/>
    <n v="0.16666666666666599"/>
    <d v="1899-12-30T00:10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Se procede a ejecutar el instalador de VNC y configuración de contraseña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056"/>
    <n v="0"/>
    <n v="2766"/>
    <n v="8777"/>
    <s v="Mesa Ayuda Infraestructura"/>
    <n v="72.036666666666605"/>
    <m/>
  </r>
  <r>
    <n v="4381"/>
    <n v="0.16666666666666599"/>
    <d v="1899-12-30T00:10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Se procede a ejecutar el instalador de ESET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053"/>
    <n v="0"/>
    <n v="2766"/>
    <n v="8777"/>
    <s v="Mesa Ayuda Infraestructura"/>
    <n v="72.036666666666605"/>
    <m/>
  </r>
  <r>
    <n v="4381"/>
    <n v="0.5"/>
    <d v="1899-12-30T00:30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Procediendo con la instalación del sistema operativo Windows 10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047"/>
    <n v="0"/>
    <n v="2766"/>
    <n v="8777"/>
    <s v="Mesa Ayuda Infraestructura"/>
    <n v="72.036666666666605"/>
    <m/>
  </r>
  <r>
    <n v="4380"/>
    <n v="3.3333333333333298E-2"/>
    <d v="1899-12-30T00:02:00"/>
    <s v="50-Finalizado"/>
    <d v="1900-01-01T00:00:00"/>
    <x v="126"/>
    <d v="2024-08-16T00:00:00"/>
    <d v="2024-08-16T15:40:02"/>
    <x v="75"/>
    <n v="3.7777777777777702E-2"/>
    <d v="1899-12-30T00:02:16"/>
    <d v="2024-08-16T00:00:00"/>
    <d v="2024-08-16T15:40:02"/>
    <m/>
    <d v="1899-12-31T00:00:00"/>
    <d v="2024-08-16T15:42:18"/>
    <m/>
    <d v="1899-12-31T00:00:00"/>
    <d v="2024-08-20T19:15:38"/>
    <d v="2024-08-20T19:15:38"/>
    <m/>
    <m/>
    <d v="2024-08-16T00:00:00"/>
    <s v="El usuario comunico que ya no tenia problemas con el teclado el día de hoy, funcionaba correctamente sin problemas"/>
    <x v="6"/>
    <s v="Configuracion Hardware"/>
    <x v="2"/>
    <s v="Desktop"/>
    <m/>
    <m/>
    <s v="CANELLA, SOCIEDAD ANONIMA"/>
    <s v="ATENCION AL CLIENTE"/>
    <n v="4282"/>
    <n v="35"/>
    <s v="Mesa Ayuda Infraestructura"/>
    <n v="247512"/>
    <s v="PAMELA NAHYREE MENENDEZ MENCOS"/>
    <n v="2766"/>
    <s v="CANELLA"/>
    <n v="1"/>
    <n v="21"/>
    <m/>
    <m/>
    <n v="1"/>
    <s v="CANELLA"/>
    <n v="2766"/>
    <s v="José Julajuj Chumil"/>
    <m/>
    <s v="normal"/>
    <s v="En proceso"/>
    <s v="Reporte de problemas con teclado -Pamela Menéndez-"/>
    <n v="72"/>
    <b v="1"/>
    <n v="27045"/>
    <m/>
    <s v="05782@general.tbd"/>
    <n v="27046"/>
    <n v="0"/>
    <n v="2766"/>
    <n v="8777"/>
    <s v="Mesa Ayuda Infraestructura"/>
    <n v="3.7777777777777702E-2"/>
    <m/>
  </r>
  <r>
    <n v="4380"/>
    <n v="3.3333333333333298E-2"/>
    <d v="1899-12-30T00:02:00"/>
    <s v="50-Finalizado"/>
    <d v="1900-01-01T00:00:00"/>
    <x v="126"/>
    <d v="2024-08-16T00:00:00"/>
    <d v="2024-08-16T15:40:02"/>
    <x v="75"/>
    <n v="3.7777777777777702E-2"/>
    <d v="1899-12-30T00:02:16"/>
    <d v="2024-08-16T00:00:00"/>
    <d v="2024-08-16T15:40:02"/>
    <m/>
    <d v="1899-12-31T00:00:00"/>
    <d v="2024-08-16T15:42:18"/>
    <m/>
    <d v="1899-12-31T00:00:00"/>
    <d v="2024-08-20T19:15:38"/>
    <d v="2024-08-20T19:15:38"/>
    <m/>
    <m/>
    <d v="2024-08-16T00:00:00"/>
    <s v="Se comunico con el usuario para verificar problema con el teclado"/>
    <x v="6"/>
    <s v="Configuracion Hardware"/>
    <x v="2"/>
    <s v="Desktop"/>
    <m/>
    <m/>
    <s v="CANELLA, SOCIEDAD ANONIMA"/>
    <s v="ATENCION AL CLIENTE"/>
    <n v="4282"/>
    <n v="35"/>
    <s v="Mesa Ayuda Infraestructura"/>
    <n v="247512"/>
    <s v="PAMELA NAHYREE MENENDEZ MENCOS"/>
    <n v="2766"/>
    <s v="CANELLA"/>
    <n v="1"/>
    <n v="21"/>
    <m/>
    <m/>
    <n v="1"/>
    <s v="CANELLA"/>
    <n v="2766"/>
    <s v="José Julajuj Chumil"/>
    <m/>
    <s v="normal"/>
    <s v="En proceso"/>
    <s v="Reporte de problemas con teclado -Pamela Menéndez-"/>
    <n v="72"/>
    <b v="1"/>
    <n v="27045"/>
    <m/>
    <s v="05782@general.tbd"/>
    <n v="27045"/>
    <n v="0"/>
    <n v="2766"/>
    <n v="8777"/>
    <s v="Mesa Ayuda Infraestructura"/>
    <n v="3.7777777777777702E-2"/>
    <m/>
  </r>
  <r>
    <n v="4373"/>
    <n v="3.3333333333333298E-2"/>
    <d v="1899-12-30T00:02:00"/>
    <s v="50-Finalizado"/>
    <d v="1900-01-01T00:00:00"/>
    <x v="127"/>
    <d v="2024-08-16T00:00:00"/>
    <d v="2024-08-16T14:46:24"/>
    <x v="76"/>
    <n v="0.213611111111111"/>
    <d v="1899-12-30T00:12:49"/>
    <d v="2024-08-16T00:00:00"/>
    <d v="2024-08-16T14:46:24"/>
    <m/>
    <d v="1899-12-31T00:00:00"/>
    <d v="2024-08-16T14:59:13"/>
    <m/>
    <d v="1899-12-31T00:00:00"/>
    <d v="2024-08-20T19:15:38"/>
    <d v="2024-08-20T19:15:38"/>
    <s v="Resuelto"/>
    <m/>
    <d v="2024-08-16T00:00:00"/>
    <s v="Comunicación con el Usuario para indicar nueva contraseña"/>
    <x v="6"/>
    <s v="Configuracion Software"/>
    <x v="2"/>
    <s v="Laptop"/>
    <m/>
    <m/>
    <s v="No Partner"/>
    <s v="No Partner"/>
    <n v="4275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Restablecimiento de Contraseña de usuario -Ingrid de León-"/>
    <n v="72"/>
    <b v="1"/>
    <n v="27012"/>
    <n v="2"/>
    <s v="No Partner"/>
    <n v="27013"/>
    <n v="0"/>
    <n v="2766"/>
    <n v="8777"/>
    <s v="Mesa Ayuda Infraestructura"/>
    <n v="0.213611111111111"/>
    <m/>
  </r>
  <r>
    <n v="4373"/>
    <n v="1.6666666666666601E-2"/>
    <d v="1899-12-30T00:01:00"/>
    <s v="50-Finalizado"/>
    <d v="1900-01-01T00:00:00"/>
    <x v="127"/>
    <d v="2024-08-16T00:00:00"/>
    <d v="2024-08-16T14:46:24"/>
    <x v="76"/>
    <n v="0.213611111111111"/>
    <d v="1899-12-30T00:12:49"/>
    <d v="2024-08-16T00:00:00"/>
    <d v="2024-08-16T14:46:24"/>
    <m/>
    <d v="1899-12-31T00:00:00"/>
    <d v="2024-08-16T14:59:13"/>
    <m/>
    <d v="1899-12-31T00:00:00"/>
    <d v="2024-08-20T19:15:38"/>
    <d v="2024-08-20T19:15:38"/>
    <s v="Resuelto"/>
    <m/>
    <d v="2024-08-16T00:00:00"/>
    <s v="Comunicación con el usuario para verificar el problema"/>
    <x v="6"/>
    <s v="Configuracion Software"/>
    <x v="2"/>
    <s v="Laptop"/>
    <m/>
    <m/>
    <s v="No Partner"/>
    <s v="No Partner"/>
    <n v="4275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Restablecimiento de Contraseña de usuario -Ingrid de León-"/>
    <n v="72"/>
    <b v="1"/>
    <n v="27012"/>
    <n v="2"/>
    <s v="No Partner"/>
    <n v="27012"/>
    <n v="0"/>
    <n v="2766"/>
    <n v="8777"/>
    <s v="Mesa Ayuda Infraestructura"/>
    <n v="0.213611111111111"/>
    <m/>
  </r>
  <r>
    <n v="4350"/>
    <n v="0.1"/>
    <d v="1899-12-30T00:06:00"/>
    <s v="50-Finalizado"/>
    <d v="1900-01-01T00:00:00"/>
    <x v="128"/>
    <d v="2024-08-14T00:00:00"/>
    <d v="2024-08-14T22:48:44"/>
    <x v="77"/>
    <n v="4.72222222222222E-2"/>
    <d v="1899-12-30T00:02:50"/>
    <d v="2024-08-14T00:00:00"/>
    <d v="2024-08-14T22:48:44"/>
    <m/>
    <d v="1899-12-31T00:00:00"/>
    <d v="2024-08-14T22:51:34"/>
    <m/>
    <d v="1899-12-31T00:00:00"/>
    <d v="2024-08-20T19:15:38"/>
    <d v="2024-08-20T19:15:38"/>
    <m/>
    <m/>
    <d v="2024-08-14T00:00:00"/>
    <s v="confirmacion de de usuario para verificación de resolución de problema"/>
    <x v="6"/>
    <s v="Configuracion Software"/>
    <x v="2"/>
    <s v="Laptop"/>
    <m/>
    <m/>
    <s v="CANELLA, SOCIEDAD ANONIMA"/>
    <s v="MOTUL"/>
    <n v="4252"/>
    <n v="35"/>
    <s v="Mesa Ayuda Infraestructura"/>
    <n v="247040"/>
    <s v="JULIO GABRIEL ALONZO CORDON"/>
    <n v="2766"/>
    <s v="CANELLA"/>
    <n v="2"/>
    <n v="20"/>
    <m/>
    <m/>
    <n v="1"/>
    <s v="CANELLA"/>
    <n v="2766"/>
    <s v="José Julajuj Chumil"/>
    <m/>
    <s v="normal"/>
    <s v="En proceso"/>
    <s v="Problema de recibimiento de correo -JULIO ALONZO-"/>
    <n v="72"/>
    <b v="1"/>
    <s v="[26832, 26831, 26830]"/>
    <m/>
    <s v="06636@general.tbd"/>
    <n v="26832"/>
    <n v="0"/>
    <n v="2766"/>
    <n v="8777"/>
    <s v="Mesa Ayuda Infraestructura"/>
    <n v="4.72222222222222E-2"/>
    <m/>
  </r>
  <r>
    <n v="4350"/>
    <n v="0.25"/>
    <d v="1899-12-30T00:15:00"/>
    <s v="50-Finalizado"/>
    <d v="1900-01-01T00:00:00"/>
    <x v="128"/>
    <d v="2024-08-14T00:00:00"/>
    <d v="2024-08-14T22:48:44"/>
    <x v="77"/>
    <n v="4.72222222222222E-2"/>
    <d v="1899-12-30T00:02:50"/>
    <d v="2024-08-14T00:00:00"/>
    <d v="2024-08-14T22:48:44"/>
    <m/>
    <d v="1899-12-31T00:00:00"/>
    <d v="2024-08-14T22:51:34"/>
    <m/>
    <d v="1899-12-31T00:00:00"/>
    <d v="2024-08-20T19:15:38"/>
    <d v="2024-08-20T19:15:38"/>
    <m/>
    <m/>
    <d v="2024-08-14T00:00:00"/>
    <s v="Solicitación de datos para de correo que no puede enviar correo a usuario"/>
    <x v="6"/>
    <s v="Configuracion Software"/>
    <x v="2"/>
    <s v="Laptop"/>
    <m/>
    <m/>
    <s v="CANELLA, SOCIEDAD ANONIMA"/>
    <s v="MOTUL"/>
    <n v="4252"/>
    <n v="35"/>
    <s v="Mesa Ayuda Infraestructura"/>
    <n v="247040"/>
    <s v="JULIO GABRIEL ALONZO CORDON"/>
    <n v="2766"/>
    <s v="CANELLA"/>
    <n v="2"/>
    <n v="20"/>
    <m/>
    <m/>
    <n v="1"/>
    <s v="CANELLA"/>
    <n v="2766"/>
    <s v="José Julajuj Chumil"/>
    <m/>
    <s v="normal"/>
    <s v="En proceso"/>
    <s v="Problema de recibimiento de correo -JULIO ALONZO-"/>
    <n v="72"/>
    <b v="1"/>
    <s v="[26832, 26831, 26830]"/>
    <m/>
    <s v="06636@general.tbd"/>
    <n v="26831"/>
    <n v="0"/>
    <n v="2766"/>
    <n v="8777"/>
    <s v="Mesa Ayuda Infraestructura"/>
    <n v="4.72222222222222E-2"/>
    <m/>
  </r>
  <r>
    <n v="4350"/>
    <n v="0.1"/>
    <d v="1899-12-30T00:06:00"/>
    <s v="50-Finalizado"/>
    <d v="1900-01-01T00:00:00"/>
    <x v="128"/>
    <d v="2024-08-14T00:00:00"/>
    <d v="2024-08-14T22:48:44"/>
    <x v="77"/>
    <n v="4.72222222222222E-2"/>
    <d v="1899-12-30T00:02:50"/>
    <d v="2024-08-14T00:00:00"/>
    <d v="2024-08-14T22:48:44"/>
    <m/>
    <d v="1899-12-31T00:00:00"/>
    <d v="2024-08-14T22:51:34"/>
    <m/>
    <d v="1899-12-31T00:00:00"/>
    <d v="2024-08-20T19:15:38"/>
    <d v="2024-08-20T19:15:38"/>
    <m/>
    <m/>
    <d v="2024-08-14T00:00:00"/>
    <s v="Llamada para verificación de problema"/>
    <x v="6"/>
    <s v="Configuracion Software"/>
    <x v="2"/>
    <s v="Laptop"/>
    <m/>
    <m/>
    <s v="CANELLA, SOCIEDAD ANONIMA"/>
    <s v="MOTUL"/>
    <n v="4252"/>
    <n v="35"/>
    <s v="Mesa Ayuda Infraestructura"/>
    <n v="247040"/>
    <s v="JULIO GABRIEL ALONZO CORDON"/>
    <n v="2766"/>
    <s v="CANELLA"/>
    <n v="2"/>
    <n v="20"/>
    <m/>
    <m/>
    <n v="1"/>
    <s v="CANELLA"/>
    <n v="2766"/>
    <s v="José Julajuj Chumil"/>
    <m/>
    <s v="normal"/>
    <s v="En proceso"/>
    <s v="Problema de recibimiento de correo -JULIO ALONZO-"/>
    <n v="72"/>
    <b v="1"/>
    <s v="[26832, 26831, 26830]"/>
    <m/>
    <s v="06636@general.tbd"/>
    <n v="26830"/>
    <n v="0"/>
    <n v="2766"/>
    <n v="8777"/>
    <s v="Mesa Ayuda Infraestructura"/>
    <n v="4.72222222222222E-2"/>
    <m/>
  </r>
  <r>
    <n v="4338"/>
    <m/>
    <m/>
    <s v="20-Asignado"/>
    <d v="1900-01-01T00:00:00"/>
    <x v="129"/>
    <d v="2024-08-14T00:00:00"/>
    <d v="2024-08-14T21:05:57"/>
    <x v="4"/>
    <n v="0"/>
    <d v="1899-12-30T00:00:00"/>
    <d v="2024-08-14T00:00:00"/>
    <d v="2024-08-14T21:05:57"/>
    <m/>
    <d v="1899-12-31T00:00:00"/>
    <d v="1899-12-31T00:00:00"/>
    <m/>
    <d v="1899-12-31T00:00:00"/>
    <d v="2024-08-20T19:15:38"/>
    <d v="2024-08-20T19:15:38"/>
    <m/>
    <m/>
    <m/>
    <m/>
    <x v="8"/>
    <s v="Configuracion Hardware"/>
    <x v="2"/>
    <s v="Redes y Comunicaciones"/>
    <m/>
    <m/>
    <s v="INVERSIONES QATAR, SOCIEDAD ANONIMA"/>
    <s v="GERENCIA GENERAL INVERSIONES QATAR, SOCIEDAD ANONIMA"/>
    <n v="4240"/>
    <n v="35"/>
    <s v="Mesa Ayuda Infraestructura"/>
    <n v="246994"/>
    <s v="CESAR ORLANDO MARTINEZ ABAL"/>
    <n v="186"/>
    <s v="CANELLA"/>
    <n v="1"/>
    <n v="28"/>
    <m/>
    <m/>
    <n v="1"/>
    <s v="CANELLA"/>
    <n v="186"/>
    <s v="Carlos Carias"/>
    <s v="&lt;p&gt;Configurar File Server CD Z13&lt;/p&gt;"/>
    <s v="normal"/>
    <s v="En proceso"/>
    <s v="Configurar File Server CD Z13"/>
    <n v="69"/>
    <m/>
    <s v="[]"/>
    <m/>
    <s v="06688@general.tbd"/>
    <m/>
    <m/>
    <m/>
    <m/>
    <m/>
    <n v="0"/>
    <m/>
  </r>
  <r>
    <n v="4333"/>
    <n v="1.05"/>
    <d v="1899-12-30T01:03:00"/>
    <s v="50-Finalizado"/>
    <d v="1900-01-01T00:00:00"/>
    <x v="130"/>
    <d v="2024-08-14T00:00:00"/>
    <d v="2024-08-14T18:06:07"/>
    <x v="78"/>
    <n v="9.5555555555555505E-2"/>
    <d v="1899-12-30T00:05:44"/>
    <d v="2024-08-14T00:00:00"/>
    <d v="2024-08-14T18:06:07"/>
    <m/>
    <d v="1899-12-31T00:00:00"/>
    <d v="2024-08-14T18:11:51"/>
    <m/>
    <d v="1899-12-31T00:00:00"/>
    <d v="2024-08-20T19:15:38"/>
    <d v="2024-08-20T19:15:38"/>
    <m/>
    <m/>
    <d v="2024-08-14T00:00:00"/>
    <s v="Pruebas reserva de sala y verificación de calendario de tablet"/>
    <x v="3"/>
    <s v="Configuracion Hardware"/>
    <x v="2"/>
    <s v="Office 365"/>
    <m/>
    <m/>
    <s v="CANELLA, SOCIEDAD ANONIMA"/>
    <s v="PROYECTOS Y ORGANIZACION Y METODOS"/>
    <n v="4235"/>
    <n v="35"/>
    <s v="Mesa Ayuda Infraestructura"/>
    <n v="247556"/>
    <s v="DOUGLAS MONTOYA MONTAVES"/>
    <n v="299"/>
    <s v="CANELLA"/>
    <n v="1"/>
    <n v="7"/>
    <m/>
    <m/>
    <n v="1"/>
    <s v="CANELLA"/>
    <n v="299"/>
    <s v="Rosario Lic"/>
    <s v="&lt;p&gt;Pruebas reserva de sala y verificación de calendario de tablet&lt;/p&gt;"/>
    <s v="normal"/>
    <s v="En proceso"/>
    <s v="Pruebas reserva de sala y verificación de calendario de tablet"/>
    <n v="72"/>
    <b v="1"/>
    <s v="[26756]"/>
    <m/>
    <s v="05669@general.tbd"/>
    <n v="26756"/>
    <n v="0"/>
    <n v="299"/>
    <n v="8777"/>
    <s v="Mesa Ayuda Infraestructura"/>
    <n v="9.5555555555555505E-2"/>
    <m/>
  </r>
  <r>
    <n v="4329"/>
    <n v="0.116666666666666"/>
    <d v="1899-12-30T00:07:00"/>
    <s v="50-Finalizado"/>
    <d v="1900-01-01T00:00:00"/>
    <x v="131"/>
    <d v="2024-08-14T00:00:00"/>
    <d v="2024-08-14T17:54:23"/>
    <x v="79"/>
    <n v="0.118888888888888"/>
    <d v="1899-12-30T00:07:08"/>
    <d v="2024-08-14T00:00:00"/>
    <d v="2024-08-14T17:54:23"/>
    <m/>
    <d v="1899-12-31T00:00:00"/>
    <d v="2024-08-14T18:01:31"/>
    <m/>
    <d v="1899-12-31T00:00:00"/>
    <d v="2024-08-20T19:15:38"/>
    <d v="2024-08-20T19:15:38"/>
    <m/>
    <m/>
    <d v="2024-08-14T00:00:00"/>
    <s v="Se procede a brindar información de los activos que administra informática."/>
    <x v="3"/>
    <s v="Configuracion Hardware"/>
    <x v="2"/>
    <s v="(N/A) Sin aplicación software"/>
    <s v="(N/A) Sin módulo"/>
    <m/>
    <s v="CANELLA, SOCIEDAD ANONIMA"/>
    <s v="CONTABILIDAD, CANELLA, S. A."/>
    <n v="4231"/>
    <n v="35"/>
    <s v="Mesa Ayuda Infraestructura"/>
    <n v="247099"/>
    <s v="GABRIELA ALEJANDRA GONZALEZ PINEDA"/>
    <n v="299"/>
    <s v="CANELLA"/>
    <n v="1"/>
    <n v="6"/>
    <n v="13"/>
    <m/>
    <n v="1"/>
    <s v="CANELLA"/>
    <n v="299"/>
    <s v="Rosario Lic"/>
    <s v="&lt;p&gt;Se procede a brindar información de los activos que administra informática. &lt;/p&gt;"/>
    <s v="normal"/>
    <s v="En proceso"/>
    <s v="Consulta de solicitud de activos fijos"/>
    <n v="72"/>
    <b v="1"/>
    <s v="[26745]"/>
    <m/>
    <s v="06555@general.tbd"/>
    <n v="26745"/>
    <n v="0"/>
    <n v="299"/>
    <n v="8777"/>
    <s v="Mesa Ayuda Infraestructura"/>
    <n v="0.118888888888888"/>
    <m/>
  </r>
  <r>
    <n v="4321"/>
    <n v="0.46666666666666601"/>
    <d v="1899-12-30T00:28:00"/>
    <s v="50-Finalizado"/>
    <d v="1900-01-01T00:00:00"/>
    <x v="132"/>
    <d v="2024-08-14T00:00:00"/>
    <d v="2024-08-14T16:23:46"/>
    <x v="80"/>
    <n v="6.7811111111111098"/>
    <d v="1899-12-30T06:46:52"/>
    <d v="2024-08-14T00:00:00"/>
    <d v="2024-08-14T16:23:46"/>
    <m/>
    <d v="1899-12-31T00:00:00"/>
    <d v="2024-08-14T23:10:38"/>
    <m/>
    <d v="1899-12-31T00:00:00"/>
    <d v="2024-08-20T19:15:38"/>
    <d v="2024-08-20T19:15:38"/>
    <m/>
    <m/>
    <d v="2024-08-14T00:00:00"/>
    <s v="Revisión cotización, solicitud de autorización a Gerencia Informática para realizar orden de compra por cotización instalación equipo Escuintla Facturación e instalación 02 equipos Agencia CD Teculután, tablas dinámicas"/>
    <x v="9"/>
    <s v="Configuracion Software"/>
    <x v="2"/>
    <s v="Office 365"/>
    <m/>
    <m/>
    <s v="CANELLA, SOCIEDAD ANONIMA"/>
    <s v="INFORMATICA"/>
    <n v="4223"/>
    <n v="35"/>
    <s v="Mesa Ayuda Infraestructura"/>
    <n v="247813"/>
    <s v="OSCAR RAUL HERNANDEZ REYNA"/>
    <n v="314"/>
    <s v="CANELLA"/>
    <n v="2"/>
    <n v="7"/>
    <m/>
    <m/>
    <n v="1"/>
    <s v="CANELLA"/>
    <n v="314"/>
    <s v="Yosselyn Ignacio"/>
    <m/>
    <s v="normal"/>
    <s v="En proceso"/>
    <s v="Solicitud autorización órdenes de compra Antonio Recinos"/>
    <n v="72"/>
    <b v="1"/>
    <s v="[26760, 26759, 26707]"/>
    <m/>
    <s v="04025@general.tbd"/>
    <n v="26760"/>
    <n v="0"/>
    <n v="314"/>
    <n v="8777"/>
    <s v="Mesa Ayuda Infraestructura"/>
    <n v="6.7811111111111098"/>
    <m/>
  </r>
  <r>
    <n v="4321"/>
    <n v="0.266666666666666"/>
    <d v="1899-12-30T00:16:00"/>
    <s v="50-Finalizado"/>
    <d v="1900-01-01T00:00:00"/>
    <x v="132"/>
    <d v="2024-08-14T00:00:00"/>
    <d v="2024-08-14T16:23:46"/>
    <x v="80"/>
    <n v="6.7811111111111098"/>
    <d v="1899-12-30T06:46:52"/>
    <d v="2024-08-14T00:00:00"/>
    <d v="2024-08-14T16:23:46"/>
    <m/>
    <d v="1899-12-31T00:00:00"/>
    <d v="2024-08-14T23:10:38"/>
    <m/>
    <d v="1899-12-31T00:00:00"/>
    <d v="2024-08-20T19:15:38"/>
    <d v="2024-08-20T19:15:38"/>
    <m/>
    <m/>
    <d v="2024-08-14T00:00:00"/>
    <s v="Revisión horas de consultoría Antonio Recinos Julio, envió de correo a Rosario Lic. para proceder con la solicitud de orden de compra"/>
    <x v="9"/>
    <s v="Configuracion Software"/>
    <x v="2"/>
    <s v="Office 365"/>
    <m/>
    <m/>
    <s v="CANELLA, SOCIEDAD ANONIMA"/>
    <s v="INFORMATICA"/>
    <n v="4223"/>
    <n v="35"/>
    <s v="Mesa Ayuda Infraestructura"/>
    <n v="247813"/>
    <s v="OSCAR RAUL HERNANDEZ REYNA"/>
    <n v="314"/>
    <s v="CANELLA"/>
    <n v="2"/>
    <n v="7"/>
    <m/>
    <m/>
    <n v="1"/>
    <s v="CANELLA"/>
    <n v="314"/>
    <s v="Yosselyn Ignacio"/>
    <m/>
    <s v="normal"/>
    <s v="En proceso"/>
    <s v="Solicitud autorización órdenes de compra Antonio Recinos"/>
    <n v="72"/>
    <b v="1"/>
    <s v="[26760, 26759, 26707]"/>
    <m/>
    <s v="04025@general.tbd"/>
    <n v="26759"/>
    <n v="0"/>
    <n v="314"/>
    <n v="8777"/>
    <s v="Mesa Ayuda Infraestructura"/>
    <n v="6.7811111111111098"/>
    <m/>
  </r>
  <r>
    <n v="4321"/>
    <n v="0.18333333333333299"/>
    <d v="1899-12-30T00:11:00"/>
    <s v="50-Finalizado"/>
    <d v="1900-01-01T00:00:00"/>
    <x v="132"/>
    <d v="2024-08-14T00:00:00"/>
    <d v="2024-08-14T16:23:46"/>
    <x v="80"/>
    <n v="6.7811111111111098"/>
    <d v="1899-12-30T06:46:52"/>
    <d v="2024-08-14T00:00:00"/>
    <d v="2024-08-14T16:23:46"/>
    <m/>
    <d v="1899-12-31T00:00:00"/>
    <d v="2024-08-14T23:10:38"/>
    <m/>
    <d v="1899-12-31T00:00:00"/>
    <d v="2024-08-20T19:15:38"/>
    <d v="2024-08-20T19:15:38"/>
    <m/>
    <m/>
    <d v="2024-08-14T00:00:00"/>
    <s v="Revisión horas de consultoría Antonio Recinos Abril"/>
    <x v="9"/>
    <s v="Configuracion Software"/>
    <x v="2"/>
    <s v="Office 365"/>
    <m/>
    <m/>
    <s v="CANELLA, SOCIEDAD ANONIMA"/>
    <s v="INFORMATICA"/>
    <n v="4223"/>
    <n v="35"/>
    <s v="Mesa Ayuda Infraestructura"/>
    <n v="247813"/>
    <s v="OSCAR RAUL HERNANDEZ REYNA"/>
    <n v="314"/>
    <s v="CANELLA"/>
    <n v="2"/>
    <n v="7"/>
    <m/>
    <m/>
    <n v="1"/>
    <s v="CANELLA"/>
    <n v="314"/>
    <s v="Yosselyn Ignacio"/>
    <m/>
    <s v="normal"/>
    <s v="En proceso"/>
    <s v="Solicitud autorización órdenes de compra Antonio Recinos"/>
    <n v="72"/>
    <b v="1"/>
    <s v="[26760, 26759, 26707]"/>
    <m/>
    <s v="04025@general.tbd"/>
    <n v="26707"/>
    <n v="0"/>
    <n v="314"/>
    <n v="8777"/>
    <s v="Mesa Ayuda Infraestructura"/>
    <n v="6.7811111111111098"/>
    <m/>
  </r>
  <r>
    <n v="4319"/>
    <n v="0.1"/>
    <d v="1899-12-30T00:06:00"/>
    <s v="40-Esperando cliente"/>
    <d v="1900-01-01T00:00:00"/>
    <x v="133"/>
    <d v="2024-08-14T00:00:00"/>
    <d v="2024-08-14T16:17:36"/>
    <x v="4"/>
    <n v="0"/>
    <d v="1899-12-30T00:00:00"/>
    <d v="2024-08-14T00:00:00"/>
    <d v="2024-08-14T16:17:36"/>
    <m/>
    <d v="1899-12-31T00:00:00"/>
    <d v="1899-12-31T00:00:00"/>
    <m/>
    <d v="1899-12-31T00:00:00"/>
    <d v="2024-08-20T19:15:38"/>
    <d v="2024-08-20T19:15:38"/>
    <m/>
    <m/>
    <d v="2024-08-14T00:00:00"/>
    <s v="Se verifican los permisos para grupo de usuarios."/>
    <x v="3"/>
    <m/>
    <x v="2"/>
    <m/>
    <m/>
    <m/>
    <s v="CANELLA, SOCIEDAD ANONIMA"/>
    <s v="GERENCIA DE SERVICIOS/TALLER ISUZU"/>
    <n v="4221"/>
    <n v="35"/>
    <s v="Mesa Ayuda Infraestructura"/>
    <n v="247328"/>
    <s v="WENDY CAROLINA CAAL PEREZ de ALFARO"/>
    <n v="299"/>
    <s v="CANELLA"/>
    <m/>
    <m/>
    <m/>
    <m/>
    <n v="1"/>
    <s v="CANELLA"/>
    <n v="299"/>
    <s v="Rosario Lic"/>
    <s v="&lt;p&gt;Calendario de reserva de sala&lt;/p&gt;"/>
    <s v="normal"/>
    <s v="En proceso"/>
    <s v="Calendario de reserva de sala"/>
    <n v="71"/>
    <m/>
    <n v="26698"/>
    <m/>
    <s v="06170@general.tbd"/>
    <n v="26746"/>
    <n v="0"/>
    <n v="299"/>
    <n v="8777"/>
    <s v="Mesa Ayuda Infraestructura"/>
    <n v="0"/>
    <m/>
  </r>
  <r>
    <n v="4319"/>
    <n v="0.73333333333333295"/>
    <d v="1899-12-30T00:44:00"/>
    <s v="40-Esperando cliente"/>
    <d v="1900-01-01T00:00:00"/>
    <x v="133"/>
    <d v="2024-08-14T00:00:00"/>
    <d v="2024-08-14T16:17:36"/>
    <x v="4"/>
    <n v="0"/>
    <d v="1899-12-30T00:00:00"/>
    <d v="2024-08-14T00:00:00"/>
    <d v="2024-08-14T16:17:36"/>
    <m/>
    <d v="1899-12-31T00:00:00"/>
    <d v="1899-12-31T00:00:00"/>
    <m/>
    <d v="1899-12-31T00:00:00"/>
    <d v="2024-08-20T19:15:38"/>
    <d v="2024-08-20T19:15:38"/>
    <m/>
    <m/>
    <d v="2024-08-14T00:00:00"/>
    <s v="Calendario de reserva de sala"/>
    <x v="3"/>
    <m/>
    <x v="2"/>
    <m/>
    <m/>
    <m/>
    <s v="CANELLA, SOCIEDAD ANONIMA"/>
    <s v="GERENCIA DE SERVICIOS/TALLER ISUZU"/>
    <n v="4221"/>
    <n v="35"/>
    <s v="Mesa Ayuda Infraestructura"/>
    <n v="247328"/>
    <s v="WENDY CAROLINA CAAL PEREZ de ALFARO"/>
    <n v="299"/>
    <s v="CANELLA"/>
    <m/>
    <m/>
    <m/>
    <m/>
    <n v="1"/>
    <s v="CANELLA"/>
    <n v="299"/>
    <s v="Rosario Lic"/>
    <s v="&lt;p&gt;Calendario de reserva de sala&lt;/p&gt;"/>
    <s v="normal"/>
    <s v="En proceso"/>
    <s v="Calendario de reserva de sala"/>
    <n v="71"/>
    <m/>
    <n v="26698"/>
    <m/>
    <s v="06170@general.tbd"/>
    <n v="26698"/>
    <n v="0"/>
    <n v="299"/>
    <n v="8777"/>
    <s v="Mesa Ayuda Infraestructura"/>
    <n v="0"/>
    <m/>
  </r>
  <r>
    <n v="4318"/>
    <n v="0.25"/>
    <d v="1899-12-30T00:15:00"/>
    <s v="50-Finalizado"/>
    <d v="1900-01-01T00:00:00"/>
    <x v="134"/>
    <d v="2024-08-14T00:00:00"/>
    <d v="2024-08-14T16:08:58"/>
    <x v="81"/>
    <n v="1.19444444444444E-2"/>
    <d v="1899-12-30T00:00:43"/>
    <d v="2024-08-14T00:00:00"/>
    <d v="2024-08-14T16:08:58"/>
    <m/>
    <d v="1899-12-31T00:00:00"/>
    <d v="2024-08-14T16:09:41"/>
    <m/>
    <d v="1899-12-31T00:00:00"/>
    <d v="2024-08-20T19:15:38"/>
    <d v="2024-08-20T19:15:38"/>
    <m/>
    <m/>
    <d v="2024-08-14T00:00:00"/>
    <s v="Se procede a validar el usuario y contraseña para ingreso a correo"/>
    <x v="6"/>
    <s v="Configuracion Software"/>
    <x v="2"/>
    <s v="Laptop"/>
    <m/>
    <m/>
    <s v="CANELLA, SOCIEDAD ANONIMA"/>
    <s v="YAMAHA METRONORTE"/>
    <n v="4220"/>
    <n v="35"/>
    <s v="Mesa Ayuda Infraestructura"/>
    <n v="247657"/>
    <s v="DANIEL QUISQUINA PAR"/>
    <n v="2766"/>
    <s v="CANELLA"/>
    <n v="2"/>
    <n v="20"/>
    <m/>
    <m/>
    <n v="1"/>
    <s v="CANELLA"/>
    <n v="2766"/>
    <s v="José Julajuj Chumil"/>
    <m/>
    <s v="normal"/>
    <s v="En proceso"/>
    <s v="Soporte de ingreso de usuario y contraseña por correo -DANIEL QUISQUINA PAR-"/>
    <n v="72"/>
    <b v="1"/>
    <s v="[26692]"/>
    <m/>
    <s v="05185@general.tbd"/>
    <n v="26692"/>
    <n v="0"/>
    <n v="2766"/>
    <n v="8777"/>
    <s v="Mesa Ayuda Infraestructura"/>
    <n v="1.19444444444444E-2"/>
    <m/>
  </r>
  <r>
    <n v="4314"/>
    <n v="0.18333333333333299"/>
    <d v="1899-12-30T00:11:00"/>
    <s v="40-Esperando cliente"/>
    <d v="1900-01-01T00:00:00"/>
    <x v="135"/>
    <d v="2024-08-16T00:00:00"/>
    <d v="2024-08-14T15:45:23"/>
    <x v="4"/>
    <n v="0"/>
    <d v="1899-12-30T00:00:00"/>
    <d v="2024-08-14T00:00:00"/>
    <d v="2024-08-14T15:45:23"/>
    <m/>
    <d v="1899-12-31T00:00:00"/>
    <d v="1899-12-31T00:00:00"/>
    <m/>
    <d v="1899-12-31T00:00:00"/>
    <d v="2024-08-20T19:15:38"/>
    <d v="2024-08-20T19:15:38"/>
    <m/>
    <m/>
    <d v="2024-08-16T00:00:00"/>
    <s v="Coordinación de  cambio de cargador"/>
    <x v="3"/>
    <m/>
    <x v="2"/>
    <m/>
    <m/>
    <m/>
    <s v="CANELLA, SOCIEDAD ANONIMA"/>
    <s v="PROYECTOS Y ORGANIZACION Y METODOS"/>
    <n v="4216"/>
    <n v="35"/>
    <s v="Mesa Ayuda Infraestructura"/>
    <n v="247556"/>
    <s v="DOUGLAS MONTOYA MONTAVES"/>
    <n v="299"/>
    <s v="CANELLA"/>
    <m/>
    <m/>
    <m/>
    <m/>
    <n v="1"/>
    <s v="CANELLA"/>
    <n v="299"/>
    <s v="Rosario Lic"/>
    <s v="&lt;p&gt;Se procede a realizar orden de compra por instalación de tablet en sala grande, tercer nivel.&lt;/p&gt;"/>
    <s v="normal"/>
    <s v="En proceso"/>
    <s v="OC - Instalación de Tablet"/>
    <n v="71"/>
    <m/>
    <s v="[27379, 26696, 26695]"/>
    <m/>
    <s v="05669@general.tbd"/>
    <n v="27379"/>
    <n v="0"/>
    <n v="299"/>
    <n v="8777"/>
    <s v="Mesa Ayuda Infraestructura"/>
    <n v="0"/>
    <m/>
  </r>
  <r>
    <n v="4314"/>
    <n v="0"/>
    <d v="1899-12-30T00:00:00"/>
    <s v="40-Esperando cliente"/>
    <d v="1900-01-01T00:00:00"/>
    <x v="135"/>
    <d v="2024-08-16T00:00:00"/>
    <d v="2024-08-14T15:45:23"/>
    <x v="4"/>
    <n v="0"/>
    <d v="1899-12-30T00:00:00"/>
    <d v="2024-08-14T00:00:00"/>
    <d v="2024-08-14T15:45:23"/>
    <m/>
    <d v="1899-12-31T00:00:00"/>
    <d v="1899-12-31T00:00:00"/>
    <m/>
    <d v="1899-12-31T00:00:00"/>
    <d v="2024-08-20T19:15:38"/>
    <d v="2024-08-20T19:15:38"/>
    <m/>
    <m/>
    <d v="2024-08-14T00:00:00"/>
    <s v="Pendiente de indicar centros o centro de costo al cual se estará cargando"/>
    <x v="3"/>
    <m/>
    <x v="2"/>
    <m/>
    <m/>
    <m/>
    <s v="CANELLA, SOCIEDAD ANONIMA"/>
    <s v="PROYECTOS Y ORGANIZACION Y METODOS"/>
    <n v="4216"/>
    <n v="35"/>
    <s v="Mesa Ayuda Infraestructura"/>
    <n v="247556"/>
    <s v="DOUGLAS MONTOYA MONTAVES"/>
    <n v="299"/>
    <s v="CANELLA"/>
    <m/>
    <m/>
    <m/>
    <m/>
    <n v="1"/>
    <s v="CANELLA"/>
    <n v="299"/>
    <s v="Rosario Lic"/>
    <s v="&lt;p&gt;Se procede a realizar orden de compra por instalación de tablet en sala grande, tercer nivel.&lt;/p&gt;"/>
    <s v="normal"/>
    <s v="En proceso"/>
    <s v="OC - Instalación de Tablet"/>
    <n v="71"/>
    <m/>
    <s v="[27379, 26696, 26695]"/>
    <m/>
    <s v="05669@general.tbd"/>
    <n v="26696"/>
    <n v="0"/>
    <n v="299"/>
    <n v="8777"/>
    <s v="Mesa Ayuda Infraestructura"/>
    <n v="0"/>
    <m/>
  </r>
  <r>
    <n v="4314"/>
    <n v="0.266666666666666"/>
    <d v="1899-12-30T00:16:00"/>
    <s v="40-Esperando cliente"/>
    <d v="1900-01-01T00:00:00"/>
    <x v="135"/>
    <d v="2024-08-16T00:00:00"/>
    <d v="2024-08-14T15:45:23"/>
    <x v="4"/>
    <n v="0"/>
    <d v="1899-12-30T00:00:00"/>
    <d v="2024-08-14T00:00:00"/>
    <d v="2024-08-14T15:45:23"/>
    <m/>
    <d v="1899-12-31T00:00:00"/>
    <d v="1899-12-31T00:00:00"/>
    <m/>
    <d v="1899-12-31T00:00:00"/>
    <d v="2024-08-20T19:15:38"/>
    <d v="2024-08-20T19:15:38"/>
    <m/>
    <m/>
    <d v="2024-08-14T00:00:00"/>
    <s v="Se procede a realizar orden de compra por instalación de tablet en sala grande, tercer nivel."/>
    <x v="3"/>
    <m/>
    <x v="2"/>
    <m/>
    <m/>
    <m/>
    <s v="CANELLA, SOCIEDAD ANONIMA"/>
    <s v="PROYECTOS Y ORGANIZACION Y METODOS"/>
    <n v="4216"/>
    <n v="35"/>
    <s v="Mesa Ayuda Infraestructura"/>
    <n v="247556"/>
    <s v="DOUGLAS MONTOYA MONTAVES"/>
    <n v="299"/>
    <s v="CANELLA"/>
    <m/>
    <m/>
    <m/>
    <m/>
    <n v="1"/>
    <s v="CANELLA"/>
    <n v="299"/>
    <s v="Rosario Lic"/>
    <s v="&lt;p&gt;Se procede a realizar orden de compra por instalación de tablet en sala grande, tercer nivel.&lt;/p&gt;"/>
    <s v="normal"/>
    <s v="En proceso"/>
    <s v="OC - Instalación de Tablet"/>
    <n v="71"/>
    <m/>
    <s v="[27379, 26696, 26695]"/>
    <m/>
    <s v="05669@general.tbd"/>
    <n v="26695"/>
    <n v="0"/>
    <n v="299"/>
    <n v="8777"/>
    <s v="Mesa Ayuda Infraestructura"/>
    <n v="0"/>
    <m/>
  </r>
  <r>
    <n v="4313"/>
    <n v="0.266666666666666"/>
    <d v="1899-12-30T00:16:00"/>
    <s v="50-Finalizado"/>
    <d v="1900-01-01T00:00:00"/>
    <x v="136"/>
    <d v="2024-08-14T00:00:00"/>
    <d v="2024-08-14T15:29:32"/>
    <x v="82"/>
    <n v="4.9444444444444402E-2"/>
    <d v="1899-12-30T00:02:58"/>
    <d v="2024-08-14T00:00:00"/>
    <d v="2024-08-14T15:29:32"/>
    <m/>
    <d v="1899-12-31T00:00:00"/>
    <d v="2024-08-14T15:32:30"/>
    <m/>
    <d v="1899-12-31T00:00:00"/>
    <d v="2024-08-20T19:15:38"/>
    <d v="2024-08-20T19:15:38"/>
    <m/>
    <m/>
    <d v="2024-08-14T00:00:00"/>
    <s v="Se procedió a realizar descarga de correos para liberación de espacio en Outlook"/>
    <x v="3"/>
    <s v="Configuracion Software"/>
    <x v="2"/>
    <s v="Office 365"/>
    <m/>
    <m/>
    <s v="CANELLA, SOCIEDAD ANONIMA"/>
    <s v="YAMAHA VENTAS"/>
    <n v="4215"/>
    <n v="35"/>
    <s v="Mesa Ayuda Infraestructura"/>
    <n v="247838"/>
    <s v="SANDRA LISETH BARRIENTOS ARANDI"/>
    <n v="299"/>
    <s v="CANELLA"/>
    <n v="2"/>
    <n v="7"/>
    <m/>
    <m/>
    <n v="1"/>
    <s v="CANELLA"/>
    <n v="299"/>
    <s v="Rosario Lic"/>
    <s v="&lt;p&gt;Se procedió a realizar descarga de correos para liberación de espacio en Outlook &lt;/p&gt;"/>
    <s v="normal"/>
    <s v="En proceso"/>
    <s v="Creación de PST"/>
    <n v="72"/>
    <b v="1"/>
    <s v="[26682]"/>
    <m/>
    <s v="03723@general.tbd"/>
    <n v="26682"/>
    <n v="0"/>
    <n v="299"/>
    <n v="8777"/>
    <s v="Mesa Ayuda Infraestructura"/>
    <n v="4.9444444444444402E-2"/>
    <m/>
  </r>
  <r>
    <n v="4307"/>
    <n v="0.33333333333333298"/>
    <d v="1899-12-30T00:20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Asignación de equipo y entrega de equipo a usuario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829"/>
    <n v="0"/>
    <n v="2766"/>
    <n v="8777"/>
    <s v="Mesa Ayuda Infraestructura"/>
    <n v="7.95722222222222"/>
    <m/>
  </r>
  <r>
    <n v="4307"/>
    <n v="0.16666666666666599"/>
    <d v="1899-12-30T00:10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Creación de carpetas por cobian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828"/>
    <n v="0"/>
    <n v="2766"/>
    <n v="8777"/>
    <s v="Mesa Ayuda Infraestructura"/>
    <n v="7.95722222222222"/>
    <m/>
  </r>
  <r>
    <n v="4307"/>
    <n v="0.33333333333333298"/>
    <d v="1899-12-30T00:20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Configuración de usuario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779"/>
    <n v="0"/>
    <n v="2766"/>
    <n v="8777"/>
    <s v="Mesa Ayuda Infraestructura"/>
    <n v="7.95722222222222"/>
    <m/>
  </r>
  <r>
    <n v="4307"/>
    <n v="0.5"/>
    <d v="1899-12-30T00:30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Se procede a ejecutar el instalador de office 2016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773"/>
    <n v="0"/>
    <n v="2766"/>
    <n v="8777"/>
    <s v="Mesa Ayuda Infraestructura"/>
    <n v="7.95722222222222"/>
    <m/>
  </r>
  <r>
    <n v="4307"/>
    <n v="0.25"/>
    <d v="1899-12-30T00:15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Se procede a ejecutar instalador de Xopero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752"/>
    <n v="0"/>
    <n v="2766"/>
    <n v="8777"/>
    <s v="Mesa Ayuda Infraestructura"/>
    <n v="7.95722222222222"/>
    <m/>
  </r>
  <r>
    <n v="4307"/>
    <n v="0.1"/>
    <d v="1899-12-30T00:06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Se procede a ejecutar instalador de AnyDesk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751"/>
    <n v="0"/>
    <n v="2766"/>
    <n v="8777"/>
    <s v="Mesa Ayuda Infraestructura"/>
    <n v="7.95722222222222"/>
    <m/>
  </r>
  <r>
    <n v="4307"/>
    <n v="0.2"/>
    <d v="1899-12-30T00:12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Se procede a ejecutar instalador de CISCO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724"/>
    <n v="0"/>
    <n v="2766"/>
    <n v="8777"/>
    <s v="Mesa Ayuda Infraestructura"/>
    <n v="7.95722222222222"/>
    <m/>
  </r>
  <r>
    <n v="4307"/>
    <n v="0.25"/>
    <d v="1899-12-30T00:15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Se procede a ejecutar instalador de adobe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721"/>
    <n v="0"/>
    <n v="2766"/>
    <n v="8777"/>
    <s v="Mesa Ayuda Infraestructura"/>
    <n v="7.95722222222222"/>
    <m/>
  </r>
  <r>
    <n v="4307"/>
    <n v="0.2"/>
    <d v="1899-12-30T00:12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Se procede a ejecutar instalador de navegador Google Chrome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705"/>
    <n v="0"/>
    <n v="2766"/>
    <n v="8777"/>
    <s v="Mesa Ayuda Infraestructura"/>
    <n v="7.95722222222222"/>
    <m/>
  </r>
  <r>
    <n v="4307"/>
    <n v="0.2"/>
    <d v="1899-12-30T00:12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Se procede a ejecutar el instalador de VNC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697"/>
    <n v="0"/>
    <n v="2766"/>
    <n v="8777"/>
    <s v="Mesa Ayuda Infraestructura"/>
    <n v="7.95722222222222"/>
    <m/>
  </r>
  <r>
    <n v="4307"/>
    <n v="0.2"/>
    <d v="1899-12-30T00:12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Se procede a ejecutar el instalador de ESET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681"/>
    <n v="0"/>
    <n v="2766"/>
    <n v="8777"/>
    <s v="Mesa Ayuda Infraestructura"/>
    <n v="7.95722222222222"/>
    <m/>
  </r>
  <r>
    <n v="4307"/>
    <n v="0.75"/>
    <d v="1899-12-30T00:45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llevando a cabo el proceso de actualización de los sistemas operativos Windows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671"/>
    <n v="0"/>
    <n v="2766"/>
    <n v="8777"/>
    <s v="Mesa Ayuda Infraestructura"/>
    <n v="7.95722222222222"/>
    <m/>
  </r>
  <r>
    <n v="4307"/>
    <n v="0.41666666666666602"/>
    <d v="1899-12-30T00:25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Instalación de Windows 10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657"/>
    <n v="0"/>
    <n v="2766"/>
    <n v="8777"/>
    <s v="Mesa Ayuda Infraestructura"/>
    <n v="7.95722222222222"/>
    <m/>
  </r>
  <r>
    <n v="4301"/>
    <n v="0.18333333333333299"/>
    <d v="1899-12-30T00:11:00"/>
    <s v="50-Finalizado"/>
    <d v="1900-01-01T00:00:00"/>
    <x v="138"/>
    <d v="2024-08-19T00:00:00"/>
    <d v="2024-08-13T23:20:42"/>
    <x v="21"/>
    <n v="121.66972222222201"/>
    <d v="1900-01-04T01:40:11"/>
    <d v="2024-08-13T00:00:00"/>
    <d v="2024-08-13T23:20:42"/>
    <m/>
    <d v="1899-12-31T00:00:00"/>
    <d v="2024-08-19T01:00:53"/>
    <m/>
    <d v="1899-12-31T00:00:00"/>
    <d v="2024-08-20T19:15:38"/>
    <d v="2024-08-20T19:15:38"/>
    <m/>
    <m/>
    <d v="2024-08-13T00:00:00"/>
    <s v="Se procede a realizar compra de 6 teléfonos para nuevas agencias"/>
    <x v="3"/>
    <s v="Orden de compra"/>
    <x v="2"/>
    <s v="(N/A) Sin aplicación software"/>
    <s v="(N/A) Sin módulo"/>
    <m/>
    <s v="CANELLA, SOCIEDAD ANONIMA"/>
    <s v="INFORMATICA"/>
    <n v="4203"/>
    <n v="35"/>
    <s v="Mesa Ayuda Infraestructura"/>
    <n v="247813"/>
    <s v="OSCAR RAUL HERNANDEZ REYNA"/>
    <n v="299"/>
    <s v="CANELLA"/>
    <n v="6"/>
    <n v="6"/>
    <n v="13"/>
    <m/>
    <n v="1"/>
    <s v="CANELLA"/>
    <n v="299"/>
    <s v="Rosario Lic"/>
    <s v="&lt;p&gt;Se procede a realizar compra de 6 teléfonos para nuevas agencias &lt;/p&gt;"/>
    <s v="normal"/>
    <s v="En proceso"/>
    <s v="Compra de Teléfonos"/>
    <n v="72"/>
    <b v="1"/>
    <s v="[26582]"/>
    <m/>
    <s v="04025@general.tbd"/>
    <n v="26582"/>
    <n v="0"/>
    <n v="299"/>
    <n v="8777"/>
    <s v="Mesa Ayuda Infraestructura"/>
    <n v="121.66972222222201"/>
    <m/>
  </r>
  <r>
    <n v="4294"/>
    <n v="0.31666666666666599"/>
    <d v="1899-12-30T00:19:00"/>
    <s v="40-Esperando cliente"/>
    <d v="1900-01-01T00:00:00"/>
    <x v="139"/>
    <d v="2024-08-16T00:00:00"/>
    <d v="2024-08-13T22:39:45"/>
    <x v="4"/>
    <n v="0"/>
    <d v="1899-12-30T00:00:00"/>
    <d v="2024-08-13T00:00:00"/>
    <d v="2024-08-13T22:39:45"/>
    <m/>
    <d v="1899-12-31T00:00:00"/>
    <d v="1899-12-31T00:00:00"/>
    <m/>
    <d v="1899-12-31T00:00:00"/>
    <d v="2024-08-20T19:15:38"/>
    <d v="2024-08-20T19:15:38"/>
    <m/>
    <m/>
    <d v="2024-08-16T00:00:00"/>
    <s v="Verificación de reporte de pago en STOD (la solicitud de pago se tramitó como liquidación de pago por el 50% por finalización de trabajo)"/>
    <x v="3"/>
    <m/>
    <x v="2"/>
    <m/>
    <m/>
    <m/>
    <s v="CANELLA, SOCIEDAD ANONIMA"/>
    <s v="INFORMATICA"/>
    <n v="4196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Se procede a verificar documentos (cotización,orden de compra y depósitos) por informe de saldo a favor en último depósito. &lt;/p&gt;"/>
    <s v="normal"/>
    <s v="En proceso"/>
    <s v="Verificación de depósitos a Comsoft"/>
    <n v="71"/>
    <m/>
    <s v="[27078, 26770, 26547]"/>
    <m/>
    <s v="04025@general.tbd"/>
    <n v="27078"/>
    <n v="0"/>
    <n v="299"/>
    <n v="8777"/>
    <s v="Mesa Ayuda Infraestructura"/>
    <n v="0"/>
    <m/>
  </r>
  <r>
    <n v="4294"/>
    <n v="0.43333333333333302"/>
    <d v="1899-12-30T00:26:00"/>
    <s v="40-Esperando cliente"/>
    <d v="1900-01-01T00:00:00"/>
    <x v="139"/>
    <d v="2024-08-16T00:00:00"/>
    <d v="2024-08-13T22:39:45"/>
    <x v="4"/>
    <n v="0"/>
    <d v="1899-12-30T00:00:00"/>
    <d v="2024-08-13T00:00:00"/>
    <d v="2024-08-13T22:39:45"/>
    <m/>
    <d v="1899-12-31T00:00:00"/>
    <d v="1899-12-31T00:00:00"/>
    <m/>
    <d v="1899-12-31T00:00:00"/>
    <d v="2024-08-20T19:15:38"/>
    <d v="2024-08-20T19:15:38"/>
    <m/>
    <m/>
    <d v="2024-08-14T00:00:00"/>
    <s v="Se verifica que contabilidad realizó el pago de el total por un anticipo por el 50%, el cual deja a Canella con un saldo a favor de Q 5,214.475"/>
    <x v="3"/>
    <m/>
    <x v="2"/>
    <m/>
    <m/>
    <m/>
    <s v="CANELLA, SOCIEDAD ANONIMA"/>
    <s v="INFORMATICA"/>
    <n v="4196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Se procede a verificar documentos (cotización,orden de compra y depósitos) por informe de saldo a favor en último depósito. &lt;/p&gt;"/>
    <s v="normal"/>
    <s v="En proceso"/>
    <s v="Verificación de depósitos a Comsoft"/>
    <n v="71"/>
    <m/>
    <s v="[27078, 26770, 26547]"/>
    <m/>
    <s v="04025@general.tbd"/>
    <n v="26770"/>
    <n v="0"/>
    <n v="299"/>
    <n v="8777"/>
    <s v="Mesa Ayuda Infraestructura"/>
    <n v="0"/>
    <m/>
  </r>
  <r>
    <n v="4294"/>
    <n v="0.266666666666666"/>
    <d v="1899-12-30T00:16:00"/>
    <s v="40-Esperando cliente"/>
    <d v="1900-01-01T00:00:00"/>
    <x v="139"/>
    <d v="2024-08-16T00:00:00"/>
    <d v="2024-08-13T22:39:45"/>
    <x v="4"/>
    <n v="0"/>
    <d v="1899-12-30T00:00:00"/>
    <d v="2024-08-13T00:00:00"/>
    <d v="2024-08-13T22:39:45"/>
    <m/>
    <d v="1899-12-31T00:00:00"/>
    <d v="1899-12-31T00:00:00"/>
    <m/>
    <d v="1899-12-31T00:00:00"/>
    <d v="2024-08-20T19:15:38"/>
    <d v="2024-08-20T19:15:38"/>
    <m/>
    <m/>
    <d v="2024-08-13T00:00:00"/>
    <s v="Se procede a verificar documentos (cotización,orden de compra y depósitos) por informe de saldo a favor en último depósito."/>
    <x v="3"/>
    <m/>
    <x v="2"/>
    <m/>
    <m/>
    <m/>
    <s v="CANELLA, SOCIEDAD ANONIMA"/>
    <s v="INFORMATICA"/>
    <n v="4196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Se procede a verificar documentos (cotización,orden de compra y depósitos) por informe de saldo a favor en último depósito. &lt;/p&gt;"/>
    <s v="normal"/>
    <s v="En proceso"/>
    <s v="Verificación de depósitos a Comsoft"/>
    <n v="71"/>
    <m/>
    <s v="[27078, 26770, 26547]"/>
    <m/>
    <s v="04025@general.tbd"/>
    <n v="26547"/>
    <n v="0"/>
    <n v="299"/>
    <n v="8777"/>
    <s v="Mesa Ayuda Infraestructura"/>
    <n v="0"/>
    <m/>
  </r>
  <r>
    <n v="4292"/>
    <n v="0.2"/>
    <d v="1899-12-30T00:12:00"/>
    <s v="50-Finalizado"/>
    <d v="1900-01-01T00:00:00"/>
    <x v="140"/>
    <d v="2024-08-14T00:00:00"/>
    <d v="2024-08-13T22:35:51"/>
    <x v="84"/>
    <n v="19.6047222222222"/>
    <d v="1899-12-30T19:36:17"/>
    <d v="2024-08-13T00:00:00"/>
    <d v="2024-08-13T22:35:51"/>
    <m/>
    <d v="1899-12-31T00:00:00"/>
    <d v="2024-08-14T18:12:08"/>
    <m/>
    <d v="1899-12-31T00:00:00"/>
    <d v="2024-08-20T19:15:38"/>
    <d v="2024-08-20T19:15:38"/>
    <m/>
    <m/>
    <d v="2024-08-14T00:00:00"/>
    <s v="Se verificó con Miguel  y se indico que la reserva de hiciera a través de 1 persona del 3er nivel"/>
    <x v="3"/>
    <s v="Configuracion Software"/>
    <x v="2"/>
    <s v="(N/A) Sin aplicación software"/>
    <s v="(N/A) Sin módulo"/>
    <m/>
    <s v="CANELLA, SOCIEDAD ANONIMA"/>
    <s v="SERVICIO AL CLIENTE DIVISION AUTOMOTRIZ"/>
    <n v="4194"/>
    <n v="35"/>
    <s v="Mesa Ayuda Infraestructura"/>
    <n v="247648"/>
    <s v="WALTER GABRIEL CARDOZA GIRON"/>
    <n v="299"/>
    <s v="CANELLA"/>
    <n v="2"/>
    <n v="6"/>
    <n v="13"/>
    <m/>
    <n v="1"/>
    <s v="CANELLA"/>
    <n v="299"/>
    <s v="Rosario Lic"/>
    <s v="&lt;p&gt;Se procede a verificar los permisos o procedimiento para reserva de salas, (se verifica según proyectos)&lt;/p&gt;"/>
    <s v="normal"/>
    <s v="En proceso"/>
    <s v="Consulta acerca de permisos para reservaciones de salas en 3er nivel"/>
    <n v="72"/>
    <b v="1"/>
    <n v="26545"/>
    <m/>
    <s v="05242@general.tbd"/>
    <n v="26757"/>
    <n v="0"/>
    <n v="299"/>
    <n v="8777"/>
    <s v="Mesa Ayuda Infraestructura"/>
    <n v="19.6047222222222"/>
    <m/>
  </r>
  <r>
    <n v="4292"/>
    <n v="0.68333333333333302"/>
    <d v="1899-12-30T00:41:00"/>
    <s v="50-Finalizado"/>
    <d v="1900-01-01T00:00:00"/>
    <x v="140"/>
    <d v="2024-08-14T00:00:00"/>
    <d v="2024-08-13T22:35:51"/>
    <x v="84"/>
    <n v="19.6047222222222"/>
    <d v="1899-12-30T19:36:17"/>
    <d v="2024-08-13T00:00:00"/>
    <d v="2024-08-13T22:35:51"/>
    <m/>
    <d v="1899-12-31T00:00:00"/>
    <d v="2024-08-14T18:12:08"/>
    <m/>
    <d v="1899-12-31T00:00:00"/>
    <d v="2024-08-20T19:15:38"/>
    <d v="2024-08-20T19:15:38"/>
    <m/>
    <m/>
    <d v="2024-08-13T00:00:00"/>
    <s v="Se procede a verificar los permisos o procedimiento para reserva de salas, (se verifica según proyectos)"/>
    <x v="3"/>
    <s v="Configuracion Software"/>
    <x v="2"/>
    <s v="(N/A) Sin aplicación software"/>
    <s v="(N/A) Sin módulo"/>
    <m/>
    <s v="CANELLA, SOCIEDAD ANONIMA"/>
    <s v="SERVICIO AL CLIENTE DIVISION AUTOMOTRIZ"/>
    <n v="4194"/>
    <n v="35"/>
    <s v="Mesa Ayuda Infraestructura"/>
    <n v="247648"/>
    <s v="WALTER GABRIEL CARDOZA GIRON"/>
    <n v="299"/>
    <s v="CANELLA"/>
    <n v="2"/>
    <n v="6"/>
    <n v="13"/>
    <m/>
    <n v="1"/>
    <s v="CANELLA"/>
    <n v="299"/>
    <s v="Rosario Lic"/>
    <s v="&lt;p&gt;Se procede a verificar los permisos o procedimiento para reserva de salas, (se verifica según proyectos)&lt;/p&gt;"/>
    <s v="normal"/>
    <s v="En proceso"/>
    <s v="Consulta acerca de permisos para reservaciones de salas en 3er nivel"/>
    <n v="72"/>
    <b v="1"/>
    <n v="26545"/>
    <m/>
    <s v="05242@general.tbd"/>
    <n v="26545"/>
    <n v="0"/>
    <n v="299"/>
    <n v="8777"/>
    <s v="Mesa Ayuda Infraestructura"/>
    <n v="19.6047222222222"/>
    <m/>
  </r>
  <r>
    <n v="4286"/>
    <n v="0.58333333333333304"/>
    <d v="1899-12-30T00:35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6T00:00:00"/>
    <s v="Diagnostico de equipo, batería dañada, verificación de RAM, verificación de disco duro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7003"/>
    <n v="0"/>
    <n v="2766"/>
    <n v="8777"/>
    <s v="Mesa Ayuda Infraestructura"/>
    <n v="0"/>
    <m/>
  </r>
  <r>
    <n v="4286"/>
    <n v="0.25"/>
    <d v="1899-12-30T00:15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4T00:00:00"/>
    <s v="Revisión de Disco Duro M2 Usuarios y contenido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846"/>
    <n v="0"/>
    <n v="2766"/>
    <n v="8777"/>
    <s v="Mesa Ayuda Infraestructura"/>
    <n v="0"/>
    <m/>
  </r>
  <r>
    <n v="4286"/>
    <n v="0.33333333333333298"/>
    <d v="1899-12-30T00:20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4T00:00:00"/>
    <s v="Diagnostico de equipo, tecla &quot;E&quot; dañada, verificación de RAM, Verificación de disco duro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838"/>
    <n v="0"/>
    <n v="2766"/>
    <n v="8777"/>
    <s v="Mesa Ayuda Infraestructura"/>
    <n v="0"/>
    <m/>
  </r>
  <r>
    <n v="4286"/>
    <n v="0.33333333333333298"/>
    <d v="1899-12-30T00:20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4T00:00:00"/>
    <s v="Diagnostico de equipo pantalla rota en medio, verificación de RAM, Verificación de disco duro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836"/>
    <n v="0"/>
    <n v="2766"/>
    <n v="8777"/>
    <s v="Mesa Ayuda Infraestructura"/>
    <n v="0"/>
    <m/>
  </r>
  <r>
    <n v="4286"/>
    <n v="0.33333333333333298"/>
    <d v="1899-12-30T00:20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4T00:00:00"/>
    <s v="Diagnostico de equipo pantalla no funciona correctamente se visualiza morada la imagen, verificación de RAM, Verificación de disco duro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771"/>
    <n v="0"/>
    <n v="2766"/>
    <n v="8777"/>
    <s v="Mesa Ayuda Infraestructura"/>
    <n v="0"/>
    <m/>
  </r>
  <r>
    <n v="4286"/>
    <n v="0.33333333333333298"/>
    <d v="1899-12-30T00:20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4T00:00:00"/>
    <s v="Diagnostico de equipo pantalla dañada por golpe, verificación de RAM, Verificación de disco duro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769"/>
    <n v="0"/>
    <n v="2766"/>
    <n v="8777"/>
    <s v="Mesa Ayuda Infraestructura"/>
    <n v="0"/>
    <m/>
  </r>
  <r>
    <n v="4286"/>
    <n v="0.33333333333333298"/>
    <d v="1899-12-30T00:20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4T00:00:00"/>
    <s v="Diagnostico de equipo dañado por liquido derramado, verificación de RAM, Verificación de disco duro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767"/>
    <n v="0"/>
    <n v="2766"/>
    <n v="8777"/>
    <s v="Mesa Ayuda Infraestructura"/>
    <n v="0"/>
    <m/>
  </r>
  <r>
    <n v="4286"/>
    <n v="0.33333333333333298"/>
    <d v="1899-12-30T00:20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4T00:00:00"/>
    <s v="Diagnostico de equipo placa madre no y teclado no funciona, verificación de RAM, Verificación de disco duro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732"/>
    <n v="0"/>
    <n v="2766"/>
    <n v="8777"/>
    <s v="Mesa Ayuda Infraestructura"/>
    <n v="0"/>
    <m/>
  </r>
  <r>
    <n v="4286"/>
    <n v="0.5"/>
    <d v="1899-12-30T00:30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4T00:00:00"/>
    <s v="Diagnostico de equipo pantalla no funciona correctamente, verificación de RAM, Verificación de disco duro usuarios y almacenamiento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726"/>
    <n v="0"/>
    <n v="2766"/>
    <n v="8777"/>
    <s v="Mesa Ayuda Infraestructura"/>
    <n v="0"/>
    <m/>
  </r>
  <r>
    <n v="4286"/>
    <n v="0.75"/>
    <d v="1899-12-30T00:45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3T00:00:00"/>
    <s v="Diagnostico de equipo pantalla no funciona, verificación de RAM, Verificación de disco duro usuarios y almacenamiento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572"/>
    <n v="0"/>
    <n v="2766"/>
    <n v="8777"/>
    <s v="Mesa Ayuda Infraestructura"/>
    <n v="0"/>
    <m/>
  </r>
  <r>
    <n v="4286"/>
    <n v="0.5"/>
    <d v="1899-12-30T00:30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3T00:00:00"/>
    <s v="Diagnostico de equipo pantalla completamente dañada, verificación de RAM. Verificación de procesador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546"/>
    <n v="0"/>
    <n v="2766"/>
    <n v="8777"/>
    <s v="Mesa Ayuda Infraestructura"/>
    <n v="0"/>
    <m/>
  </r>
  <r>
    <n v="4286"/>
    <n v="0.5"/>
    <d v="1899-12-30T00:30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3T00:00:00"/>
    <s v="Diagnostico de equipo placa madre dañada, comprobación de espacio de disco, RAM disponible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538"/>
    <n v="0"/>
    <n v="2766"/>
    <n v="8777"/>
    <s v="Mesa Ayuda Infraestructura"/>
    <n v="0"/>
    <m/>
  </r>
  <r>
    <n v="4286"/>
    <n v="0.41666666666666602"/>
    <d v="1899-12-30T00:25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3T00:00:00"/>
    <s v="Diagnostico de equipo pantalla en mal estado, dañada, RAM. Procesador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535"/>
    <n v="0"/>
    <n v="2766"/>
    <n v="8777"/>
    <s v="Mesa Ayuda Infraestructura"/>
    <n v="0"/>
    <m/>
  </r>
  <r>
    <n v="4286"/>
    <n v="0.5"/>
    <d v="1899-12-30T00:30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3T00:00:00"/>
    <s v="Diagnostico de equipo placa madre en corto circuito, RAM, Procesador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534"/>
    <n v="0"/>
    <n v="2766"/>
    <n v="8777"/>
    <s v="Mesa Ayuda Infraestructura"/>
    <n v="0"/>
    <m/>
  </r>
  <r>
    <n v="4286"/>
    <n v="0.58333333333333304"/>
    <d v="1899-12-30T00:35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3T00:00:00"/>
    <s v="Diagnostico de equipo pantalla en mal estado parpadea, RAM. Procesador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528"/>
    <n v="0"/>
    <n v="2766"/>
    <n v="8777"/>
    <s v="Mesa Ayuda Infraestructura"/>
    <n v="0"/>
    <m/>
  </r>
  <r>
    <n v="4280"/>
    <n v="0.15"/>
    <d v="1899-12-30T00:09:00"/>
    <s v="50-Finalizado"/>
    <d v="1900-01-01T00:00:00"/>
    <x v="142"/>
    <d v="2024-08-13T00:00:00"/>
    <d v="2024-08-13T20:54:17"/>
    <x v="85"/>
    <n v="5.0555555555555499E-2"/>
    <d v="1899-12-30T00:03:02"/>
    <d v="2024-08-13T00:00:00"/>
    <d v="2024-08-13T20:54:17"/>
    <m/>
    <d v="1899-12-31T00:00:00"/>
    <d v="2024-08-13T20:57:19"/>
    <b v="1"/>
    <d v="2024-08-13T20:57:19"/>
    <d v="2024-08-20T19:15:38"/>
    <d v="2024-08-20T19:15:38"/>
    <m/>
    <m/>
    <d v="2024-08-13T00:00:00"/>
    <s v="Se procedió a brindar premisos para el ingreso a servidor 118 para facturaciones."/>
    <x v="3"/>
    <s v="Configuracion Software"/>
    <x v="2"/>
    <s v="SAP"/>
    <m/>
    <m/>
    <s v="CANELLA, SOCIEDAD ANONIMA"/>
    <s v="AGENCIA ISUZU MAJADAS"/>
    <n v="4182"/>
    <n v="35"/>
    <s v="Mesa Ayuda Infraestructura"/>
    <n v="247037"/>
    <s v="JULIO KEVIN ENRIQUE CARRION DE LEON"/>
    <n v="299"/>
    <s v="CANELLA"/>
    <n v="2"/>
    <n v="5"/>
    <m/>
    <m/>
    <n v="1"/>
    <s v="CANELLA"/>
    <n v="299"/>
    <s v="Rosario Lic"/>
    <s v="&lt;p&gt;Se procedió a brindar premisos para el ingreso a servidor 118 para facturaciones.&lt;/p&gt;"/>
    <s v="normal"/>
    <s v="En proceso"/>
    <s v="Permisos para ingreso a servidor 118"/>
    <n v="72"/>
    <b v="1"/>
    <s v="[26518]"/>
    <m/>
    <s v="06639@general.tbd"/>
    <n v="26518"/>
    <n v="0"/>
    <n v="299"/>
    <n v="8777"/>
    <s v="Mesa Ayuda Infraestructura"/>
    <n v="5.0555555555555499E-2"/>
    <m/>
  </r>
  <r>
    <n v="4277"/>
    <n v="0.16666666666666599"/>
    <d v="1899-12-30T00:10:00"/>
    <s v="50-Finalizado"/>
    <d v="1900-01-01T00:00:00"/>
    <x v="143"/>
    <d v="2024-08-13T00:00:00"/>
    <d v="2024-08-13T20:18:52"/>
    <x v="86"/>
    <n v="1.13222222222222"/>
    <d v="1899-12-30T01:07:56"/>
    <d v="2024-08-13T00:00:00"/>
    <d v="2024-08-13T20:18:52"/>
    <m/>
    <d v="1899-12-31T00:00:00"/>
    <d v="2024-08-13T21:26:48"/>
    <b v="1"/>
    <d v="2024-08-13T21:26:48"/>
    <d v="2024-08-20T19:15:38"/>
    <d v="2024-08-20T19:15:38"/>
    <s v="Resuelto"/>
    <m/>
    <d v="2024-08-13T00:00:00"/>
    <s v="Se hace entrega de cámara web será proporcionada al usuario en su configuración estándar"/>
    <x v="6"/>
    <s v="Configuracion Hardware"/>
    <x v="2"/>
    <s v="Desktop"/>
    <m/>
    <m/>
    <s v="CANELLA, SOCIEDAD ANONIMA"/>
    <s v="ISUZU"/>
    <n v="4179"/>
    <n v="35"/>
    <s v="Mesa Ayuda Infraestructura"/>
    <n v="246884"/>
    <s v="CHRISTOFER ANIBAL GONZALEZ SIC"/>
    <n v="2766"/>
    <s v="CANELLA"/>
    <n v="1"/>
    <n v="21"/>
    <m/>
    <m/>
    <n v="1"/>
    <s v="CANELLA"/>
    <n v="2766"/>
    <s v="José Julajuj Chumil"/>
    <m/>
    <s v="normal"/>
    <s v="En proceso"/>
    <s v="Entrega de equipo Cámara Web -Christofer Gonzalez-"/>
    <n v="72"/>
    <b v="1"/>
    <s v="[26505]"/>
    <n v="2"/>
    <s v="06811@general.tbd"/>
    <n v="26505"/>
    <n v="0"/>
    <n v="2766"/>
    <n v="8777"/>
    <s v="Mesa Ayuda Infraestructura"/>
    <n v="1.13222222222222"/>
    <m/>
  </r>
  <r>
    <n v="4276"/>
    <n v="0.16666666666666599"/>
    <d v="1899-12-30T00:10:00"/>
    <s v="50-Finalizado"/>
    <d v="1900-01-01T00:00:00"/>
    <x v="144"/>
    <d v="2024-08-13T00:00:00"/>
    <d v="2024-08-13T20:13:14"/>
    <x v="87"/>
    <n v="2.2777777777777699E-2"/>
    <d v="1899-12-30T00:01:22"/>
    <d v="2024-08-13T00:00:00"/>
    <d v="2024-08-13T20:13:14"/>
    <m/>
    <d v="1899-12-31T00:00:00"/>
    <d v="2024-08-13T20:14:36"/>
    <b v="1"/>
    <d v="2024-08-13T20:14:36"/>
    <d v="2024-08-20T19:15:38"/>
    <d v="2024-08-20T19:15:38"/>
    <m/>
    <m/>
    <d v="2024-08-13T00:00:00"/>
    <s v="Se hace entrega de cámara web será proporcionada al usuario en su configuración estándar"/>
    <x v="6"/>
    <s v="Configuracion Hardware"/>
    <x v="2"/>
    <s v="Desktop"/>
    <m/>
    <m/>
    <s v="CANELLA, SOCIEDAD ANONIMA"/>
    <s v="ISUZU"/>
    <n v="4178"/>
    <n v="35"/>
    <s v="Mesa Ayuda Infraestructura"/>
    <n v="247218"/>
    <s v="LINDA BERENICE ROBELO PEREZ"/>
    <n v="2766"/>
    <s v="CANELLA"/>
    <n v="1"/>
    <n v="21"/>
    <m/>
    <m/>
    <n v="1"/>
    <s v="CANELLA"/>
    <n v="2766"/>
    <s v="José Julajuj Chumil"/>
    <m/>
    <s v="normal"/>
    <s v="En proceso"/>
    <s v="Entrega de equipo Cámara Web -Linda Robelo-"/>
    <n v="72"/>
    <b v="1"/>
    <s v="[26501]"/>
    <m/>
    <s v="06364@general.tbd"/>
    <n v="26501"/>
    <n v="0"/>
    <n v="2766"/>
    <n v="8777"/>
    <s v="Mesa Ayuda Infraestructura"/>
    <n v="2.2777777777777699E-2"/>
    <m/>
  </r>
  <r>
    <n v="4275"/>
    <n v="0.16666666666666599"/>
    <d v="1899-12-30T00:10:00"/>
    <s v="50-Finalizado"/>
    <d v="1900-01-01T00:00:00"/>
    <x v="145"/>
    <d v="2024-08-13T00:00:00"/>
    <d v="2024-08-13T20:08:35"/>
    <x v="88"/>
    <n v="6.6111111111111107E-2"/>
    <d v="1899-12-30T00:03:58"/>
    <d v="2024-08-13T00:00:00"/>
    <d v="2024-08-13T20:08:35"/>
    <m/>
    <d v="1899-12-31T00:00:00"/>
    <d v="2024-08-13T20:12:33"/>
    <b v="1"/>
    <d v="2024-08-13T20:12:33"/>
    <d v="2024-08-20T19:15:38"/>
    <d v="2024-08-20T19:15:38"/>
    <m/>
    <m/>
    <d v="2024-08-13T00:00:00"/>
    <s v="Entrega de cámara web será proporcionada al usuario en su configuración estándar"/>
    <x v="6"/>
    <s v="Configuracion Hardware"/>
    <x v="2"/>
    <s v="Desktop"/>
    <m/>
    <m/>
    <s v="CANELLA, SOCIEDAD ANONIMA"/>
    <s v="ISUZU"/>
    <n v="4177"/>
    <n v="35"/>
    <s v="Mesa Ayuda Infraestructura"/>
    <n v="247720"/>
    <s v="MELISSA BETSABE RUBIO GONZALEZ"/>
    <n v="2766"/>
    <s v="CANELLA"/>
    <n v="1"/>
    <n v="21"/>
    <m/>
    <m/>
    <n v="1"/>
    <s v="CANELLA"/>
    <n v="2766"/>
    <s v="José Julajuj Chumil"/>
    <m/>
    <s v="normal"/>
    <s v="En proceso"/>
    <s v="Entrega de equipo Cámara Web -Melissa Rubio-"/>
    <n v="72"/>
    <b v="1"/>
    <s v="[26500]"/>
    <m/>
    <s v="04768@general.tbd"/>
    <n v="26500"/>
    <n v="0"/>
    <n v="2766"/>
    <n v="8777"/>
    <s v="Mesa Ayuda Infraestructura"/>
    <n v="6.6111111111111107E-2"/>
    <m/>
  </r>
  <r>
    <n v="4272"/>
    <n v="0.25"/>
    <d v="1899-12-30T00:15:00"/>
    <s v="50-Finalizado"/>
    <d v="1900-01-01T00:00:00"/>
    <x v="146"/>
    <d v="2024-08-13T00:00:00"/>
    <d v="2024-08-13T18:25:19"/>
    <x v="89"/>
    <n v="0.232222222222222"/>
    <d v="1899-12-30T00:13:56"/>
    <d v="2024-08-13T00:00:00"/>
    <d v="2024-08-13T18:25:19"/>
    <m/>
    <d v="1899-12-31T00:00:00"/>
    <d v="2024-08-13T18:39:15"/>
    <b v="1"/>
    <d v="2024-08-13T18:39:15"/>
    <d v="2024-08-20T19:15:38"/>
    <d v="2024-08-20T19:15:38"/>
    <m/>
    <m/>
    <d v="2024-08-13T00:00:00"/>
    <s v="Se ha establecido una conexión entre el monitor externo y el puerto de salida de video de la laptop"/>
    <x v="6"/>
    <s v="Configuracion Hardware"/>
    <x v="2"/>
    <s v="Monitor"/>
    <m/>
    <m/>
    <s v="CANELLA, SOCIEDAD ANONIMA"/>
    <s v="UNIDAD DE SOLUCIONES DIGITALES"/>
    <n v="4174"/>
    <n v="35"/>
    <s v="Mesa Ayuda Infraestructura"/>
    <n v="246987"/>
    <s v="ASTRID ANAHÍ MONTERROSO ESQUIVEL"/>
    <n v="2766"/>
    <s v="CANELLA"/>
    <n v="1"/>
    <n v="23"/>
    <m/>
    <m/>
    <n v="1"/>
    <s v="CANELLA"/>
    <n v="2766"/>
    <s v="José Julajuj Chumil"/>
    <m/>
    <s v="normal"/>
    <s v="En proceso"/>
    <s v="Instalacion de monitor -Anahi Monterroso-"/>
    <n v="72"/>
    <b v="1"/>
    <s v="[26482]"/>
    <m/>
    <s v="06696@general.tbd"/>
    <n v="26482"/>
    <n v="0"/>
    <n v="2766"/>
    <n v="8777"/>
    <s v="Mesa Ayuda Infraestructura"/>
    <n v="0.232222222222222"/>
    <m/>
  </r>
  <r>
    <n v="4266"/>
    <n v="0.25"/>
    <d v="1899-12-30T00:15:00"/>
    <s v="50-Finalizado"/>
    <d v="1900-01-01T00:00:00"/>
    <x v="147"/>
    <d v="2024-08-13T00:00:00"/>
    <d v="2024-08-13T18:01:29"/>
    <x v="90"/>
    <n v="5.1388888888888803E-2"/>
    <d v="1899-12-30T00:03:05"/>
    <d v="2024-08-13T00:00:00"/>
    <d v="2024-08-13T18:01:29"/>
    <m/>
    <d v="1899-12-31T00:00:00"/>
    <d v="2024-08-13T18:04:34"/>
    <b v="1"/>
    <d v="2024-08-13T18:04:34"/>
    <d v="2024-08-20T19:15:38"/>
    <d v="2024-08-20T19:15:38"/>
    <m/>
    <m/>
    <d v="2024-08-13T00:00:00"/>
    <s v="Entrega de equipo y revisión de usuario"/>
    <x v="6"/>
    <s v="Configuracion Hardware"/>
    <x v="2"/>
    <s v="Laptop"/>
    <m/>
    <m/>
    <s v="CANELLA, SOCIEDAD ANONIMA"/>
    <s v="CENTRO DE SERVICIOS YAMAHA"/>
    <n v="4168"/>
    <n v="35"/>
    <s v="Mesa Ayuda Infraestructura"/>
    <n v="247468"/>
    <s v="BRANDON AGUSTIN JORGE RAMI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Cindy Nicolle-"/>
    <n v="72"/>
    <b v="1"/>
    <n v="26474"/>
    <m/>
    <s v="05889@general.tbd"/>
    <n v="26475"/>
    <n v="0"/>
    <n v="2766"/>
    <n v="8777"/>
    <s v="Mesa Ayuda Infraestructura"/>
    <n v="5.1388888888888803E-2"/>
    <m/>
  </r>
  <r>
    <n v="4266"/>
    <n v="0.75"/>
    <d v="1899-12-30T00:45:00"/>
    <s v="50-Finalizado"/>
    <d v="1900-01-01T00:00:00"/>
    <x v="147"/>
    <d v="2024-08-13T00:00:00"/>
    <d v="2024-08-13T18:01:29"/>
    <x v="90"/>
    <n v="5.1388888888888803E-2"/>
    <d v="1899-12-30T00:03:05"/>
    <d v="2024-08-13T00:00:00"/>
    <d v="2024-08-13T18:01:29"/>
    <m/>
    <d v="1899-12-31T00:00:00"/>
    <d v="2024-08-13T18:04:34"/>
    <b v="1"/>
    <d v="2024-08-13T18:04:34"/>
    <d v="2024-08-20T19:15:38"/>
    <d v="2024-08-20T19:15:38"/>
    <m/>
    <m/>
    <d v="2024-08-13T00:00:00"/>
    <s v="Configuración de equipo Check List"/>
    <x v="6"/>
    <s v="Configuracion Hardware"/>
    <x v="2"/>
    <s v="Laptop"/>
    <m/>
    <m/>
    <s v="CANELLA, SOCIEDAD ANONIMA"/>
    <s v="CENTRO DE SERVICIOS YAMAHA"/>
    <n v="4168"/>
    <n v="35"/>
    <s v="Mesa Ayuda Infraestructura"/>
    <n v="247468"/>
    <s v="BRANDON AGUSTIN JORGE RAMI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Cindy Nicolle-"/>
    <n v="72"/>
    <b v="1"/>
    <n v="26474"/>
    <m/>
    <s v="05889@general.tbd"/>
    <n v="26474"/>
    <n v="0"/>
    <n v="2766"/>
    <n v="8777"/>
    <s v="Mesa Ayuda Infraestructura"/>
    <n v="5.1388888888888803E-2"/>
    <m/>
  </r>
  <r>
    <n v="4253"/>
    <n v="0.75"/>
    <d v="1899-12-30T00:45:00"/>
    <s v="20-Asignado"/>
    <d v="1900-01-01T00:00:00"/>
    <x v="148"/>
    <d v="2024-08-16T00:00:00"/>
    <d v="2024-08-13T17:26:30"/>
    <x v="4"/>
    <n v="0"/>
    <d v="1899-12-30T00:00:00"/>
    <d v="2024-08-13T00:00:00"/>
    <d v="2024-08-13T17:26:30"/>
    <m/>
    <d v="1899-12-31T00:00:00"/>
    <d v="1899-12-31T00:00:00"/>
    <m/>
    <d v="1899-12-31T00:00:00"/>
    <d v="2024-08-20T19:15:38"/>
    <d v="2024-08-20T19:15:38"/>
    <m/>
    <m/>
    <d v="2024-08-13T00:00:00"/>
    <s v="Preubas de bloqueo"/>
    <x v="10"/>
    <s v="Configuracion Software"/>
    <x v="2"/>
    <s v="Ciberseguridad"/>
    <m/>
    <m/>
    <s v="CANELLA, SOCIEDAD ANONIMA"/>
    <s v="INFORMATICA"/>
    <n v="4155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Bloqueo RDP Servidor SAP 167&lt;/p&gt;"/>
    <s v="normal"/>
    <s v="En proceso"/>
    <s v="Bloqueo RDP Servidor SAP 167"/>
    <n v="69"/>
    <m/>
    <n v="26456"/>
    <m/>
    <s v="04025@general.tbd"/>
    <n v="26561"/>
    <n v="0"/>
    <n v="248"/>
    <n v="8777"/>
    <s v="Mesa Ayuda Infraestructura"/>
    <n v="0"/>
    <m/>
  </r>
  <r>
    <n v="4253"/>
    <n v="0.05"/>
    <d v="1899-12-30T00:03:00"/>
    <s v="20-Asignado"/>
    <d v="1900-01-01T00:00:00"/>
    <x v="148"/>
    <d v="2024-08-16T00:00:00"/>
    <d v="2024-08-13T17:26:30"/>
    <x v="4"/>
    <n v="0"/>
    <d v="1899-12-30T00:00:00"/>
    <d v="2024-08-13T00:00:00"/>
    <d v="2024-08-13T17:26:30"/>
    <m/>
    <d v="1899-12-31T00:00:00"/>
    <d v="1899-12-31T00:00:00"/>
    <m/>
    <d v="1899-12-31T00:00:00"/>
    <d v="2024-08-20T19:15:38"/>
    <d v="2024-08-20T19:15:38"/>
    <m/>
    <m/>
    <d v="2024-08-13T00:00:00"/>
    <s v="Creación TT"/>
    <x v="10"/>
    <s v="Configuracion Software"/>
    <x v="2"/>
    <s v="Ciberseguridad"/>
    <m/>
    <m/>
    <s v="CANELLA, SOCIEDAD ANONIMA"/>
    <s v="INFORMATICA"/>
    <n v="4155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Bloqueo RDP Servidor SAP 167&lt;/p&gt;"/>
    <s v="normal"/>
    <s v="En proceso"/>
    <s v="Bloqueo RDP Servidor SAP 167"/>
    <n v="69"/>
    <m/>
    <n v="26456"/>
    <m/>
    <s v="04025@general.tbd"/>
    <n v="26456"/>
    <n v="0"/>
    <n v="248"/>
    <n v="8777"/>
    <s v="Mesa Ayuda Infraestructura"/>
    <n v="0"/>
    <m/>
  </r>
  <r>
    <n v="4246"/>
    <n v="0.36666666666666597"/>
    <d v="1899-12-30T00:22:00"/>
    <s v="50-Finalizado"/>
    <d v="1900-01-01T00:00:00"/>
    <x v="149"/>
    <d v="2024-08-13T00:00:00"/>
    <d v="2024-08-13T17:21:01"/>
    <x v="91"/>
    <n v="1.8888888888888799E-2"/>
    <d v="1899-12-30T00:01:08"/>
    <d v="2024-08-13T00:00:00"/>
    <d v="2024-08-13T17:21:01"/>
    <m/>
    <d v="1899-12-31T00:00:00"/>
    <d v="2024-08-13T17:22:09"/>
    <b v="1"/>
    <d v="2024-08-13T17:22:09"/>
    <d v="2024-08-20T19:15:38"/>
    <d v="2024-08-20T19:15:38"/>
    <m/>
    <m/>
    <d v="2024-08-13T00:00:00"/>
    <s v="Creación y envío de orden de compra a proveedor."/>
    <x v="3"/>
    <s v="Orden de compra"/>
    <x v="2"/>
    <m/>
    <m/>
    <m/>
    <s v="CANELLA, SOCIEDAD ANONIMA"/>
    <s v="INFORMATICA"/>
    <n v="4148"/>
    <n v="35"/>
    <s v="Mesa Ayuda Infraestructura"/>
    <n v="247841"/>
    <s v="WILLIAMS GIOVANNI GALVAN ESTRADA"/>
    <n v="299"/>
    <s v="CANELLA"/>
    <n v="6"/>
    <m/>
    <m/>
    <m/>
    <n v="1"/>
    <s v="CANELLA"/>
    <n v="299"/>
    <s v="Rosario Lic"/>
    <s v="&lt;p&gt;Creación y envío de orden de compra a proveedor.&lt;/p&gt;"/>
    <s v="normal"/>
    <s v="En proceso"/>
    <s v="Horas de consultoría Raúl Sao"/>
    <n v="72"/>
    <b v="1"/>
    <s v="[26449]"/>
    <m/>
    <s v="03677@general.tbd"/>
    <n v="26449"/>
    <n v="0"/>
    <n v="299"/>
    <n v="8777"/>
    <s v="Mesa Ayuda Infraestructura"/>
    <n v="1.8888888888888799E-2"/>
    <m/>
  </r>
  <r>
    <n v="4240"/>
    <n v="0.2"/>
    <d v="1899-12-30T00:12:00"/>
    <s v="50-Finalizado"/>
    <d v="1900-01-01T00:00:00"/>
    <x v="150"/>
    <d v="2024-08-13T00:00:00"/>
    <d v="2024-08-13T16:34:28"/>
    <x v="92"/>
    <n v="5.47222222222222E-2"/>
    <d v="1899-12-30T00:03:17"/>
    <d v="2024-08-13T00:00:00"/>
    <d v="2024-08-13T16:34:28"/>
    <m/>
    <d v="1899-12-31T00:00:00"/>
    <d v="2024-08-13T16:37:45"/>
    <b v="1"/>
    <d v="2024-08-13T16:37:45"/>
    <d v="2024-08-20T19:15:38"/>
    <d v="2024-08-20T19:15:38"/>
    <m/>
    <m/>
    <d v="2024-08-13T00:00:00"/>
    <s v="Se procede a brindar apoyo a Sandy Gomez y a Suceli Erazo al ingreso de pagina http://128.1.200.56/Account/Login?ReturnUrl=%2f."/>
    <x v="3"/>
    <s v="Configuracion Software"/>
    <x v="2"/>
    <m/>
    <m/>
    <m/>
    <s v="INVERSIONES QATAR, SOCIEDAD ANONIMA"/>
    <s v="RECURSOS HUMANOS CANELLA"/>
    <n v="4142"/>
    <n v="35"/>
    <s v="Mesa Ayuda Infraestructura"/>
    <n v="246923"/>
    <s v="LILIAN LIZETH DIAZ SALAZAR"/>
    <n v="299"/>
    <s v="CANELLA"/>
    <n v="2"/>
    <m/>
    <m/>
    <m/>
    <n v="1"/>
    <s v="CANELLA"/>
    <n v="299"/>
    <s v="Rosario Lic"/>
    <s v="&lt;p&gt;Se procede a brindar apoyo a Sandy Gomez y a Suceli Erazo al ingreso de pagina http://128.1.200.56/Account/Login?ReturnUrl=%2f.&lt;/p&gt;"/>
    <s v="normal"/>
    <s v="En proceso"/>
    <s v="Ingreso a Evolushon"/>
    <n v="72"/>
    <b v="1"/>
    <s v="[26433]"/>
    <m/>
    <s v="06768@general.tbd"/>
    <n v="26433"/>
    <n v="0"/>
    <n v="299"/>
    <n v="8777"/>
    <s v="Mesa Ayuda Infraestructura"/>
    <n v="5.47222222222222E-2"/>
    <m/>
  </r>
  <r>
    <n v="4237"/>
    <n v="0.25"/>
    <d v="1899-12-30T00:15:00"/>
    <s v="50-Finalizado"/>
    <d v="1900-01-01T00:00:00"/>
    <x v="151"/>
    <d v="2024-08-13T00:00:00"/>
    <d v="2024-08-13T16:11:43"/>
    <x v="93"/>
    <n v="1.89194444444444"/>
    <d v="1899-12-30T01:53:31"/>
    <d v="2024-08-13T00:00:00"/>
    <d v="2024-08-13T16:11:43"/>
    <m/>
    <d v="1899-12-31T00:00:00"/>
    <d v="2024-08-13T18:05:14"/>
    <b v="1"/>
    <d v="2024-08-13T18:05:14"/>
    <d v="2024-08-20T19:15:38"/>
    <d v="2024-08-20T19:15:38"/>
    <m/>
    <m/>
    <d v="2024-08-13T00:00:00"/>
    <s v="Entrega de equipo y verificación de usuario"/>
    <x v="6"/>
    <s v="Configuracion Hardware"/>
    <x v="2"/>
    <s v="Laptop"/>
    <m/>
    <m/>
    <s v="CANELLA, SOCIEDAD ANONIMA"/>
    <s v="CENTRO DE SERVICIOS YAMAHA"/>
    <n v="4139"/>
    <n v="35"/>
    <s v="Mesa Ayuda Infraestructura"/>
    <n v="247468"/>
    <s v="BRANDON AGUSTIN JORGE RAMIREZ"/>
    <n v="2766"/>
    <s v="CANELLA"/>
    <n v="1"/>
    <n v="20"/>
    <m/>
    <m/>
    <n v="1"/>
    <s v="CANELLA"/>
    <n v="2766"/>
    <s v="José Julajuj Chumil"/>
    <m/>
    <s v="normal"/>
    <s v="En proceso"/>
    <s v="Cambio de equipo -Brandon Jorge-"/>
    <n v="72"/>
    <b v="1"/>
    <s v="[26472, 26431, 26430, 26429]"/>
    <m/>
    <s v="05889@general.tbd"/>
    <n v="26472"/>
    <n v="0"/>
    <n v="2766"/>
    <n v="8777"/>
    <s v="Mesa Ayuda Infraestructura"/>
    <n v="1.89194444444444"/>
    <m/>
  </r>
  <r>
    <n v="4237"/>
    <n v="1"/>
    <d v="1899-12-30T01:00:00"/>
    <s v="50-Finalizado"/>
    <d v="1900-01-01T00:00:00"/>
    <x v="151"/>
    <d v="2024-08-13T00:00:00"/>
    <d v="2024-08-13T16:11:43"/>
    <x v="93"/>
    <n v="1.89194444444444"/>
    <d v="1899-12-30T01:53:31"/>
    <d v="2024-08-13T00:00:00"/>
    <d v="2024-08-13T16:11:43"/>
    <m/>
    <d v="1899-12-31T00:00:00"/>
    <d v="2024-08-13T18:05:14"/>
    <b v="1"/>
    <d v="2024-08-13T18:05:14"/>
    <d v="2024-08-20T19:15:38"/>
    <d v="2024-08-20T19:15:38"/>
    <m/>
    <m/>
    <d v="2024-08-13T00:00:00"/>
    <s v="Actualizaciones de sistema operativo"/>
    <x v="6"/>
    <s v="Configuracion Hardware"/>
    <x v="2"/>
    <s v="Laptop"/>
    <m/>
    <m/>
    <s v="CANELLA, SOCIEDAD ANONIMA"/>
    <s v="CENTRO DE SERVICIOS YAMAHA"/>
    <n v="4139"/>
    <n v="35"/>
    <s v="Mesa Ayuda Infraestructura"/>
    <n v="247468"/>
    <s v="BRANDON AGUSTIN JORGE RAMIREZ"/>
    <n v="2766"/>
    <s v="CANELLA"/>
    <n v="1"/>
    <n v="20"/>
    <m/>
    <m/>
    <n v="1"/>
    <s v="CANELLA"/>
    <n v="2766"/>
    <s v="José Julajuj Chumil"/>
    <m/>
    <s v="normal"/>
    <s v="En proceso"/>
    <s v="Cambio de equipo -Brandon Jorge-"/>
    <n v="72"/>
    <b v="1"/>
    <s v="[26472, 26431, 26430, 26429]"/>
    <m/>
    <s v="05889@general.tbd"/>
    <n v="26431"/>
    <n v="0"/>
    <n v="2766"/>
    <n v="8777"/>
    <s v="Mesa Ayuda Infraestructura"/>
    <n v="1.89194444444444"/>
    <m/>
  </r>
  <r>
    <n v="4237"/>
    <n v="0.25"/>
    <d v="1899-12-30T00:15:00"/>
    <s v="50-Finalizado"/>
    <d v="1900-01-01T00:00:00"/>
    <x v="151"/>
    <d v="2024-08-13T00:00:00"/>
    <d v="2024-08-13T16:11:43"/>
    <x v="93"/>
    <n v="1.89194444444444"/>
    <d v="1899-12-30T01:53:31"/>
    <d v="2024-08-13T00:00:00"/>
    <d v="2024-08-13T16:11:43"/>
    <m/>
    <d v="1899-12-31T00:00:00"/>
    <d v="2024-08-13T18:05:14"/>
    <b v="1"/>
    <d v="2024-08-13T18:05:14"/>
    <d v="2024-08-20T19:15:38"/>
    <d v="2024-08-20T19:15:38"/>
    <m/>
    <m/>
    <d v="2024-08-13T00:00:00"/>
    <s v="Cambio de Equipo"/>
    <x v="6"/>
    <s v="Configuracion Hardware"/>
    <x v="2"/>
    <s v="Laptop"/>
    <m/>
    <m/>
    <s v="CANELLA, SOCIEDAD ANONIMA"/>
    <s v="CENTRO DE SERVICIOS YAMAHA"/>
    <n v="4139"/>
    <n v="35"/>
    <s v="Mesa Ayuda Infraestructura"/>
    <n v="247468"/>
    <s v="BRANDON AGUSTIN JORGE RAMIREZ"/>
    <n v="2766"/>
    <s v="CANELLA"/>
    <n v="1"/>
    <n v="20"/>
    <m/>
    <m/>
    <n v="1"/>
    <s v="CANELLA"/>
    <n v="2766"/>
    <s v="José Julajuj Chumil"/>
    <m/>
    <s v="normal"/>
    <s v="En proceso"/>
    <s v="Cambio de equipo -Brandon Jorge-"/>
    <n v="72"/>
    <b v="1"/>
    <s v="[26472, 26431, 26430, 26429]"/>
    <m/>
    <s v="05889@general.tbd"/>
    <n v="26430"/>
    <n v="0"/>
    <n v="2766"/>
    <n v="8777"/>
    <s v="Mesa Ayuda Infraestructura"/>
    <n v="1.89194444444444"/>
    <m/>
  </r>
  <r>
    <n v="4237"/>
    <n v="0.16666666666666599"/>
    <d v="1899-12-30T00:10:00"/>
    <s v="50-Finalizado"/>
    <d v="1900-01-01T00:00:00"/>
    <x v="151"/>
    <d v="2024-08-13T00:00:00"/>
    <d v="2024-08-13T16:11:43"/>
    <x v="93"/>
    <n v="1.89194444444444"/>
    <d v="1899-12-30T01:53:31"/>
    <d v="2024-08-13T00:00:00"/>
    <d v="2024-08-13T16:11:43"/>
    <m/>
    <d v="1899-12-31T00:00:00"/>
    <d v="2024-08-13T18:05:14"/>
    <b v="1"/>
    <d v="2024-08-13T18:05:14"/>
    <d v="2024-08-20T19:15:38"/>
    <d v="2024-08-20T19:15:38"/>
    <m/>
    <m/>
    <d v="2024-08-13T00:00:00"/>
    <s v="Recoger equipo en servicio técnico"/>
    <x v="6"/>
    <s v="Configuracion Hardware"/>
    <x v="2"/>
    <s v="Laptop"/>
    <m/>
    <m/>
    <s v="CANELLA, SOCIEDAD ANONIMA"/>
    <s v="CENTRO DE SERVICIOS YAMAHA"/>
    <n v="4139"/>
    <n v="35"/>
    <s v="Mesa Ayuda Infraestructura"/>
    <n v="247468"/>
    <s v="BRANDON AGUSTIN JORGE RAMIREZ"/>
    <n v="2766"/>
    <s v="CANELLA"/>
    <n v="1"/>
    <n v="20"/>
    <m/>
    <m/>
    <n v="1"/>
    <s v="CANELLA"/>
    <n v="2766"/>
    <s v="José Julajuj Chumil"/>
    <m/>
    <s v="normal"/>
    <s v="En proceso"/>
    <s v="Cambio de equipo -Brandon Jorge-"/>
    <n v="72"/>
    <b v="1"/>
    <s v="[26472, 26431, 26430, 26429]"/>
    <m/>
    <s v="05889@general.tbd"/>
    <n v="26429"/>
    <n v="0"/>
    <n v="2766"/>
    <n v="8777"/>
    <s v="Mesa Ayuda Infraestructura"/>
    <n v="1.89194444444444"/>
    <m/>
  </r>
  <r>
    <n v="4215"/>
    <n v="0.55000000000000004"/>
    <d v="1899-12-30T00:33:00"/>
    <s v="50-Finalizado"/>
    <d v="1900-01-01T00:00:00"/>
    <x v="152"/>
    <d v="2024-08-19T00:00:00"/>
    <d v="2024-08-12T22:35:33"/>
    <x v="21"/>
    <n v="146.42222222222199"/>
    <d v="1900-01-05T02:25:20"/>
    <d v="2024-08-12T00:00:00"/>
    <d v="2024-08-12T22:35:33"/>
    <m/>
    <d v="1899-12-31T00:00:00"/>
    <d v="2024-08-19T01:00:53"/>
    <m/>
    <d v="1899-12-31T00:00:00"/>
    <d v="2024-08-20T19:15:38"/>
    <d v="2024-08-20T19:15:38"/>
    <m/>
    <m/>
    <d v="2024-08-12T00:00:00"/>
    <s v="Se procede a brindar permisos para reserva de sala grande y se realizan pruebas para confirmación."/>
    <x v="3"/>
    <s v="Orden de compra"/>
    <x v="2"/>
    <m/>
    <m/>
    <m/>
    <s v="CANELLA, SOCIEDAD ANONIMA"/>
    <s v="PROYECTOS Y ORGANIZACION Y METODOS"/>
    <n v="4117"/>
    <n v="35"/>
    <s v="Mesa Ayuda Infraestructura"/>
    <n v="247556"/>
    <s v="DOUGLAS MONTOYA MONTAVES"/>
    <n v="299"/>
    <s v="CANELLA"/>
    <n v="6"/>
    <m/>
    <m/>
    <m/>
    <n v="1"/>
    <s v="CANELLA"/>
    <n v="299"/>
    <s v="Rosario Lic"/>
    <s v="&lt;p&gt;Se procede a brindar permisos para reserva de sala grande y se realizan pruebas para confirmación.&lt;/p&gt;"/>
    <s v="normal"/>
    <s v="En proceso"/>
    <s v="Registro de permisos y pruebas"/>
    <n v="72"/>
    <b v="1"/>
    <s v="[26313]"/>
    <m/>
    <s v="05669@general.tbd"/>
    <n v="26313"/>
    <n v="0"/>
    <n v="299"/>
    <n v="8777"/>
    <s v="Mesa Ayuda Infraestructura"/>
    <n v="146.42222222222199"/>
    <m/>
  </r>
  <r>
    <n v="4213"/>
    <n v="0.18333333333333299"/>
    <d v="1899-12-30T00:11:00"/>
    <s v="50-Finalizado"/>
    <d v="1900-01-01T00:00:00"/>
    <x v="153"/>
    <d v="2024-08-12T00:00:00"/>
    <d v="2024-08-12T22:18:06"/>
    <x v="94"/>
    <n v="4.8611111111111098E-2"/>
    <d v="1899-12-30T00:02:55"/>
    <d v="2024-08-12T00:00:00"/>
    <d v="2024-08-12T22:18:06"/>
    <m/>
    <d v="1899-12-31T00:00:00"/>
    <d v="2024-08-12T22:21:01"/>
    <b v="1"/>
    <d v="2024-08-12T22:21:01"/>
    <d v="2024-08-20T19:15:38"/>
    <d v="2024-08-20T19:15:38"/>
    <m/>
    <m/>
    <d v="2024-08-12T00:00:00"/>
    <s v="Se procede a indicar el modo de uso de tablet para reserva de sala grande y se indica el porqué se acepta la reunión"/>
    <x v="3"/>
    <s v="Configuracion Software"/>
    <x v="2"/>
    <s v="Office 365"/>
    <m/>
    <m/>
    <s v="CANELLA, SOCIEDAD ANONIMA"/>
    <s v="CENTRO DE COBRO"/>
    <n v="4115"/>
    <n v="35"/>
    <s v="Mesa Ayuda Infraestructura"/>
    <n v="246933"/>
    <s v="EDWARD ANTONY GARCIA ALVARADO"/>
    <n v="299"/>
    <s v="CANELLA"/>
    <n v="2"/>
    <n v="7"/>
    <m/>
    <m/>
    <n v="1"/>
    <s v="CANELLA"/>
    <n v="299"/>
    <s v="Rosario Lic"/>
    <s v="&lt;p&gt;Se procede a indicar el modo de uso de tablet para reserva de sala grande y se indica el porqué se acepta la reunión&lt;/p&gt;"/>
    <s v="normal"/>
    <s v="En proceso"/>
    <s v="Atención y resolución de dudas"/>
    <n v="72"/>
    <b v="1"/>
    <s v="[26299]"/>
    <m/>
    <s v="06757@general.tbd"/>
    <n v="26299"/>
    <n v="0"/>
    <n v="299"/>
    <n v="8777"/>
    <s v="Mesa Ayuda Infraestructura"/>
    <n v="4.8611111111111098E-2"/>
    <m/>
  </r>
  <r>
    <n v="4197"/>
    <n v="0.1"/>
    <d v="1899-12-30T00:06:00"/>
    <s v="50-Finalizado"/>
    <d v="1900-01-01T00:00:00"/>
    <x v="154"/>
    <d v="2024-08-19T00:00:00"/>
    <d v="2024-08-12T18:25:38"/>
    <x v="21"/>
    <n v="150.58750000000001"/>
    <d v="1900-01-05T06:35:15"/>
    <d v="2024-08-12T00:00:00"/>
    <d v="2024-08-12T18:25:38"/>
    <m/>
    <d v="1899-12-31T00:00:00"/>
    <d v="2024-08-19T01:00:53"/>
    <m/>
    <d v="1899-12-31T00:00:00"/>
    <d v="2024-08-20T19:15:38"/>
    <d v="2024-08-20T19:15:38"/>
    <m/>
    <m/>
    <d v="2024-08-12T00:00:00"/>
    <s v="Se procede a realizar compra de 6 Logitech USB Headset H390 - Auricular - para bodega IT"/>
    <x v="3"/>
    <s v="Orden de compra"/>
    <x v="2"/>
    <s v="SAP"/>
    <m/>
    <m/>
    <s v="CANELLA, SOCIEDAD ANONIMA"/>
    <s v="INFORMATICA"/>
    <n v="4099"/>
    <n v="35"/>
    <s v="Mesa Ayuda Infraestructura"/>
    <n v="247813"/>
    <s v="OSCAR RAUL HERNANDEZ REYNA"/>
    <n v="299"/>
    <s v="CANELLA"/>
    <n v="6"/>
    <n v="5"/>
    <m/>
    <m/>
    <n v="1"/>
    <s v="CANELLA"/>
    <n v="299"/>
    <s v="Rosario Lic"/>
    <s v="&lt;p&gt;Se procede a realizar compra de 6 Logitech USB Headset H390 - Auricular - para bodega IT&lt;/p&gt;"/>
    <s v="normal"/>
    <s v="En proceso"/>
    <s v="Compra de 6 Logitech USB Headset H390 - Auricular -"/>
    <n v="72"/>
    <b v="1"/>
    <s v="[26238]"/>
    <m/>
    <s v="04025@general.tbd"/>
    <n v="26238"/>
    <n v="0"/>
    <n v="299"/>
    <n v="8777"/>
    <s v="Mesa Ayuda Infraestructura"/>
    <n v="150.58750000000001"/>
    <m/>
  </r>
  <r>
    <n v="4196"/>
    <n v="0.1"/>
    <d v="1899-12-30T00:06:00"/>
    <s v="50-Finalizado"/>
    <d v="1900-01-01T00:00:00"/>
    <x v="155"/>
    <d v="2024-08-19T00:00:00"/>
    <d v="2024-08-12T18:22:40"/>
    <x v="21"/>
    <n v="150.636944444444"/>
    <d v="1900-01-05T06:38:13"/>
    <d v="2024-08-12T00:00:00"/>
    <d v="2024-08-12T18:22:40"/>
    <m/>
    <d v="1899-12-31T00:00:00"/>
    <d v="2024-08-19T01:00:53"/>
    <m/>
    <d v="1899-12-31T00:00:00"/>
    <d v="2024-08-20T19:15:38"/>
    <d v="2024-08-20T19:15:38"/>
    <m/>
    <m/>
    <d v="2024-08-12T00:00:00"/>
    <s v="Se procede a realizar compra por 1 Compra de 1 Logitech USB Headset H390 - Auricular - para uso de Carla Martinez."/>
    <x v="3"/>
    <s v="Orden de compra"/>
    <x v="2"/>
    <s v="SAP"/>
    <m/>
    <m/>
    <s v="SOLUCIONES EN COLOCACION Y RECUPERACION, S.A."/>
    <s v="GERENCIA GENERAL"/>
    <n v="4098"/>
    <n v="35"/>
    <s v="Mesa Ayuda Infraestructura"/>
    <n v="247444"/>
    <s v="LUIS EDUARDO GOMEZ ALVAREZ"/>
    <n v="299"/>
    <s v="CANELLA"/>
    <n v="6"/>
    <n v="5"/>
    <m/>
    <m/>
    <n v="1"/>
    <s v="CANELLA"/>
    <n v="299"/>
    <s v="Rosario Lic"/>
    <s v="&lt;p&gt;Se procede a realizar compra por 1 Compra de 1 Logitech USB Headset H390 - Auricular - para uso de Carla Martinez.&lt;/p&gt;"/>
    <s v="normal"/>
    <s v="En proceso"/>
    <s v="Compra de 1 Logitech USB Headset H390 - Auricular -"/>
    <n v="72"/>
    <b v="1"/>
    <s v="[26237]"/>
    <m/>
    <s v="05950@general.tbd"/>
    <n v="26237"/>
    <n v="0"/>
    <n v="299"/>
    <n v="8777"/>
    <s v="Mesa Ayuda Infraestructura"/>
    <n v="150.636944444444"/>
    <m/>
  </r>
  <r>
    <n v="4194"/>
    <n v="0.41666666666666602"/>
    <d v="1899-12-30T00:25:00"/>
    <s v="50-Finalizado"/>
    <d v="1900-01-01T00:00:00"/>
    <x v="156"/>
    <d v="2024-08-12T00:00:00"/>
    <d v="2024-08-12T17:58:16"/>
    <x v="95"/>
    <n v="5.4861111111111098"/>
    <d v="1899-12-30T05:29:10"/>
    <d v="2024-08-12T00:00:00"/>
    <d v="2024-08-12T17:58:16"/>
    <m/>
    <d v="1899-12-31T00:00:00"/>
    <d v="2024-08-12T23:27:26"/>
    <b v="1"/>
    <d v="2024-08-12T23:27:26"/>
    <d v="2024-08-20T19:15:38"/>
    <d v="2024-08-20T19:15:38"/>
    <m/>
    <m/>
    <d v="2024-08-12T00:00:00"/>
    <s v="entrega de equipo"/>
    <x v="6"/>
    <s v="Configuracion Hardware"/>
    <x v="2"/>
    <s v="Laptop"/>
    <m/>
    <m/>
    <s v="CANELLA, SOCIEDAD ANONIMA"/>
    <s v="UNIDAD DE SOLUCIONES DIGITALES"/>
    <n v="4096"/>
    <n v="35"/>
    <s v="Mesa Ayuda Infraestructura"/>
    <n v="246987"/>
    <s v="ASTRID ANAHÍ MONTERROSO ESQUIVEL"/>
    <n v="2766"/>
    <s v="CANELLA"/>
    <n v="1"/>
    <n v="20"/>
    <m/>
    <m/>
    <n v="1"/>
    <s v="CANELLA"/>
    <n v="2766"/>
    <s v="José Julajuj Chumil"/>
    <m/>
    <s v="normal"/>
    <s v="En proceso"/>
    <s v="Configuracion de equipo Check List -Anahi Monterroso-"/>
    <n v="72"/>
    <b v="1"/>
    <s v="[26323, 26290, 26233]"/>
    <m/>
    <s v="06696@general.tbd"/>
    <n v="26323"/>
    <n v="0"/>
    <n v="2766"/>
    <n v="8777"/>
    <s v="Mesa Ayuda Infraestructura"/>
    <n v="5.4861111111111098"/>
    <m/>
  </r>
  <r>
    <n v="4194"/>
    <n v="0.41666666666666602"/>
    <d v="1899-12-30T00:25:00"/>
    <s v="50-Finalizado"/>
    <d v="1900-01-01T00:00:00"/>
    <x v="156"/>
    <d v="2024-08-12T00:00:00"/>
    <d v="2024-08-12T17:58:16"/>
    <x v="95"/>
    <n v="5.4861111111111098"/>
    <d v="1899-12-30T05:29:10"/>
    <d v="2024-08-12T00:00:00"/>
    <d v="2024-08-12T17:58:16"/>
    <m/>
    <d v="1899-12-31T00:00:00"/>
    <d v="2024-08-12T23:27:26"/>
    <b v="1"/>
    <d v="2024-08-12T23:27:26"/>
    <d v="2024-08-20T19:15:38"/>
    <d v="2024-08-20T19:15:38"/>
    <m/>
    <m/>
    <d v="2024-08-12T00:00:00"/>
    <s v="se agrego el equipo de usuario a dominio"/>
    <x v="6"/>
    <s v="Configuracion Hardware"/>
    <x v="2"/>
    <s v="Laptop"/>
    <m/>
    <m/>
    <s v="CANELLA, SOCIEDAD ANONIMA"/>
    <s v="UNIDAD DE SOLUCIONES DIGITALES"/>
    <n v="4096"/>
    <n v="35"/>
    <s v="Mesa Ayuda Infraestructura"/>
    <n v="246987"/>
    <s v="ASTRID ANAHÍ MONTERROSO ESQUIVEL"/>
    <n v="2766"/>
    <s v="CANELLA"/>
    <n v="1"/>
    <n v="20"/>
    <m/>
    <m/>
    <n v="1"/>
    <s v="CANELLA"/>
    <n v="2766"/>
    <s v="José Julajuj Chumil"/>
    <m/>
    <s v="normal"/>
    <s v="En proceso"/>
    <s v="Configuracion de equipo Check List -Anahi Monterroso-"/>
    <n v="72"/>
    <b v="1"/>
    <s v="[26323, 26290, 26233]"/>
    <m/>
    <s v="06696@general.tbd"/>
    <n v="26290"/>
    <n v="0"/>
    <n v="2766"/>
    <n v="8777"/>
    <s v="Mesa Ayuda Infraestructura"/>
    <n v="5.4861111111111098"/>
    <m/>
  </r>
  <r>
    <n v="4194"/>
    <n v="1.3333333333333299"/>
    <d v="1899-12-30T01:20:00"/>
    <s v="50-Finalizado"/>
    <d v="1900-01-01T00:00:00"/>
    <x v="156"/>
    <d v="2024-08-12T00:00:00"/>
    <d v="2024-08-12T17:58:16"/>
    <x v="95"/>
    <n v="5.4861111111111098"/>
    <d v="1899-12-30T05:29:10"/>
    <d v="2024-08-12T00:00:00"/>
    <d v="2024-08-12T17:58:16"/>
    <m/>
    <d v="1899-12-31T00:00:00"/>
    <d v="2024-08-12T23:27:26"/>
    <b v="1"/>
    <d v="2024-08-12T23:27:26"/>
    <d v="2024-08-20T19:15:38"/>
    <d v="2024-08-20T19:15:38"/>
    <m/>
    <m/>
    <d v="2024-08-12T00:00:00"/>
    <s v="Configuracion de equipo Check List"/>
    <x v="6"/>
    <s v="Configuracion Hardware"/>
    <x v="2"/>
    <s v="Laptop"/>
    <m/>
    <m/>
    <s v="CANELLA, SOCIEDAD ANONIMA"/>
    <s v="UNIDAD DE SOLUCIONES DIGITALES"/>
    <n v="4096"/>
    <n v="35"/>
    <s v="Mesa Ayuda Infraestructura"/>
    <n v="246987"/>
    <s v="ASTRID ANAHÍ MONTERROSO ESQUIVEL"/>
    <n v="2766"/>
    <s v="CANELLA"/>
    <n v="1"/>
    <n v="20"/>
    <m/>
    <m/>
    <n v="1"/>
    <s v="CANELLA"/>
    <n v="2766"/>
    <s v="José Julajuj Chumil"/>
    <m/>
    <s v="normal"/>
    <s v="En proceso"/>
    <s v="Configuracion de equipo Check List -Anahi Monterroso-"/>
    <n v="72"/>
    <b v="1"/>
    <s v="[26323, 26290, 26233]"/>
    <m/>
    <s v="06696@general.tbd"/>
    <n v="26233"/>
    <n v="0"/>
    <n v="2766"/>
    <n v="8777"/>
    <s v="Mesa Ayuda Infraestructura"/>
    <n v="5.4861111111111098"/>
    <m/>
  </r>
  <r>
    <n v="4193"/>
    <n v="0.33333333333333298"/>
    <d v="1899-12-30T00:20:00"/>
    <s v="50-Finalizado"/>
    <d v="1900-01-01T00:00:00"/>
    <x v="157"/>
    <d v="2024-08-13T00:00:00"/>
    <d v="2024-08-12T17:57:09"/>
    <x v="96"/>
    <n v="23.977499999999999"/>
    <d v="1899-12-30T23:58:39"/>
    <d v="2024-08-12T00:00:00"/>
    <d v="2024-08-12T17:57:09"/>
    <m/>
    <d v="1899-12-31T00:00:00"/>
    <d v="2024-08-13T17:55:48"/>
    <b v="1"/>
    <d v="2024-08-13T17:55:48"/>
    <d v="2024-08-20T19:15:38"/>
    <d v="2024-08-20T19:15:38"/>
    <s v="Resuelto"/>
    <m/>
    <d v="2024-08-12T00:00:00"/>
    <s v="se agrego el equipo de usuario a dominio"/>
    <x v="6"/>
    <s v="Configuracion Hardware"/>
    <x v="2"/>
    <s v="Laptop"/>
    <m/>
    <m/>
    <s v="CANELLA, SOCIEDAD ANONIMA"/>
    <s v="CONTABILIDAD, CANELLA, S. A."/>
    <n v="4095"/>
    <n v="35"/>
    <s v="Mesa Ayuda Infraestructura"/>
    <n v="247795"/>
    <s v="SANDRA JUDITH LOARCA HERNANDEZ de PEREZ"/>
    <n v="2766"/>
    <s v="CANELLA"/>
    <n v="1"/>
    <n v="20"/>
    <m/>
    <m/>
    <n v="1"/>
    <s v="CANELLA"/>
    <n v="2766"/>
    <s v="José Julajuj Chumil"/>
    <m/>
    <s v="normal"/>
    <s v="En proceso"/>
    <s v="Configuracion de equipo Check List -Rosa Pirir-"/>
    <n v="72"/>
    <b v="1"/>
    <n v="26232"/>
    <n v="2"/>
    <s v="04206@general.tbd"/>
    <n v="26292"/>
    <n v="0"/>
    <n v="2766"/>
    <n v="8777"/>
    <s v="Mesa Ayuda Infraestructura"/>
    <n v="23.977499999999999"/>
    <m/>
  </r>
  <r>
    <n v="4193"/>
    <n v="1.3333333333333299"/>
    <d v="1899-12-30T01:20:00"/>
    <s v="50-Finalizado"/>
    <d v="1900-01-01T00:00:00"/>
    <x v="157"/>
    <d v="2024-08-13T00:00:00"/>
    <d v="2024-08-12T17:57:09"/>
    <x v="96"/>
    <n v="23.977499999999999"/>
    <d v="1899-12-30T23:58:39"/>
    <d v="2024-08-12T00:00:00"/>
    <d v="2024-08-12T17:57:09"/>
    <m/>
    <d v="1899-12-31T00:00:00"/>
    <d v="2024-08-13T17:55:48"/>
    <b v="1"/>
    <d v="2024-08-13T17:55:48"/>
    <d v="2024-08-20T19:15:38"/>
    <d v="2024-08-20T19:15:38"/>
    <s v="Resuelto"/>
    <m/>
    <d v="2024-08-12T00:00:00"/>
    <s v="Check List de equipo"/>
    <x v="6"/>
    <s v="Configuracion Hardware"/>
    <x v="2"/>
    <s v="Laptop"/>
    <m/>
    <m/>
    <s v="CANELLA, SOCIEDAD ANONIMA"/>
    <s v="CONTABILIDAD, CANELLA, S. A."/>
    <n v="4095"/>
    <n v="35"/>
    <s v="Mesa Ayuda Infraestructura"/>
    <n v="247795"/>
    <s v="SANDRA JUDITH LOARCA HERNANDEZ de PEREZ"/>
    <n v="2766"/>
    <s v="CANELLA"/>
    <n v="1"/>
    <n v="20"/>
    <m/>
    <m/>
    <n v="1"/>
    <s v="CANELLA"/>
    <n v="2766"/>
    <s v="José Julajuj Chumil"/>
    <m/>
    <s v="normal"/>
    <s v="En proceso"/>
    <s v="Configuracion de equipo Check List -Rosa Pirir-"/>
    <n v="72"/>
    <b v="1"/>
    <n v="26232"/>
    <n v="2"/>
    <s v="04206@general.tbd"/>
    <n v="26232"/>
    <n v="0"/>
    <n v="2766"/>
    <n v="8777"/>
    <s v="Mesa Ayuda Infraestructura"/>
    <n v="23.977499999999999"/>
    <m/>
  </r>
  <r>
    <n v="4192"/>
    <n v="0.1"/>
    <d v="1899-12-30T00:06:00"/>
    <s v="50-Finalizado"/>
    <d v="1900-01-01T00:00:00"/>
    <x v="158"/>
    <d v="2024-08-19T00:00:00"/>
    <d v="2024-08-12T17:56:34"/>
    <x v="21"/>
    <n v="151.071944444444"/>
    <d v="1900-01-05T07:04:19"/>
    <d v="2024-08-12T00:00:00"/>
    <d v="2024-08-12T17:56:34"/>
    <m/>
    <d v="1899-12-31T00:00:00"/>
    <d v="2024-08-19T01:00:53"/>
    <m/>
    <d v="1899-12-31T00:00:00"/>
    <d v="2024-08-20T19:15:38"/>
    <d v="2024-08-20T19:15:38"/>
    <m/>
    <m/>
    <d v="2024-08-12T00:00:00"/>
    <s v="Se procede a realizar orden de compra por 1 Compra de 1 Logitech USB Headset H390 - Auricular -"/>
    <x v="3"/>
    <s v="Orden de compra"/>
    <x v="2"/>
    <s v="SAP"/>
    <m/>
    <m/>
    <s v="CANELLA, SOCIEDAD ANONIMA"/>
    <s v="ISUZU"/>
    <n v="4094"/>
    <n v="35"/>
    <s v="Mesa Ayuda Infraestructura"/>
    <n v="247791"/>
    <s v="ASTRID VICTORIA PEÑA DIEGUEZ"/>
    <n v="299"/>
    <s v="CANELLA"/>
    <n v="6"/>
    <n v="5"/>
    <m/>
    <m/>
    <n v="1"/>
    <s v="CANELLA"/>
    <n v="299"/>
    <s v="Rosario Lic"/>
    <s v="&lt;p&gt;Se procede a realizar orden de compra por 1 Compra de 1 Logitech USB Headset H390 - Auricular -&lt;/p&gt;"/>
    <s v="normal"/>
    <s v="En proceso"/>
    <s v="Compra de 2 Logitech USB Headset H390 - Auricular -"/>
    <n v="72"/>
    <b v="1"/>
    <s v="[26231]"/>
    <m/>
    <s v="04243@general.tbd"/>
    <n v="26231"/>
    <n v="0"/>
    <n v="299"/>
    <n v="8777"/>
    <s v="Mesa Ayuda Infraestructura"/>
    <n v="151.071944444444"/>
    <m/>
  </r>
  <r>
    <n v="4187"/>
    <n v="0.38333333333333303"/>
    <d v="1899-12-30T00:23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3T00:00:00"/>
    <s v="Configuración de Active Directory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512"/>
    <n v="0"/>
    <n v="299"/>
    <n v="8777"/>
    <s v="Mesa Ayuda Infraestructura"/>
    <n v="0"/>
    <m/>
  </r>
  <r>
    <n v="4187"/>
    <n v="8.3333333333333301E-2"/>
    <d v="1899-12-30T00:05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3T00:00:00"/>
    <s v="Ingreso de equipo a Wifi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488"/>
    <n v="0"/>
    <n v="299"/>
    <n v="8777"/>
    <s v="Mesa Ayuda Infraestructura"/>
    <n v="0"/>
    <m/>
  </r>
  <r>
    <n v="4187"/>
    <n v="0.21666666666666601"/>
    <d v="1899-12-30T00:13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3T00:00:00"/>
    <s v="Configuración de Clowdwork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470"/>
    <n v="0"/>
    <n v="299"/>
    <n v="8777"/>
    <s v="Mesa Ayuda Infraestructura"/>
    <n v="0"/>
    <m/>
  </r>
  <r>
    <n v="4187"/>
    <n v="0.58333333333333304"/>
    <d v="1899-12-30T00:35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3T00:00:00"/>
    <s v="Instalación de SAP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444"/>
    <n v="0"/>
    <n v="299"/>
    <n v="8777"/>
    <s v="Mesa Ayuda Infraestructura"/>
    <n v="0"/>
    <m/>
  </r>
  <r>
    <n v="4187"/>
    <n v="0.25"/>
    <d v="1899-12-30T00:15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3T00:00:00"/>
    <s v="Verificación de datos trasladados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441"/>
    <n v="0"/>
    <n v="299"/>
    <n v="8777"/>
    <s v="Mesa Ayuda Infraestructura"/>
    <n v="0"/>
    <m/>
  </r>
  <r>
    <n v="4187"/>
    <n v="0.16666666666666599"/>
    <d v="1899-12-30T00:10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3T00:00:00"/>
    <s v="Verificación de funcionamiento de tablet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392"/>
    <n v="0"/>
    <n v="299"/>
    <n v="8777"/>
    <s v="Mesa Ayuda Infraestructura"/>
    <n v="0"/>
    <m/>
  </r>
  <r>
    <n v="4187"/>
    <n v="8.3333333333333301E-2"/>
    <d v="1899-12-30T00:05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3T00:00:00"/>
    <s v="Compra de dado de 33w para tablet de reserva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391"/>
    <n v="0"/>
    <n v="299"/>
    <n v="8777"/>
    <s v="Mesa Ayuda Infraestructura"/>
    <n v="0"/>
    <m/>
  </r>
  <r>
    <n v="4187"/>
    <n v="0.21666666666666601"/>
    <d v="1899-12-30T00:13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2T00:00:00"/>
    <s v="Recolección de efectivo para compra de dado de carga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321"/>
    <n v="0"/>
    <n v="299"/>
    <n v="8777"/>
    <s v="Mesa Ayuda Infraestructura"/>
    <n v="0"/>
    <m/>
  </r>
  <r>
    <n v="4187"/>
    <n v="0.16666666666666599"/>
    <d v="1899-12-30T00:10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2T00:00:00"/>
    <s v="Verificación de licenciamiento de AnyDesk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316"/>
    <n v="0"/>
    <n v="299"/>
    <n v="8777"/>
    <s v="Mesa Ayuda Infraestructura"/>
    <n v="0"/>
    <m/>
  </r>
  <r>
    <n v="4187"/>
    <n v="0.53333333333333299"/>
    <d v="1899-12-30T00:32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2T00:00:00"/>
    <s v="pruebas de reserva de tablet, y reserva desde correo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296"/>
    <n v="0"/>
    <n v="299"/>
    <n v="8777"/>
    <s v="Mesa Ayuda Infraestructura"/>
    <n v="0"/>
    <m/>
  </r>
  <r>
    <n v="4187"/>
    <n v="1.13333333333333"/>
    <d v="1899-12-30T01:08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2T00:00:00"/>
    <s v="Configuración de dominio, traslado de archivos, instalacion de office 365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275"/>
    <n v="0"/>
    <n v="299"/>
    <n v="8777"/>
    <s v="Mesa Ayuda Infraestructura"/>
    <n v="0"/>
    <m/>
  </r>
  <r>
    <n v="4187"/>
    <n v="0.86666666666666603"/>
    <d v="1899-12-30T00:52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2T00:00:00"/>
    <s v="Se procede a realizar cambio de equipo de Desktop a laptop.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224"/>
    <n v="0"/>
    <n v="299"/>
    <n v="8777"/>
    <s v="Mesa Ayuda Infraestructura"/>
    <n v="0"/>
    <m/>
  </r>
  <r>
    <n v="4183"/>
    <n v="0.3"/>
    <d v="1899-12-30T00:18:00"/>
    <s v="50-Finalizado"/>
    <d v="1900-01-01T00:00:00"/>
    <x v="160"/>
    <d v="2024-08-12T00:00:00"/>
    <d v="2024-08-12T17:29:25"/>
    <x v="97"/>
    <n v="0.12527777777777699"/>
    <d v="1899-12-30T00:07:31"/>
    <d v="2024-08-12T00:00:00"/>
    <d v="2024-08-12T17:29:25"/>
    <m/>
    <d v="1899-12-31T00:00:00"/>
    <d v="2024-08-12T17:36:56"/>
    <b v="1"/>
    <d v="2024-08-12T17:36:56"/>
    <d v="2024-08-20T19:15:38"/>
    <d v="2024-08-20T19:15:38"/>
    <m/>
    <m/>
    <d v="2024-08-12T00:00:00"/>
    <s v="Se procede a revisar conexión y a realizar pruebas, se demoraron un poco las pruebas debido a la lentitud del internet y el equipo"/>
    <x v="3"/>
    <s v="Configuracion Hardware"/>
    <x v="2"/>
    <s v="VPN"/>
    <m/>
    <m/>
    <s v="CANELLA, SOCIEDAD ANONIMA"/>
    <s v="CONTABILIDAD, CANELLA, S. A."/>
    <n v="4085"/>
    <n v="35"/>
    <s v="Mesa Ayuda Infraestructura"/>
    <n v="247256"/>
    <s v="ROMULO MANUEL PATRICIO ORELLANA"/>
    <n v="299"/>
    <s v="CANELLA"/>
    <n v="1"/>
    <n v="19"/>
    <m/>
    <m/>
    <n v="1"/>
    <s v="CANELLA"/>
    <n v="299"/>
    <s v="Rosario Lic"/>
    <s v="&lt;p&gt;Se procede a revisar conexión y a realizar pruebas.&amp;nbsp; &lt;/p&gt;"/>
    <s v="normal"/>
    <s v="En proceso"/>
    <s v="Apoyo, ingreso a VPN y pruebas"/>
    <n v="72"/>
    <b v="1"/>
    <s v="[26217]"/>
    <m/>
    <s v="06302@general.tbd"/>
    <n v="26217"/>
    <n v="0"/>
    <n v="299"/>
    <n v="8777"/>
    <s v="Mesa Ayuda Infraestructura"/>
    <n v="0.12527777777777699"/>
    <m/>
  </r>
  <r>
    <n v="4178"/>
    <n v="8.3333333333333301E-2"/>
    <d v="1899-12-30T00:05:00"/>
    <s v="50-Finalizado"/>
    <d v="1900-01-01T00:00:00"/>
    <x v="161"/>
    <d v="2024-08-12T00:00:00"/>
    <d v="2024-08-12T17:01:25"/>
    <x v="98"/>
    <n v="8.27777777777777E-2"/>
    <d v="1899-12-30T00:04:58"/>
    <d v="2024-08-12T00:00:00"/>
    <d v="2024-08-12T17:01:25"/>
    <m/>
    <d v="1899-12-31T00:00:00"/>
    <d v="2024-08-12T17:06:23"/>
    <b v="1"/>
    <d v="2024-08-12T17:06:23"/>
    <d v="2024-08-20T19:15:38"/>
    <d v="2024-08-20T19:15:38"/>
    <m/>
    <m/>
    <d v="2024-08-12T00:00:00"/>
    <s v="Se procede a realizar traslado de monitor."/>
    <x v="3"/>
    <s v="Configuracion Hardware"/>
    <x v="2"/>
    <s v="SAP"/>
    <m/>
    <m/>
    <s v="CANELLA, SOCIEDAD ANONIMA"/>
    <s v="INFORMATICA"/>
    <n v="4080"/>
    <n v="35"/>
    <s v="Mesa Ayuda Infraestructura"/>
    <n v="247119"/>
    <s v="BRAYAN ROBERTO ALEXANDER SOLORZANO AGUILAR"/>
    <n v="299"/>
    <s v="CANELLA"/>
    <n v="1"/>
    <n v="5"/>
    <m/>
    <m/>
    <n v="1"/>
    <s v="CANELLA"/>
    <n v="299"/>
    <s v="Rosario Lic"/>
    <s v="&lt;p&gt;Se procede a realizar traslado de monitor.&lt;/p&gt;"/>
    <s v="normal"/>
    <s v="En proceso"/>
    <s v="Traslado de Monitor"/>
    <n v="72"/>
    <b v="1"/>
    <s v="[26199]"/>
    <m/>
    <s v="06523@general.tbd"/>
    <n v="26199"/>
    <n v="0"/>
    <n v="299"/>
    <n v="8777"/>
    <s v="Mesa Ayuda Infraestructura"/>
    <n v="8.27777777777777E-2"/>
    <m/>
  </r>
  <r>
    <n v="4176"/>
    <n v="0.7"/>
    <d v="1899-12-30T00:42:00"/>
    <s v="50-Finalizado"/>
    <d v="1900-01-01T00:00:00"/>
    <x v="162"/>
    <d v="2024-08-19T00:00:00"/>
    <d v="2024-08-12T16:33:58"/>
    <x v="21"/>
    <n v="152.44861111111101"/>
    <d v="1900-01-05T08:26:55"/>
    <d v="2024-08-12T00:00:00"/>
    <d v="2024-08-12T16:33:58"/>
    <m/>
    <d v="1899-12-31T00:00:00"/>
    <d v="2024-08-19T01:00:53"/>
    <m/>
    <d v="1899-12-31T00:00:00"/>
    <d v="2024-08-20T19:15:38"/>
    <d v="2024-08-20T19:15:38"/>
    <m/>
    <m/>
    <d v="2024-08-12T00:00:00"/>
    <s v="Se procede a verificar 2 activos fijos cargados a la tarjeta de responsabilidad los cuales no tiene en uso."/>
    <x v="3"/>
    <s v="Configuracion Hardware"/>
    <x v="2"/>
    <s v="SAP"/>
    <m/>
    <m/>
    <s v="CANELLA, SOCIEDAD ANONIMA"/>
    <s v="INFORMATICA"/>
    <n v="4078"/>
    <n v="35"/>
    <s v="Mesa Ayuda Infraestructura"/>
    <n v="247359"/>
    <s v="CRISTIAN DANIEL CASTILLO CAMPOSECO"/>
    <n v="299"/>
    <s v="CANELLA"/>
    <n v="1"/>
    <n v="5"/>
    <m/>
    <m/>
    <n v="1"/>
    <s v="CANELLA"/>
    <n v="299"/>
    <s v="Rosario Lic"/>
    <s v="&lt;p&gt;Se procede a verificar 2 activos fijos cargados a la tarjeta de responsabilidad los cuales no tiene en uso.&lt;/p&gt;"/>
    <s v="normal"/>
    <s v="En proceso"/>
    <s v="Verificación de activos"/>
    <n v="72"/>
    <b v="1"/>
    <s v="[26194]"/>
    <m/>
    <s v="06092@general.tbd"/>
    <n v="26194"/>
    <n v="0"/>
    <n v="299"/>
    <n v="8777"/>
    <s v="Mesa Ayuda Infraestructura"/>
    <n v="152.44861111111101"/>
    <m/>
  </r>
  <r>
    <n v="4166"/>
    <n v="0.25"/>
    <d v="1899-12-30T00:15:00"/>
    <s v="50-Finalizado"/>
    <d v="1900-01-01T00:00:00"/>
    <x v="163"/>
    <d v="2024-08-12T00:00:00"/>
    <d v="2024-08-12T15:53:06"/>
    <x v="99"/>
    <n v="1.2500000000000001E-2"/>
    <d v="1899-12-30T00:00:45"/>
    <d v="2024-08-12T00:00:00"/>
    <d v="2024-08-12T15:53:06"/>
    <m/>
    <d v="1899-12-31T00:00:00"/>
    <d v="2024-08-12T15:53:51"/>
    <b v="1"/>
    <d v="2024-08-12T15:53:51"/>
    <d v="2024-08-20T19:15:38"/>
    <d v="2024-08-20T19:15:38"/>
    <m/>
    <m/>
    <d v="2024-08-12T00:00:00"/>
    <s v="Se proporcionará asistencia técnica para configurar el acceso remoto al sistema desde una ubicación externa"/>
    <x v="6"/>
    <s v="Configuracion Software"/>
    <x v="2"/>
    <s v="Laptop"/>
    <m/>
    <m/>
    <s v="CANELLA, SOCIEDAD ANONIMA"/>
    <s v="UNIDAD DE SOLUCIONES DIGITALES"/>
    <n v="4068"/>
    <n v="35"/>
    <s v="Mesa Ayuda Infraestructura"/>
    <n v="247878"/>
    <s v="GLORIA DEL ROSARIO PALOMO MENDEZ"/>
    <n v="2766"/>
    <s v="CANELLA"/>
    <n v="2"/>
    <n v="20"/>
    <m/>
    <m/>
    <n v="1"/>
    <s v="CANELLA"/>
    <n v="2766"/>
    <s v="José Julajuj Chumil"/>
    <m/>
    <s v="normal"/>
    <s v="En proceso"/>
    <s v="Soporte para conexión remota desde casa -GLORIA PALOMO-"/>
    <n v="72"/>
    <b v="1"/>
    <s v="[26180]"/>
    <m/>
    <s v="03185@general.tbd"/>
    <n v="26180"/>
    <n v="0"/>
    <n v="2766"/>
    <n v="8777"/>
    <s v="Mesa Ayuda Infraestructura"/>
    <n v="1.2500000000000001E-2"/>
    <m/>
  </r>
  <r>
    <n v="4157"/>
    <n v="0.2"/>
    <d v="1899-12-30T00:12:00"/>
    <s v="50-Finalizado"/>
    <d v="1900-01-01T00:00:00"/>
    <x v="164"/>
    <d v="2024-08-12T00:00:00"/>
    <d v="2024-08-12T15:09:31"/>
    <x v="100"/>
    <n v="3.13888888888888E-2"/>
    <d v="1899-12-30T00:01:53"/>
    <d v="2024-08-12T00:00:00"/>
    <d v="2024-08-12T15:09:31"/>
    <m/>
    <d v="1899-12-31T00:00:00"/>
    <d v="2024-08-12T15:11:24"/>
    <b v="1"/>
    <d v="2024-08-12T15:11:24"/>
    <d v="2024-08-20T19:15:38"/>
    <d v="2024-08-20T19:15:38"/>
    <s v="Resuelto"/>
    <m/>
    <d v="2024-08-12T00:00:00"/>
    <s v="Se ha realizado una modificación en la configuración de red, actualizando la dirección IP asignada al dispositivo para ajustar su identificación en la red"/>
    <x v="6"/>
    <s v="Configuracion Software"/>
    <x v="2"/>
    <s v="Laptop"/>
    <m/>
    <m/>
    <s v="CANELLA, SOCIEDAD ANONIMA"/>
    <s v="CANELLA AUTOMOTRIZ ISUZU QUETZALTENANGO"/>
    <n v="4059"/>
    <n v="35"/>
    <s v="Mesa Ayuda Infraestructura"/>
    <n v="247441"/>
    <s v="ESAU DE JESUS AUGUSTIN TORRES"/>
    <n v="2766"/>
    <s v="CANELLA"/>
    <n v="2"/>
    <n v="20"/>
    <m/>
    <m/>
    <n v="1"/>
    <s v="CANELLA"/>
    <n v="2766"/>
    <s v="José Julajuj Chumil"/>
    <m/>
    <s v="normal"/>
    <s v="En proceso"/>
    <s v="Cambio de segmento de IP -ESAU AGUSTIN-"/>
    <n v="72"/>
    <b v="1"/>
    <n v="26149"/>
    <n v="2"/>
    <s v="05959@general.tbd"/>
    <n v="26150"/>
    <n v="0"/>
    <n v="2766"/>
    <n v="8777"/>
    <s v="Mesa Ayuda Infraestructura"/>
    <n v="3.13888888888888E-2"/>
    <m/>
  </r>
  <r>
    <n v="4157"/>
    <n v="0.05"/>
    <d v="1899-12-30T00:03:00"/>
    <s v="50-Finalizado"/>
    <d v="1900-01-01T00:00:00"/>
    <x v="164"/>
    <d v="2024-08-12T00:00:00"/>
    <d v="2024-08-12T15:09:31"/>
    <x v="100"/>
    <n v="3.13888888888888E-2"/>
    <d v="1899-12-30T00:01:53"/>
    <d v="2024-08-12T00:00:00"/>
    <d v="2024-08-12T15:09:31"/>
    <m/>
    <d v="1899-12-31T00:00:00"/>
    <d v="2024-08-12T15:11:24"/>
    <b v="1"/>
    <d v="2024-08-12T15:11:24"/>
    <d v="2024-08-20T19:15:38"/>
    <d v="2024-08-20T19:15:38"/>
    <s v="Resuelto"/>
    <m/>
    <d v="2024-08-12T00:00:00"/>
    <s v="Comunicación para verificar problema"/>
    <x v="6"/>
    <s v="Configuracion Software"/>
    <x v="2"/>
    <s v="Laptop"/>
    <m/>
    <m/>
    <s v="CANELLA, SOCIEDAD ANONIMA"/>
    <s v="CANELLA AUTOMOTRIZ ISUZU QUETZALTENANGO"/>
    <n v="4059"/>
    <n v="35"/>
    <s v="Mesa Ayuda Infraestructura"/>
    <n v="247441"/>
    <s v="ESAU DE JESUS AUGUSTIN TORRES"/>
    <n v="2766"/>
    <s v="CANELLA"/>
    <n v="2"/>
    <n v="20"/>
    <m/>
    <m/>
    <n v="1"/>
    <s v="CANELLA"/>
    <n v="2766"/>
    <s v="José Julajuj Chumil"/>
    <m/>
    <s v="normal"/>
    <s v="En proceso"/>
    <s v="Cambio de segmento de IP -ESAU AGUSTIN-"/>
    <n v="72"/>
    <b v="1"/>
    <n v="26149"/>
    <n v="2"/>
    <s v="05959@general.tbd"/>
    <n v="26149"/>
    <n v="0"/>
    <n v="2766"/>
    <n v="8777"/>
    <s v="Mesa Ayuda Infraestructura"/>
    <n v="3.13888888888888E-2"/>
    <m/>
  </r>
  <r>
    <n v="4152"/>
    <n v="0.33333333333333298"/>
    <d v="1899-12-30T00:20:00"/>
    <s v="50-Finalizado"/>
    <d v="1900-01-01T00:00:00"/>
    <x v="165"/>
    <d v="2024-08-10T00:00:00"/>
    <d v="2024-08-10T18:20:58"/>
    <x v="101"/>
    <n v="1.8611111111111099E-2"/>
    <d v="1899-12-30T00:01:07"/>
    <d v="2024-08-10T00:00:00"/>
    <d v="2024-08-10T18:20:58"/>
    <m/>
    <d v="1899-12-31T00:00:00"/>
    <d v="2024-08-10T18:22:05"/>
    <b v="1"/>
    <d v="2024-08-10T18:22:05"/>
    <d v="2024-08-20T19:15:38"/>
    <d v="2024-08-20T19:15:38"/>
    <m/>
    <m/>
    <d v="2024-08-10T00:00:00"/>
    <s v="Se llevará a cabo la entrega del equipo de cómputo"/>
    <x v="6"/>
    <s v="Configuracion Hardware"/>
    <x v="2"/>
    <s v="Laptop"/>
    <m/>
    <m/>
    <s v="INVERSIONES QATAR, SOCIEDAD ANONIMA"/>
    <s v="GERENCIA GENERAL INVERSIONES QATAR, SOCIEDAD ANONIMA"/>
    <n v="4054"/>
    <n v="35"/>
    <s v="Mesa Ayuda Infraestructura"/>
    <n v="246991"/>
    <s v="ROBERT DONOVAN MARROQUIN MAKEPEACE"/>
    <n v="2766"/>
    <s v="CANELLA"/>
    <n v="1"/>
    <n v="20"/>
    <m/>
    <m/>
    <n v="1"/>
    <s v="CANELLA"/>
    <n v="2766"/>
    <s v="José Julajuj Chumil"/>
    <m/>
    <s v="normal"/>
    <s v="En proceso"/>
    <s v="Entrega de equipo de computo -Robert Marroquín-"/>
    <n v="72"/>
    <b v="1"/>
    <s v="[26039]"/>
    <m/>
    <s v="06692@general.tbd"/>
    <n v="26039"/>
    <n v="0"/>
    <n v="2766"/>
    <n v="8777"/>
    <s v="Mesa Ayuda Infraestructura"/>
    <n v="1.8611111111111099E-2"/>
    <m/>
  </r>
  <r>
    <n v="4144"/>
    <n v="0.16666666666666599"/>
    <d v="1899-12-30T00:10:00"/>
    <s v="50-Finalizado"/>
    <d v="1900-01-01T00:00:00"/>
    <x v="166"/>
    <d v="2024-08-12T00:00:00"/>
    <d v="2024-08-10T16:13:55"/>
    <x v="102"/>
    <n v="46.391111111111101"/>
    <d v="1899-12-31T22:23:28"/>
    <d v="2024-08-10T00:00:00"/>
    <d v="2024-08-10T16:13:55"/>
    <m/>
    <d v="1899-12-31T00:00:00"/>
    <d v="2024-08-12T14:37:23"/>
    <b v="1"/>
    <d v="2024-08-12T14:37:23"/>
    <d v="2024-08-20T19:15:38"/>
    <d v="2024-08-20T19:15:38"/>
    <m/>
    <m/>
    <d v="2024-08-10T00:00:00"/>
    <s v="Comunicación a usuario para verificar problema"/>
    <x v="6"/>
    <s v="Configuracion Hardware"/>
    <x v="2"/>
    <s v="Laptop"/>
    <m/>
    <m/>
    <s v="CANELLA, SOCIEDAD ANONIMA"/>
    <s v="CENTRO DE SERVICIOS YAMAHA"/>
    <n v="4046"/>
    <n v="35"/>
    <s v="Mesa Ayuda Infraestructura"/>
    <n v="247468"/>
    <s v="BRANDON AGUSTIN JORGE RAMIREZ"/>
    <n v="2766"/>
    <s v="CANELLA"/>
    <n v="1"/>
    <n v="20"/>
    <m/>
    <m/>
    <n v="1"/>
    <s v="CANELLA"/>
    <n v="2766"/>
    <s v="José Julajuj Chumil"/>
    <m/>
    <s v="normal"/>
    <s v="En proceso"/>
    <s v="recepción del equipo para diagnostico -Brandon Ramírez-"/>
    <n v="72"/>
    <b v="1"/>
    <s v="[26041, 26014, 26002]"/>
    <m/>
    <s v="05889@general.tbd"/>
    <n v="26041"/>
    <n v="0"/>
    <n v="2766"/>
    <n v="8777"/>
    <s v="Mesa Ayuda Infraestructura"/>
    <n v="46.391111111111101"/>
    <m/>
  </r>
  <r>
    <n v="4144"/>
    <n v="0.75"/>
    <d v="1899-12-30T00:45:00"/>
    <s v="50-Finalizado"/>
    <d v="1900-01-01T00:00:00"/>
    <x v="166"/>
    <d v="2024-08-12T00:00:00"/>
    <d v="2024-08-10T16:13:55"/>
    <x v="102"/>
    <n v="46.391111111111101"/>
    <d v="1899-12-31T22:23:28"/>
    <d v="2024-08-10T00:00:00"/>
    <d v="2024-08-10T16:13:55"/>
    <m/>
    <d v="1899-12-31T00:00:00"/>
    <d v="2024-08-12T14:37:23"/>
    <b v="1"/>
    <d v="2024-08-12T14:37:23"/>
    <d v="2024-08-20T19:15:38"/>
    <d v="2024-08-20T19:15:38"/>
    <m/>
    <m/>
    <d v="2024-08-10T00:00:00"/>
    <s v="El equipo será trasladado al servicio técnico autorizado para la evaluación detallada"/>
    <x v="6"/>
    <s v="Configuracion Hardware"/>
    <x v="2"/>
    <s v="Laptop"/>
    <m/>
    <m/>
    <s v="CANELLA, SOCIEDAD ANONIMA"/>
    <s v="CENTRO DE SERVICIOS YAMAHA"/>
    <n v="4046"/>
    <n v="35"/>
    <s v="Mesa Ayuda Infraestructura"/>
    <n v="247468"/>
    <s v="BRANDON AGUSTIN JORGE RAMIREZ"/>
    <n v="2766"/>
    <s v="CANELLA"/>
    <n v="1"/>
    <n v="20"/>
    <m/>
    <m/>
    <n v="1"/>
    <s v="CANELLA"/>
    <n v="2766"/>
    <s v="José Julajuj Chumil"/>
    <m/>
    <s v="normal"/>
    <s v="En proceso"/>
    <s v="recepción del equipo para diagnostico -Brandon Ramírez-"/>
    <n v="72"/>
    <b v="1"/>
    <s v="[26041, 26014, 26002]"/>
    <m/>
    <s v="05889@general.tbd"/>
    <n v="26014"/>
    <n v="0"/>
    <n v="2766"/>
    <n v="8777"/>
    <s v="Mesa Ayuda Infraestructura"/>
    <n v="46.391111111111101"/>
    <m/>
  </r>
  <r>
    <n v="4144"/>
    <n v="0.25"/>
    <d v="1899-12-30T00:15:00"/>
    <s v="50-Finalizado"/>
    <d v="1900-01-01T00:00:00"/>
    <x v="166"/>
    <d v="2024-08-12T00:00:00"/>
    <d v="2024-08-10T16:13:55"/>
    <x v="102"/>
    <n v="46.391111111111101"/>
    <d v="1899-12-31T22:23:28"/>
    <d v="2024-08-10T00:00:00"/>
    <d v="2024-08-10T16:13:55"/>
    <m/>
    <d v="1899-12-31T00:00:00"/>
    <d v="2024-08-12T14:37:23"/>
    <b v="1"/>
    <d v="2024-08-12T14:37:23"/>
    <d v="2024-08-20T19:15:38"/>
    <d v="2024-08-20T19:15:38"/>
    <m/>
    <m/>
    <d v="2024-08-10T00:00:00"/>
    <s v="Se procederá con la recepción del equipo"/>
    <x v="6"/>
    <s v="Configuracion Hardware"/>
    <x v="2"/>
    <s v="Laptop"/>
    <m/>
    <m/>
    <s v="CANELLA, SOCIEDAD ANONIMA"/>
    <s v="CENTRO DE SERVICIOS YAMAHA"/>
    <n v="4046"/>
    <n v="35"/>
    <s v="Mesa Ayuda Infraestructura"/>
    <n v="247468"/>
    <s v="BRANDON AGUSTIN JORGE RAMIREZ"/>
    <n v="2766"/>
    <s v="CANELLA"/>
    <n v="1"/>
    <n v="20"/>
    <m/>
    <m/>
    <n v="1"/>
    <s v="CANELLA"/>
    <n v="2766"/>
    <s v="José Julajuj Chumil"/>
    <m/>
    <s v="normal"/>
    <s v="En proceso"/>
    <s v="recepción del equipo para diagnostico -Brandon Ramírez-"/>
    <n v="72"/>
    <b v="1"/>
    <s v="[26041, 26014, 26002]"/>
    <m/>
    <s v="05889@general.tbd"/>
    <n v="26002"/>
    <n v="0"/>
    <n v="2766"/>
    <n v="8777"/>
    <s v="Mesa Ayuda Infraestructura"/>
    <n v="46.391111111111101"/>
    <m/>
  </r>
  <r>
    <n v="4139"/>
    <n v="0.4"/>
    <d v="1899-12-30T00:24:00"/>
    <s v="50-Finalizado"/>
    <d v="1900-01-01T00:00:00"/>
    <x v="167"/>
    <d v="2024-08-16T00:00:00"/>
    <d v="2024-08-09T23:34:11"/>
    <x v="103"/>
    <n v="168.42972222222201"/>
    <d v="1900-01-06T00:25:47"/>
    <d v="2024-08-09T00:00:00"/>
    <d v="2024-08-09T23:34:11"/>
    <m/>
    <d v="1899-12-31T00:00:00"/>
    <d v="2024-08-16T23:59:58"/>
    <m/>
    <d v="1899-12-31T00:00:00"/>
    <d v="2024-08-20T19:15:38"/>
    <d v="2024-08-20T19:15:38"/>
    <m/>
    <m/>
    <d v="2024-08-09T00:00:00"/>
    <s v="Se procede a realizar la solicitud formal de asignación de licencia 365 para uso de Estefany Gomez"/>
    <x v="3"/>
    <s v="Configuracion Software"/>
    <x v="2"/>
    <s v="Office 365"/>
    <m/>
    <m/>
    <s v="CANELLA, SOCIEDAD ANONIMA"/>
    <s v="RECURSOS HUMANOS"/>
    <n v="4041"/>
    <n v="35"/>
    <s v="Mesa Ayuda Infraestructura"/>
    <n v="246997"/>
    <s v="GRETA SARAI GRANADOS LOPEZ"/>
    <n v="299"/>
    <s v="CANELLA"/>
    <n v="2"/>
    <n v="7"/>
    <m/>
    <m/>
    <n v="1"/>
    <s v="CANELLA"/>
    <n v="299"/>
    <s v="Rosario Lic"/>
    <s v="&lt;p&gt;Se procede a realizar la solicitud formal de asignación de licencia 365 para uso de Estefany Gomez&lt;/p&gt;"/>
    <s v="normal"/>
    <s v="En proceso"/>
    <s v="Seguimiento de actualización de office 2016 a office 365"/>
    <n v="72"/>
    <b v="1"/>
    <s v="[25845]"/>
    <m/>
    <s v="06684@general.tbd"/>
    <n v="25845"/>
    <n v="0"/>
    <n v="299"/>
    <n v="8777"/>
    <s v="Mesa Ayuda Infraestructura"/>
    <n v="168.42972222222201"/>
    <m/>
  </r>
  <r>
    <n v="4120"/>
    <n v="0.16666666666666599"/>
    <d v="1899-12-30T00:10:00"/>
    <s v="50-Finalizado"/>
    <d v="1900-01-01T00:00:00"/>
    <x v="168"/>
    <d v="2024-08-09T00:00:00"/>
    <d v="2024-08-09T22:11:09"/>
    <x v="104"/>
    <n v="4.33333333333333E-2"/>
    <d v="1899-12-30T00:02:36"/>
    <d v="2024-08-09T00:00:00"/>
    <d v="2024-08-09T22:11:09"/>
    <m/>
    <d v="1899-12-31T00:00:00"/>
    <d v="2024-08-09T22:13:45"/>
    <b v="1"/>
    <d v="2024-08-09T22:13:45"/>
    <d v="2024-08-20T19:15:38"/>
    <d v="2024-08-20T19:15:38"/>
    <m/>
    <m/>
    <d v="2024-08-09T00:00:00"/>
    <s v="Retiro de activos fijos, por retiro de corporación"/>
    <x v="3"/>
    <s v="Configuracion Hardware"/>
    <x v="2"/>
    <s v="SAP"/>
    <m/>
    <m/>
    <s v="CANELLA, SOCIEDAD ANONIMA"/>
    <s v="UNIDAD DE SOLUCIONES DIGITALES"/>
    <n v="4022"/>
    <n v="35"/>
    <s v="Mesa Ayuda Infraestructura"/>
    <n v="247062"/>
    <s v="JOSE PABLO VILLATORO"/>
    <n v="299"/>
    <s v="CANELLA"/>
    <n v="1"/>
    <n v="5"/>
    <m/>
    <m/>
    <n v="1"/>
    <s v="CANELLA"/>
    <n v="299"/>
    <s v="Rosario Lic"/>
    <s v="&lt;p&gt;Retiro de activos fijos, por retiro de corporación &lt;/p&gt;"/>
    <s v="normal"/>
    <s v="En proceso"/>
    <s v="Retiro de activos"/>
    <n v="72"/>
    <b v="1"/>
    <s v="[25695]"/>
    <m/>
    <s v="06610@general.tbd"/>
    <n v="25695"/>
    <n v="0"/>
    <n v="299"/>
    <n v="8777"/>
    <s v="Mesa Ayuda Infraestructura"/>
    <n v="4.33333333333333E-2"/>
    <m/>
  </r>
  <r>
    <n v="4096"/>
    <n v="0.25"/>
    <d v="1899-12-30T00:15:00"/>
    <s v="50-Finalizado"/>
    <d v="1900-01-01T00:00:00"/>
    <x v="169"/>
    <d v="2024-08-10T00:00:00"/>
    <d v="2024-08-09T16:16:11"/>
    <x v="105"/>
    <n v="22.198888888888799"/>
    <d v="1899-12-30T22:11:56"/>
    <d v="2024-08-09T00:00:00"/>
    <d v="2024-08-09T16:16:11"/>
    <m/>
    <d v="1899-12-31T00:00:00"/>
    <d v="2024-08-10T14:28:07"/>
    <b v="1"/>
    <d v="2024-08-10T14:28:07"/>
    <d v="2024-08-20T19:15:38"/>
    <d v="2024-08-20T19:15:38"/>
    <m/>
    <m/>
    <d v="2024-08-09T00:00:00"/>
    <s v="Llamada a usuario para información de equipo"/>
    <x v="6"/>
    <s v="Configuracion Hardware"/>
    <x v="2"/>
    <s v="Laptop"/>
    <m/>
    <m/>
    <s v="CANELLA, SOCIEDAD ANONIMA"/>
    <s v="HOME OFFICE OAKLAND"/>
    <n v="3998"/>
    <n v="35"/>
    <s v="Mesa Ayuda Infraestructura"/>
    <n v="247182"/>
    <s v="MAXIMO DAVID LARIOS BERRIOS"/>
    <n v="2766"/>
    <s v="CANELLA"/>
    <n v="1"/>
    <n v="20"/>
    <m/>
    <m/>
    <n v="1"/>
    <s v="CANELLA"/>
    <n v="2766"/>
    <s v="José Julajuj Chumil"/>
    <m/>
    <s v="normal"/>
    <s v="En proceso"/>
    <s v="Cambio de equipo - David Larios -"/>
    <n v="72"/>
    <b v="1"/>
    <s v="[25764, 25477, 25451, 25422]"/>
    <m/>
    <s v="06422@general.tbd"/>
    <n v="25764"/>
    <n v="0"/>
    <n v="2766"/>
    <n v="8777"/>
    <s v="Mesa Ayuda Infraestructura"/>
    <n v="22.198888888888799"/>
    <m/>
  </r>
  <r>
    <n v="4096"/>
    <n v="0.75"/>
    <d v="1899-12-30T00:45:00"/>
    <s v="50-Finalizado"/>
    <d v="1900-01-01T00:00:00"/>
    <x v="169"/>
    <d v="2024-08-10T00:00:00"/>
    <d v="2024-08-09T16:16:11"/>
    <x v="105"/>
    <n v="22.198888888888799"/>
    <d v="1899-12-30T22:11:56"/>
    <d v="2024-08-09T00:00:00"/>
    <d v="2024-08-09T16:16:11"/>
    <m/>
    <d v="1899-12-31T00:00:00"/>
    <d v="2024-08-10T14:28:07"/>
    <b v="1"/>
    <d v="2024-08-10T14:28:07"/>
    <d v="2024-08-20T19:15:38"/>
    <d v="2024-08-20T19:15:38"/>
    <m/>
    <m/>
    <d v="2024-08-09T00:00:00"/>
    <s v="Se procederá con la instalación del paquete de aplicaciones de Microsoft Office"/>
    <x v="6"/>
    <s v="Configuracion Hardware"/>
    <x v="2"/>
    <s v="Laptop"/>
    <m/>
    <m/>
    <s v="CANELLA, SOCIEDAD ANONIMA"/>
    <s v="HOME OFFICE OAKLAND"/>
    <n v="3998"/>
    <n v="35"/>
    <s v="Mesa Ayuda Infraestructura"/>
    <n v="247182"/>
    <s v="MAXIMO DAVID LARIOS BERRIOS"/>
    <n v="2766"/>
    <s v="CANELLA"/>
    <n v="1"/>
    <n v="20"/>
    <m/>
    <m/>
    <n v="1"/>
    <s v="CANELLA"/>
    <n v="2766"/>
    <s v="José Julajuj Chumil"/>
    <m/>
    <s v="normal"/>
    <s v="En proceso"/>
    <s v="Cambio de equipo - David Larios -"/>
    <n v="72"/>
    <b v="1"/>
    <s v="[25764, 25477, 25451, 25422]"/>
    <m/>
    <s v="06422@general.tbd"/>
    <n v="25477"/>
    <n v="0"/>
    <n v="2766"/>
    <n v="8777"/>
    <s v="Mesa Ayuda Infraestructura"/>
    <n v="22.198888888888799"/>
    <m/>
  </r>
  <r>
    <n v="4096"/>
    <n v="1"/>
    <d v="1899-12-30T01:00:00"/>
    <s v="50-Finalizado"/>
    <d v="1900-01-01T00:00:00"/>
    <x v="169"/>
    <d v="2024-08-10T00:00:00"/>
    <d v="2024-08-09T16:16:11"/>
    <x v="105"/>
    <n v="22.198888888888799"/>
    <d v="1899-12-30T22:11:56"/>
    <d v="2024-08-09T00:00:00"/>
    <d v="2024-08-09T16:16:11"/>
    <m/>
    <d v="1899-12-31T00:00:00"/>
    <d v="2024-08-10T14:28:07"/>
    <b v="1"/>
    <d v="2024-08-10T14:28:07"/>
    <d v="2024-08-20T19:15:38"/>
    <d v="2024-08-20T19:15:38"/>
    <m/>
    <m/>
    <d v="2024-08-09T00:00:00"/>
    <s v="Se está ejecutando el proceso de transferencia de datos entre dos estaciones de trabajo"/>
    <x v="6"/>
    <s v="Configuracion Hardware"/>
    <x v="2"/>
    <s v="Laptop"/>
    <m/>
    <m/>
    <s v="CANELLA, SOCIEDAD ANONIMA"/>
    <s v="HOME OFFICE OAKLAND"/>
    <n v="3998"/>
    <n v="35"/>
    <s v="Mesa Ayuda Infraestructura"/>
    <n v="247182"/>
    <s v="MAXIMO DAVID LARIOS BERRIOS"/>
    <n v="2766"/>
    <s v="CANELLA"/>
    <n v="1"/>
    <n v="20"/>
    <m/>
    <m/>
    <n v="1"/>
    <s v="CANELLA"/>
    <n v="2766"/>
    <s v="José Julajuj Chumil"/>
    <m/>
    <s v="normal"/>
    <s v="En proceso"/>
    <s v="Cambio de equipo - David Larios -"/>
    <n v="72"/>
    <b v="1"/>
    <s v="[25764, 25477, 25451, 25422]"/>
    <m/>
    <s v="06422@general.tbd"/>
    <n v="25451"/>
    <n v="0"/>
    <n v="2766"/>
    <n v="8777"/>
    <s v="Mesa Ayuda Infraestructura"/>
    <n v="22.198888888888799"/>
    <m/>
  </r>
  <r>
    <n v="4096"/>
    <n v="0.58333333333333304"/>
    <d v="1899-12-30T00:35:00"/>
    <s v="50-Finalizado"/>
    <d v="1900-01-01T00:00:00"/>
    <x v="169"/>
    <d v="2024-08-10T00:00:00"/>
    <d v="2024-08-09T16:16:11"/>
    <x v="105"/>
    <n v="22.198888888888799"/>
    <d v="1899-12-30T22:11:56"/>
    <d v="2024-08-09T00:00:00"/>
    <d v="2024-08-09T16:16:11"/>
    <m/>
    <d v="1899-12-31T00:00:00"/>
    <d v="2024-08-10T14:28:07"/>
    <b v="1"/>
    <d v="2024-08-10T14:28:07"/>
    <d v="2024-08-20T19:15:38"/>
    <d v="2024-08-20T19:15:38"/>
    <m/>
    <m/>
    <d v="2024-08-09T00:00:00"/>
    <s v="Cambio de disco duro para Laptop"/>
    <x v="6"/>
    <s v="Configuracion Hardware"/>
    <x v="2"/>
    <s v="Laptop"/>
    <m/>
    <m/>
    <s v="CANELLA, SOCIEDAD ANONIMA"/>
    <s v="HOME OFFICE OAKLAND"/>
    <n v="3998"/>
    <n v="35"/>
    <s v="Mesa Ayuda Infraestructura"/>
    <n v="247182"/>
    <s v="MAXIMO DAVID LARIOS BERRIOS"/>
    <n v="2766"/>
    <s v="CANELLA"/>
    <n v="1"/>
    <n v="20"/>
    <m/>
    <m/>
    <n v="1"/>
    <s v="CANELLA"/>
    <n v="2766"/>
    <s v="José Julajuj Chumil"/>
    <m/>
    <s v="normal"/>
    <s v="En proceso"/>
    <s v="Cambio de equipo - David Larios -"/>
    <n v="72"/>
    <b v="1"/>
    <s v="[25764, 25477, 25451, 25422]"/>
    <m/>
    <s v="06422@general.tbd"/>
    <n v="25422"/>
    <n v="0"/>
    <n v="2766"/>
    <n v="8777"/>
    <s v="Mesa Ayuda Infraestructura"/>
    <n v="22.198888888888799"/>
    <m/>
  </r>
  <r>
    <n v="4088"/>
    <n v="0.266666666666666"/>
    <d v="1899-12-30T00:16:00"/>
    <s v="50-Finalizado"/>
    <d v="1900-01-01T00:00:00"/>
    <x v="170"/>
    <d v="2024-08-09T00:00:00"/>
    <d v="2024-08-09T15:17:16"/>
    <x v="106"/>
    <n v="8.4702777777777705"/>
    <d v="1899-12-30T08:28:13"/>
    <d v="2024-08-09T00:00:00"/>
    <d v="2024-08-09T15:17:16"/>
    <m/>
    <d v="1899-12-31T00:00:00"/>
    <d v="2024-08-09T23:45:29"/>
    <b v="1"/>
    <d v="2024-08-09T23:45:29"/>
    <d v="2024-08-20T19:15:38"/>
    <d v="2024-08-20T19:15:38"/>
    <m/>
    <m/>
    <d v="2024-08-09T00:00:00"/>
    <s v="Comunicación a usuario sobre diagnostico"/>
    <x v="6"/>
    <s v="Configuracion Software"/>
    <x v="2"/>
    <s v="Laptop"/>
    <m/>
    <m/>
    <s v="CANELLA, SOCIEDAD ANONIMA"/>
    <s v="MOTUL"/>
    <n v="3990"/>
    <n v="35"/>
    <s v="Mesa Ayuda Infraestructura"/>
    <n v="246927"/>
    <s v="CARLOS ADOLFO RIVAS MENDEZ"/>
    <n v="2766"/>
    <s v="CANELLA"/>
    <n v="2"/>
    <n v="20"/>
    <m/>
    <m/>
    <n v="1"/>
    <s v="CANELLA"/>
    <n v="2766"/>
    <s v="José Julajuj Chumil"/>
    <m/>
    <s v="normal"/>
    <s v="En proceso"/>
    <s v="Diagnostico de equipo - CARLOS RIVAS -"/>
    <n v="72"/>
    <b v="1"/>
    <n v="25408"/>
    <m/>
    <s v="06763@general.tbd"/>
    <n v="25766"/>
    <n v="0"/>
    <n v="2766"/>
    <n v="8777"/>
    <s v="Mesa Ayuda Infraestructura"/>
    <n v="8.4702777777777705"/>
    <m/>
  </r>
  <r>
    <n v="4088"/>
    <n v="0.55000000000000004"/>
    <d v="1899-12-30T00:33:00"/>
    <s v="50-Finalizado"/>
    <d v="1900-01-01T00:00:00"/>
    <x v="170"/>
    <d v="2024-08-09T00:00:00"/>
    <d v="2024-08-09T15:17:16"/>
    <x v="106"/>
    <n v="8.4702777777777705"/>
    <d v="1899-12-30T08:28:13"/>
    <d v="2024-08-09T00:00:00"/>
    <d v="2024-08-09T15:17:16"/>
    <m/>
    <d v="1899-12-31T00:00:00"/>
    <d v="2024-08-09T23:45:29"/>
    <b v="1"/>
    <d v="2024-08-09T23:45:29"/>
    <d v="2024-08-20T19:15:38"/>
    <d v="2024-08-20T19:15:38"/>
    <m/>
    <m/>
    <d v="2024-08-09T00:00:00"/>
    <s v="Se estará realizando una evaluación de RAM, procesador, Disco duro, Almacenaje y"/>
    <x v="6"/>
    <s v="Configuracion Software"/>
    <x v="2"/>
    <s v="Laptop"/>
    <m/>
    <m/>
    <s v="CANELLA, SOCIEDAD ANONIMA"/>
    <s v="MOTUL"/>
    <n v="3990"/>
    <n v="35"/>
    <s v="Mesa Ayuda Infraestructura"/>
    <n v="246927"/>
    <s v="CARLOS ADOLFO RIVAS MENDEZ"/>
    <n v="2766"/>
    <s v="CANELLA"/>
    <n v="2"/>
    <n v="20"/>
    <m/>
    <m/>
    <n v="1"/>
    <s v="CANELLA"/>
    <n v="2766"/>
    <s v="José Julajuj Chumil"/>
    <m/>
    <s v="normal"/>
    <s v="En proceso"/>
    <s v="Diagnostico de equipo - CARLOS RIVAS -"/>
    <n v="72"/>
    <b v="1"/>
    <n v="25408"/>
    <m/>
    <s v="06763@general.tbd"/>
    <n v="25408"/>
    <n v="0"/>
    <n v="2766"/>
    <n v="8777"/>
    <s v="Mesa Ayuda Infraestructura"/>
    <n v="8.4702777777777705"/>
    <m/>
  </r>
  <r>
    <n v="4087"/>
    <n v="1"/>
    <d v="1899-12-30T01:00:00"/>
    <s v="50-Finalizado"/>
    <d v="1900-01-01T00:00:00"/>
    <x v="171"/>
    <d v="2024-08-09T00:00:00"/>
    <d v="2024-08-09T14:46:07"/>
    <x v="107"/>
    <n v="8.9808333333333294"/>
    <d v="1899-12-30T08:58:51"/>
    <d v="2024-08-09T00:00:00"/>
    <d v="2024-08-09T14:46:07"/>
    <m/>
    <d v="1899-12-31T00:00:00"/>
    <d v="2024-08-09T23:44:58"/>
    <b v="1"/>
    <d v="2024-08-09T23:44:58"/>
    <d v="2024-08-20T19:15:38"/>
    <d v="2024-08-20T19:15:38"/>
    <m/>
    <m/>
    <d v="2024-08-09T00:00:00"/>
    <s v="Se está realizando la generación de un archivo PST en Microsoft Outlook para la gestión y archivo de datos de correo electrónico"/>
    <x v="6"/>
    <s v="Configuracion Software"/>
    <x v="2"/>
    <s v="Laptop"/>
    <m/>
    <m/>
    <s v="CANELLA, SOCIEDAD ANONIMA"/>
    <s v="REPUESTOS ISUZU/VENTAS"/>
    <n v="3989"/>
    <n v="35"/>
    <s v="Mesa Ayuda Infraestructura"/>
    <n v="247853"/>
    <s v="LUIS ARMANDO MACARIO LOOL"/>
    <n v="2766"/>
    <s v="CANELLA"/>
    <n v="2"/>
    <n v="20"/>
    <m/>
    <m/>
    <n v="1"/>
    <s v="CANELLA"/>
    <n v="2766"/>
    <s v="José Julajuj Chumil"/>
    <m/>
    <s v="normal"/>
    <s v="En proceso"/>
    <s v="Transferencia del archivo PST mediante correo electrónico - LUIS MACARIO -"/>
    <n v="72"/>
    <b v="1"/>
    <s v="[25503, 25412, 25404, 25375]"/>
    <m/>
    <s v="03584@general.tbd"/>
    <n v="25503"/>
    <n v="0"/>
    <n v="2766"/>
    <n v="8777"/>
    <s v="Mesa Ayuda Infraestructura"/>
    <n v="8.9808333333333294"/>
    <m/>
  </r>
  <r>
    <n v="4087"/>
    <n v="0.91666666666666596"/>
    <d v="1899-12-30T00:55:00"/>
    <s v="50-Finalizado"/>
    <d v="1900-01-01T00:00:00"/>
    <x v="171"/>
    <d v="2024-08-09T00:00:00"/>
    <d v="2024-08-09T14:46:07"/>
    <x v="107"/>
    <n v="8.9808333333333294"/>
    <d v="1899-12-30T08:58:51"/>
    <d v="2024-08-09T00:00:00"/>
    <d v="2024-08-09T14:46:07"/>
    <m/>
    <d v="1899-12-31T00:00:00"/>
    <d v="2024-08-09T23:44:58"/>
    <b v="1"/>
    <d v="2024-08-09T23:44:58"/>
    <d v="2024-08-20T19:15:38"/>
    <d v="2024-08-20T19:15:38"/>
    <m/>
    <m/>
    <d v="2024-08-09T00:00:00"/>
    <s v="Se está realizando la sincronización de los datos del archivo PST/OST de Outlook para asegurar la"/>
    <x v="6"/>
    <s v="Configuracion Software"/>
    <x v="2"/>
    <s v="Laptop"/>
    <m/>
    <m/>
    <s v="CANELLA, SOCIEDAD ANONIMA"/>
    <s v="REPUESTOS ISUZU/VENTAS"/>
    <n v="3989"/>
    <n v="35"/>
    <s v="Mesa Ayuda Infraestructura"/>
    <n v="247853"/>
    <s v="LUIS ARMANDO MACARIO LOOL"/>
    <n v="2766"/>
    <s v="CANELLA"/>
    <n v="2"/>
    <n v="20"/>
    <m/>
    <m/>
    <n v="1"/>
    <s v="CANELLA"/>
    <n v="2766"/>
    <s v="José Julajuj Chumil"/>
    <m/>
    <s v="normal"/>
    <s v="En proceso"/>
    <s v="Transferencia del archivo PST mediante correo electrónico - LUIS MACARIO -"/>
    <n v="72"/>
    <b v="1"/>
    <s v="[25503, 25412, 25404, 25375]"/>
    <m/>
    <s v="03584@general.tbd"/>
    <n v="25412"/>
    <n v="0"/>
    <n v="2766"/>
    <n v="8777"/>
    <s v="Mesa Ayuda Infraestructura"/>
    <n v="8.9808333333333294"/>
    <m/>
  </r>
  <r>
    <n v="4087"/>
    <n v="0.25"/>
    <d v="1899-12-30T00:15:00"/>
    <s v="50-Finalizado"/>
    <d v="1900-01-01T00:00:00"/>
    <x v="171"/>
    <d v="2024-08-09T00:00:00"/>
    <d v="2024-08-09T14:46:07"/>
    <x v="107"/>
    <n v="8.9808333333333294"/>
    <d v="1899-12-30T08:58:51"/>
    <d v="2024-08-09T00:00:00"/>
    <d v="2024-08-09T14:46:07"/>
    <m/>
    <d v="1899-12-31T00:00:00"/>
    <d v="2024-08-09T23:44:58"/>
    <b v="1"/>
    <d v="2024-08-09T23:44:58"/>
    <d v="2024-08-20T19:15:38"/>
    <d v="2024-08-20T19:15:38"/>
    <m/>
    <m/>
    <d v="2024-08-09T00:00:00"/>
    <s v="Se realizará una llamada telefónica al usuario para la resolución del asunto"/>
    <x v="6"/>
    <s v="Configuracion Software"/>
    <x v="2"/>
    <s v="Laptop"/>
    <m/>
    <m/>
    <s v="CANELLA, SOCIEDAD ANONIMA"/>
    <s v="REPUESTOS ISUZU/VENTAS"/>
    <n v="3989"/>
    <n v="35"/>
    <s v="Mesa Ayuda Infraestructura"/>
    <n v="247853"/>
    <s v="LUIS ARMANDO MACARIO LOOL"/>
    <n v="2766"/>
    <s v="CANELLA"/>
    <n v="2"/>
    <n v="20"/>
    <m/>
    <m/>
    <n v="1"/>
    <s v="CANELLA"/>
    <n v="2766"/>
    <s v="José Julajuj Chumil"/>
    <m/>
    <s v="normal"/>
    <s v="En proceso"/>
    <s v="Transferencia del archivo PST mediante correo electrónico - LUIS MACARIO -"/>
    <n v="72"/>
    <b v="1"/>
    <s v="[25503, 25412, 25404, 25375]"/>
    <m/>
    <s v="03584@general.tbd"/>
    <n v="25404"/>
    <n v="0"/>
    <n v="2766"/>
    <n v="8777"/>
    <s v="Mesa Ayuda Infraestructura"/>
    <n v="8.9808333333333294"/>
    <m/>
  </r>
  <r>
    <n v="4087"/>
    <n v="0.25"/>
    <d v="1899-12-30T00:15:00"/>
    <s v="50-Finalizado"/>
    <d v="1900-01-01T00:00:00"/>
    <x v="171"/>
    <d v="2024-08-09T00:00:00"/>
    <d v="2024-08-09T14:46:07"/>
    <x v="107"/>
    <n v="8.9808333333333294"/>
    <d v="1899-12-30T08:58:51"/>
    <d v="2024-08-09T00:00:00"/>
    <d v="2024-08-09T14:46:07"/>
    <m/>
    <d v="1899-12-31T00:00:00"/>
    <d v="2024-08-09T23:44:58"/>
    <b v="1"/>
    <d v="2024-08-09T23:44:58"/>
    <d v="2024-08-20T19:15:38"/>
    <d v="2024-08-20T19:15:38"/>
    <m/>
    <m/>
    <d v="2024-08-09T00:00:00"/>
    <s v="Se realizará una llamada telefónica al usuario para la  resolución del asunto"/>
    <x v="6"/>
    <s v="Configuracion Software"/>
    <x v="2"/>
    <s v="Laptop"/>
    <m/>
    <m/>
    <s v="CANELLA, SOCIEDAD ANONIMA"/>
    <s v="REPUESTOS ISUZU/VENTAS"/>
    <n v="3989"/>
    <n v="35"/>
    <s v="Mesa Ayuda Infraestructura"/>
    <n v="247853"/>
    <s v="LUIS ARMANDO MACARIO LOOL"/>
    <n v="2766"/>
    <s v="CANELLA"/>
    <n v="2"/>
    <n v="20"/>
    <m/>
    <m/>
    <n v="1"/>
    <s v="CANELLA"/>
    <n v="2766"/>
    <s v="José Julajuj Chumil"/>
    <m/>
    <s v="normal"/>
    <s v="En proceso"/>
    <s v="Transferencia del archivo PST mediante correo electrónico - LUIS MACARIO -"/>
    <n v="72"/>
    <b v="1"/>
    <s v="[25503, 25412, 25404, 25375]"/>
    <m/>
    <s v="03584@general.tbd"/>
    <n v="25375"/>
    <n v="0"/>
    <n v="2766"/>
    <n v="8777"/>
    <s v="Mesa Ayuda Infraestructura"/>
    <n v="8.9808333333333294"/>
    <m/>
  </r>
  <r>
    <n v="4079"/>
    <n v="8.3333333333333301E-2"/>
    <d v="1899-12-30T00:05:00"/>
    <s v="50-Finalizado"/>
    <d v="1900-01-01T00:00:00"/>
    <x v="172"/>
    <d v="2024-08-08T00:00:00"/>
    <d v="2024-08-08T22:35:01"/>
    <x v="108"/>
    <n v="0.94972222222222202"/>
    <d v="1899-12-30T00:56:59"/>
    <d v="2024-08-08T00:00:00"/>
    <d v="2024-08-08T22:35:01"/>
    <m/>
    <d v="1899-12-31T00:00:00"/>
    <d v="2024-08-08T23:32:00"/>
    <b v="1"/>
    <d v="2024-08-08T23:32:00"/>
    <d v="2024-08-20T19:15:38"/>
    <d v="2024-08-20T19:15:38"/>
    <m/>
    <m/>
    <d v="2024-08-08T00:00:00"/>
    <s v="Traslado de 5 activos fijos de bodega IT a Alejandra Santos y envío de traslados"/>
    <x v="3"/>
    <s v="Configuracion Hardware"/>
    <x v="2"/>
    <s v="SAP"/>
    <m/>
    <m/>
    <s v="CANELLA, SOCIEDAD ANONIMA"/>
    <s v="CENTRO DE COBRO"/>
    <n v="3981"/>
    <n v="35"/>
    <s v="Mesa Ayuda Infraestructura"/>
    <n v="247032"/>
    <s v="MARITZA ALEJANDRA SANTOS CASTELLANOS"/>
    <n v="299"/>
    <s v="CANELLA"/>
    <n v="1"/>
    <n v="5"/>
    <m/>
    <m/>
    <n v="1"/>
    <s v="CANELLA"/>
    <n v="299"/>
    <s v="Rosario Lic"/>
    <s v="&lt;p&gt;Se procede a realizar el traslado de 5 activos para tarjeta de responsabilidad de Alejandra Santos &lt;/p&gt;"/>
    <s v="normal"/>
    <s v="En proceso"/>
    <s v="Traslado de activos en SAP"/>
    <n v="72"/>
    <b v="1"/>
    <s v="[25289, 25288, 25287]"/>
    <m/>
    <s v="06645@general.tbd"/>
    <n v="25289"/>
    <n v="0"/>
    <n v="299"/>
    <n v="8777"/>
    <s v="Mesa Ayuda Infraestructura"/>
    <n v="0.94972222222222202"/>
    <m/>
  </r>
  <r>
    <n v="4079"/>
    <n v="8.3333333333333301E-2"/>
    <d v="1899-12-30T00:05:00"/>
    <s v="50-Finalizado"/>
    <d v="1900-01-01T00:00:00"/>
    <x v="172"/>
    <d v="2024-08-08T00:00:00"/>
    <d v="2024-08-08T22:35:01"/>
    <x v="108"/>
    <n v="0.94972222222222202"/>
    <d v="1899-12-30T00:56:59"/>
    <d v="2024-08-08T00:00:00"/>
    <d v="2024-08-08T22:35:01"/>
    <m/>
    <d v="1899-12-31T00:00:00"/>
    <d v="2024-08-08T23:32:00"/>
    <b v="1"/>
    <d v="2024-08-08T23:32:00"/>
    <d v="2024-08-20T19:15:38"/>
    <d v="2024-08-20T19:15:38"/>
    <m/>
    <m/>
    <d v="2024-08-08T00:00:00"/>
    <s v="Traslado de 4 activos asignados a Rogelio Esturba, se trasladan a bodega IT"/>
    <x v="3"/>
    <s v="Configuracion Hardware"/>
    <x v="2"/>
    <s v="SAP"/>
    <m/>
    <m/>
    <s v="CANELLA, SOCIEDAD ANONIMA"/>
    <s v="CENTRO DE COBRO"/>
    <n v="3981"/>
    <n v="35"/>
    <s v="Mesa Ayuda Infraestructura"/>
    <n v="247032"/>
    <s v="MARITZA ALEJANDRA SANTOS CASTELLANOS"/>
    <n v="299"/>
    <s v="CANELLA"/>
    <n v="1"/>
    <n v="5"/>
    <m/>
    <m/>
    <n v="1"/>
    <s v="CANELLA"/>
    <n v="299"/>
    <s v="Rosario Lic"/>
    <s v="&lt;p&gt;Se procede a realizar el traslado de 5 activos para tarjeta de responsabilidad de Alejandra Santos &lt;/p&gt;"/>
    <s v="normal"/>
    <s v="En proceso"/>
    <s v="Traslado de activos en SAP"/>
    <n v="72"/>
    <b v="1"/>
    <s v="[25289, 25288, 25287]"/>
    <m/>
    <s v="06645@general.tbd"/>
    <n v="25288"/>
    <n v="0"/>
    <n v="299"/>
    <n v="8777"/>
    <s v="Mesa Ayuda Infraestructura"/>
    <n v="0.94972222222222202"/>
    <m/>
  </r>
  <r>
    <n v="4079"/>
    <n v="0.16666666666666599"/>
    <d v="1899-12-30T00:10:00"/>
    <s v="50-Finalizado"/>
    <d v="1900-01-01T00:00:00"/>
    <x v="172"/>
    <d v="2024-08-08T00:00:00"/>
    <d v="2024-08-08T22:35:01"/>
    <x v="108"/>
    <n v="0.94972222222222202"/>
    <d v="1899-12-30T00:56:59"/>
    <d v="2024-08-08T00:00:00"/>
    <d v="2024-08-08T22:35:01"/>
    <m/>
    <d v="1899-12-31T00:00:00"/>
    <d v="2024-08-08T23:32:00"/>
    <b v="1"/>
    <d v="2024-08-08T23:32:00"/>
    <d v="2024-08-20T19:15:38"/>
    <d v="2024-08-20T19:15:38"/>
    <m/>
    <m/>
    <d v="2024-08-08T00:00:00"/>
    <s v="Se verifica los 5 activos a quien están asignados para realizar el traslado correspondiente a bodega IT"/>
    <x v="3"/>
    <s v="Configuracion Hardware"/>
    <x v="2"/>
    <s v="SAP"/>
    <m/>
    <m/>
    <s v="CANELLA, SOCIEDAD ANONIMA"/>
    <s v="CENTRO DE COBRO"/>
    <n v="3981"/>
    <n v="35"/>
    <s v="Mesa Ayuda Infraestructura"/>
    <n v="247032"/>
    <s v="MARITZA ALEJANDRA SANTOS CASTELLANOS"/>
    <n v="299"/>
    <s v="CANELLA"/>
    <n v="1"/>
    <n v="5"/>
    <m/>
    <m/>
    <n v="1"/>
    <s v="CANELLA"/>
    <n v="299"/>
    <s v="Rosario Lic"/>
    <s v="&lt;p&gt;Se procede a realizar el traslado de 5 activos para tarjeta de responsabilidad de Alejandra Santos &lt;/p&gt;"/>
    <s v="normal"/>
    <s v="En proceso"/>
    <s v="Traslado de activos en SAP"/>
    <n v="72"/>
    <b v="1"/>
    <s v="[25289, 25288, 25287]"/>
    <m/>
    <s v="06645@general.tbd"/>
    <n v="25287"/>
    <n v="0"/>
    <n v="299"/>
    <n v="8777"/>
    <s v="Mesa Ayuda Infraestructura"/>
    <n v="0.94972222222222202"/>
    <m/>
  </r>
  <r>
    <n v="4074"/>
    <n v="0.5"/>
    <d v="1899-12-30T00:30:00"/>
    <s v="50-Finalizado"/>
    <d v="1900-01-01T00:00:00"/>
    <x v="173"/>
    <d v="2024-08-08T00:00:00"/>
    <d v="2024-08-08T22:06:44"/>
    <x v="109"/>
    <n v="1.04666666666666"/>
    <d v="1899-12-30T01:02:48"/>
    <d v="2024-08-08T00:00:00"/>
    <d v="2024-08-08T22:06:44"/>
    <m/>
    <d v="1899-12-31T00:00:00"/>
    <d v="2024-08-08T23:09:32"/>
    <b v="1"/>
    <d v="2024-08-08T23:09:32"/>
    <d v="2024-08-20T19:15:38"/>
    <d v="2024-08-20T19:15:38"/>
    <m/>
    <m/>
    <d v="2024-08-08T00:00:00"/>
    <s v="Configuración de IP y verificación de uso"/>
    <x v="6"/>
    <s v="Configuracion Software"/>
    <x v="2"/>
    <s v="Laptop"/>
    <m/>
    <m/>
    <s v="CANELLA, SOCIEDAD ANONIMA"/>
    <s v="YAMAHA LIBERACION"/>
    <n v="3976"/>
    <n v="35"/>
    <s v="Mesa Ayuda Infraestructura"/>
    <n v="247696"/>
    <s v="JORGE ESTUARDO VASQUEZ GAVIDIA"/>
    <n v="2766"/>
    <s v="CANELLA"/>
    <n v="2"/>
    <n v="20"/>
    <m/>
    <m/>
    <n v="1"/>
    <s v="CANELLA"/>
    <n v="2766"/>
    <s v="José Julajuj Chumil"/>
    <m/>
    <s v="normal"/>
    <s v="En proceso"/>
    <s v="Cambio de IP -JORGE VASQUEZ-"/>
    <n v="72"/>
    <b v="1"/>
    <s v="[25260]"/>
    <m/>
    <s v="04889@general.tbd"/>
    <n v="25260"/>
    <n v="0"/>
    <n v="2766"/>
    <n v="8777"/>
    <s v="Mesa Ayuda Infraestructura"/>
    <n v="1.04666666666666"/>
    <m/>
  </r>
  <r>
    <n v="4059"/>
    <n v="0.53333333333333299"/>
    <d v="1899-12-30T00:32:00"/>
    <s v="50-Finalizado"/>
    <d v="1900-01-01T00:00:00"/>
    <x v="174"/>
    <d v="2024-08-08T00:00:00"/>
    <d v="2024-08-08T19:01:57"/>
    <x v="110"/>
    <n v="3.3333333333333301E-3"/>
    <d v="1899-12-30T00:00:12"/>
    <d v="2024-08-08T00:00:00"/>
    <d v="2024-08-08T19:01:57"/>
    <m/>
    <d v="1899-12-31T00:00:00"/>
    <d v="2024-08-08T19:02:09"/>
    <b v="1"/>
    <d v="2024-08-08T19:02:09"/>
    <d v="2024-08-20T19:15:38"/>
    <d v="2024-08-20T19:15:38"/>
    <m/>
    <m/>
    <d v="2024-08-08T00:00:00"/>
    <s v="Se procede a brindar apoyo por error de impresión, en el cual se comprueba que el equipo se encuentra lento debido a actualizaciones"/>
    <x v="3"/>
    <m/>
    <x v="2"/>
    <m/>
    <m/>
    <m/>
    <s v="CANELLA, SOCIEDAD ANONIMA"/>
    <s v="CONTABILIDAD, CANELLA, S. A."/>
    <n v="3961"/>
    <n v="35"/>
    <s v="Mesa Ayuda Infraestructura"/>
    <n v="247096"/>
    <s v="JESSICA MISHELLE HERNANDEZ ESPINOSA"/>
    <n v="299"/>
    <s v="CANELLA"/>
    <m/>
    <m/>
    <m/>
    <m/>
    <n v="1"/>
    <s v="CANELLA"/>
    <n v="299"/>
    <s v="Rosario Lic"/>
    <s v="&lt;p&gt;Apoyo, problemas con impresora&lt;/p&gt;"/>
    <s v="normal"/>
    <s v="En proceso"/>
    <s v="Apoyo, problemas con impresora"/>
    <n v="72"/>
    <b v="1"/>
    <s v="[25217]"/>
    <m/>
    <s v="06563@general.tbd"/>
    <n v="25217"/>
    <n v="0"/>
    <n v="299"/>
    <n v="8777"/>
    <s v="Mesa Ayuda Infraestructura"/>
    <n v="3.3333333333333301E-3"/>
    <m/>
  </r>
  <r>
    <n v="4056"/>
    <n v="0.33333333333333298"/>
    <d v="1899-12-30T00:20:00"/>
    <s v="50-Finalizado"/>
    <d v="1900-01-01T00:00:00"/>
    <x v="175"/>
    <d v="2024-08-08T00:00:00"/>
    <d v="2024-08-08T18:26:14"/>
    <x v="111"/>
    <n v="4.2036111111111101"/>
    <d v="1899-12-30T04:12:13"/>
    <d v="2024-08-08T00:00:00"/>
    <d v="2024-08-08T18:26:14"/>
    <m/>
    <d v="1899-12-31T00:00:00"/>
    <d v="2024-08-08T22:38:27"/>
    <b v="1"/>
    <d v="2024-08-08T22:38:27"/>
    <d v="2024-08-20T19:15:38"/>
    <d v="2024-08-20T19:15:38"/>
    <m/>
    <m/>
    <d v="2024-08-08T00:00:00"/>
    <s v="Configuración de acceso a VPN"/>
    <x v="6"/>
    <s v="Configuracion Software"/>
    <x v="2"/>
    <s v="VPN"/>
    <m/>
    <m/>
    <s v="CANELLA, SOCIEDAD ANONIMA"/>
    <s v="INTERSTATE"/>
    <n v="3958"/>
    <n v="35"/>
    <s v="Mesa Ayuda Infraestructura"/>
    <n v="246796"/>
    <s v="EDUARDO ITBOSETH CIFUENTES PANIAGUA"/>
    <n v="2766"/>
    <s v="CANELLA"/>
    <n v="2"/>
    <n v="19"/>
    <m/>
    <m/>
    <n v="1"/>
    <s v="CANELLA"/>
    <n v="2766"/>
    <s v="José Julajuj Chumil"/>
    <m/>
    <s v="normal"/>
    <s v="En proceso"/>
    <s v="Configuración de VPN -EDUARDO CIFUENTES-"/>
    <n v="72"/>
    <b v="1"/>
    <s v="[25210]"/>
    <m/>
    <s v="06906@general.tbd"/>
    <n v="25210"/>
    <n v="0"/>
    <n v="2766"/>
    <n v="8777"/>
    <s v="Mesa Ayuda Infraestructura"/>
    <n v="4.2036111111111101"/>
    <m/>
  </r>
  <r>
    <n v="4038"/>
    <n v="0.33333333333333298"/>
    <d v="1899-12-30T00:20:00"/>
    <s v="50-Finalizado"/>
    <d v="1900-01-01T00:00:00"/>
    <x v="176"/>
    <d v="2024-08-08T00:00:00"/>
    <d v="2024-08-08T16:40:33"/>
    <x v="112"/>
    <n v="5.9655555555555502"/>
    <d v="1899-12-30T05:57:56"/>
    <d v="2024-08-08T00:00:00"/>
    <d v="2024-08-08T16:40:33"/>
    <m/>
    <d v="1899-12-31T00:00:00"/>
    <d v="2024-08-08T22:38:29"/>
    <b v="1"/>
    <d v="2024-08-08T22:38:29"/>
    <d v="2024-08-20T19:15:38"/>
    <d v="2024-08-20T19:15:38"/>
    <m/>
    <m/>
    <d v="2024-08-08T00:00:00"/>
    <s v="Configuración de VPN y Pruebas"/>
    <x v="6"/>
    <s v="Configuracion Software"/>
    <x v="2"/>
    <s v="VPN"/>
    <m/>
    <m/>
    <s v="No Partner"/>
    <s v="No Partner"/>
    <n v="3940"/>
    <n v="35"/>
    <s v="Mesa Ayuda Infraestructura"/>
    <m/>
    <m/>
    <n v="2766"/>
    <s v="CANELLA"/>
    <n v="2"/>
    <n v="19"/>
    <m/>
    <m/>
    <n v="1"/>
    <s v="CANELLA"/>
    <n v="2766"/>
    <s v="José Julajuj Chumil"/>
    <m/>
    <s v="normal"/>
    <s v="En proceso"/>
    <s v="Configuracion de VPN -Repuestos-"/>
    <n v="72"/>
    <b v="1"/>
    <s v="[25165]"/>
    <m/>
    <s v="No Partner"/>
    <n v="25165"/>
    <n v="0"/>
    <n v="2766"/>
    <n v="8777"/>
    <s v="Mesa Ayuda Infraestructura"/>
    <n v="5.9655555555555502"/>
    <m/>
  </r>
  <r>
    <n v="4022"/>
    <n v="0.16666666666666599"/>
    <d v="1899-12-30T00:10:00"/>
    <s v="50-Finalizado"/>
    <d v="1900-01-01T00:00:00"/>
    <x v="177"/>
    <d v="2024-08-08T00:00:00"/>
    <d v="2024-08-08T14:41:28"/>
    <x v="113"/>
    <n v="7.9508333333333301"/>
    <d v="1899-12-30T07:57:03"/>
    <d v="2024-08-08T00:00:00"/>
    <d v="2024-08-08T14:41:28"/>
    <m/>
    <d v="1899-12-31T00:00:00"/>
    <d v="2024-08-08T22:38:31"/>
    <b v="1"/>
    <d v="2024-08-08T22:38:31"/>
    <d v="2024-08-20T19:15:38"/>
    <d v="2024-08-20T19:15:38"/>
    <m/>
    <m/>
    <d v="2024-08-08T00:00:00"/>
    <s v="Problemas de SAP"/>
    <x v="6"/>
    <s v="Configuracion Software"/>
    <x v="2"/>
    <s v="SAP"/>
    <m/>
    <m/>
    <s v="CANELLA, SOCIEDAD ANONIMA"/>
    <s v="SERVICIO TECNICO"/>
    <n v="3924"/>
    <n v="35"/>
    <s v="Mesa Ayuda Infraestructura"/>
    <n v="247059"/>
    <s v="MARIANA ALEJANDRA LEMUS NAVAS"/>
    <n v="2766"/>
    <s v="CANELLA"/>
    <n v="2"/>
    <n v="5"/>
    <m/>
    <m/>
    <n v="1"/>
    <s v="CANELLA"/>
    <n v="2766"/>
    <s v="José Julajuj Chumil"/>
    <m/>
    <s v="normal"/>
    <s v="En proceso"/>
    <s v="Problemas de SAP -MARIANA LEMUS-"/>
    <n v="72"/>
    <b v="1"/>
    <s v="[25122]"/>
    <m/>
    <s v="06614@general.tbd"/>
    <n v="25122"/>
    <n v="0"/>
    <n v="2766"/>
    <n v="8777"/>
    <s v="Mesa Ayuda Infraestructura"/>
    <n v="7.9508333333333301"/>
    <m/>
  </r>
  <r>
    <n v="3988"/>
    <n v="0.33333333333333298"/>
    <d v="1899-12-30T00:2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8T00:00:00"/>
    <s v="Instalación de Window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364"/>
    <n v="0"/>
    <n v="2766"/>
    <n v="8777"/>
    <s v="Mesa Ayuda Infraestructura"/>
    <n v="71.586666666666602"/>
    <m/>
  </r>
  <r>
    <n v="3988"/>
    <n v="0.75"/>
    <d v="1899-12-30T00:45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8T00:00:00"/>
    <s v="Actualización de equipo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283"/>
    <n v="0"/>
    <n v="2766"/>
    <n v="8777"/>
    <s v="Mesa Ayuda Infraestructura"/>
    <n v="71.586666666666602"/>
    <m/>
  </r>
  <r>
    <n v="3988"/>
    <n v="0.58333333333333304"/>
    <d v="1899-12-30T00:35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8T00:00:00"/>
    <s v="Configuración de equipo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275"/>
    <n v="0"/>
    <n v="2766"/>
    <n v="8777"/>
    <s v="Mesa Ayuda Infraestructura"/>
    <n v="71.586666666666602"/>
    <m/>
  </r>
  <r>
    <n v="3988"/>
    <n v="0.83333333333333304"/>
    <d v="1899-12-30T00:5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8T00:00:00"/>
    <s v="Reinicio de Actualizacione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262"/>
    <n v="0"/>
    <n v="2766"/>
    <n v="8777"/>
    <s v="Mesa Ayuda Infraestructura"/>
    <n v="71.586666666666602"/>
    <m/>
  </r>
  <r>
    <n v="3988"/>
    <n v="0.75"/>
    <d v="1899-12-30T00:45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8T00:00:00"/>
    <s v="Instalación de Windows, formateo de equipo de computo para instalación de window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215"/>
    <n v="0"/>
    <n v="2766"/>
    <n v="8777"/>
    <s v="Mesa Ayuda Infraestructura"/>
    <n v="71.586666666666602"/>
    <m/>
  </r>
  <r>
    <n v="3988"/>
    <n v="0.75"/>
    <d v="1899-12-30T00:45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8T00:00:00"/>
    <s v="Actualizaciones de equipos de 07 equipos hasta 22H2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212"/>
    <n v="0"/>
    <n v="2766"/>
    <n v="8777"/>
    <s v="Mesa Ayuda Infraestructura"/>
    <n v="71.586666666666602"/>
    <m/>
  </r>
  <r>
    <n v="3988"/>
    <n v="0.75"/>
    <d v="1899-12-30T00:45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8T00:00:00"/>
    <s v="Actualizaciones y reinicio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188"/>
    <n v="0"/>
    <n v="2766"/>
    <n v="8777"/>
    <s v="Mesa Ayuda Infraestructura"/>
    <n v="71.586666666666602"/>
    <m/>
  </r>
  <r>
    <n v="3988"/>
    <n v="0.5"/>
    <d v="1899-12-30T00:3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8T00:00:00"/>
    <s v="Configuración de aplicacione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187"/>
    <n v="0"/>
    <n v="2766"/>
    <n v="8777"/>
    <s v="Mesa Ayuda Infraestructura"/>
    <n v="71.586666666666602"/>
    <m/>
  </r>
  <r>
    <n v="3988"/>
    <n v="0.5"/>
    <d v="1899-12-30T00:3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8T00:00:00"/>
    <s v="Instalación de Window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148"/>
    <n v="0"/>
    <n v="2766"/>
    <n v="8777"/>
    <s v="Mesa Ayuda Infraestructura"/>
    <n v="71.586666666666602"/>
    <m/>
  </r>
  <r>
    <n v="3988"/>
    <n v="0.5"/>
    <d v="1899-12-30T00:3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8T00:00:00"/>
    <s v="Actualización de equipo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147"/>
    <n v="0"/>
    <n v="2766"/>
    <n v="8777"/>
    <s v="Mesa Ayuda Infraestructura"/>
    <n v="71.586666666666602"/>
    <m/>
  </r>
  <r>
    <n v="3988"/>
    <n v="0.25"/>
    <d v="1899-12-30T00:15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Activación de aplicacione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016"/>
    <n v="0"/>
    <n v="2766"/>
    <n v="8777"/>
    <s v="Mesa Ayuda Infraestructura"/>
    <n v="71.586666666666602"/>
    <m/>
  </r>
  <r>
    <n v="3988"/>
    <n v="0.5"/>
    <d v="1899-12-30T00:3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Actualización y reinicio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014"/>
    <n v="0"/>
    <n v="2766"/>
    <n v="8777"/>
    <s v="Mesa Ayuda Infraestructura"/>
    <n v="71.586666666666602"/>
    <m/>
  </r>
  <r>
    <n v="3988"/>
    <n v="0.41666666666666602"/>
    <d v="1899-12-30T00:25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Instalación de Windows 10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011"/>
    <n v="0"/>
    <n v="2766"/>
    <n v="8777"/>
    <s v="Mesa Ayuda Infraestructura"/>
    <n v="71.586666666666602"/>
    <m/>
  </r>
  <r>
    <n v="3988"/>
    <n v="0.16666666666666599"/>
    <d v="1899-12-30T00:1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Desactivación de seguridad disco duro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005"/>
    <n v="0"/>
    <n v="2766"/>
    <n v="8777"/>
    <s v="Mesa Ayuda Infraestructura"/>
    <n v="71.586666666666602"/>
    <m/>
  </r>
  <r>
    <n v="3988"/>
    <n v="0.16666666666666599"/>
    <d v="1899-12-30T00:1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Bodega retiro de equipo para check listo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004"/>
    <n v="0"/>
    <n v="2766"/>
    <n v="8777"/>
    <s v="Mesa Ayuda Infraestructura"/>
    <n v="71.586666666666602"/>
    <m/>
  </r>
  <r>
    <n v="3988"/>
    <n v="0.33333333333333298"/>
    <d v="1899-12-30T00:2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Actualización de equipo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4981"/>
    <n v="0"/>
    <n v="2766"/>
    <n v="8777"/>
    <s v="Mesa Ayuda Infraestructura"/>
    <n v="71.586666666666602"/>
    <m/>
  </r>
  <r>
    <n v="3988"/>
    <n v="0.16666666666666599"/>
    <d v="1899-12-30T00:1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etiquetación de equipo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4980"/>
    <n v="0"/>
    <n v="2766"/>
    <n v="8777"/>
    <s v="Mesa Ayuda Infraestructura"/>
    <n v="71.586666666666602"/>
    <m/>
  </r>
  <r>
    <n v="3988"/>
    <n v="0.33333333333333298"/>
    <d v="1899-12-30T00:2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Activación de aplicacione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4979"/>
    <n v="0"/>
    <n v="2766"/>
    <n v="8777"/>
    <s v="Mesa Ayuda Infraestructura"/>
    <n v="71.586666666666602"/>
    <m/>
  </r>
  <r>
    <n v="3988"/>
    <n v="0.75"/>
    <d v="1899-12-30T00:45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Actualizaciones de equipo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4978"/>
    <n v="0"/>
    <n v="2766"/>
    <n v="8777"/>
    <s v="Mesa Ayuda Infraestructura"/>
    <n v="71.586666666666602"/>
    <m/>
  </r>
  <r>
    <n v="3988"/>
    <n v="1"/>
    <d v="1899-12-30T01:0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Instalación de Window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4977"/>
    <n v="0"/>
    <n v="2766"/>
    <n v="8777"/>
    <s v="Mesa Ayuda Infraestructura"/>
    <n v="71.586666666666602"/>
    <m/>
  </r>
  <r>
    <n v="3988"/>
    <n v="0.25"/>
    <d v="1899-12-30T00:15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Bodega Retiro de equipos para Check lIst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4934"/>
    <n v="0"/>
    <n v="2766"/>
    <n v="8777"/>
    <s v="Mesa Ayuda Infraestructura"/>
    <n v="71.586666666666602"/>
    <m/>
  </r>
  <r>
    <n v="3976"/>
    <n v="0.5"/>
    <d v="1899-12-30T00:30:00"/>
    <s v="50-Finalizado"/>
    <d v="1900-01-01T00:00:00"/>
    <x v="179"/>
    <d v="2024-08-10T00:00:00"/>
    <d v="2024-08-07T17:35:23"/>
    <x v="115"/>
    <n v="72.302777777777706"/>
    <d v="1900-01-02T00:18:10"/>
    <d v="2024-08-07T00:00:00"/>
    <d v="2024-08-07T17:35:23"/>
    <m/>
    <d v="1899-12-31T00:00:00"/>
    <d v="2024-08-10T17:53:33"/>
    <b v="1"/>
    <d v="2024-08-10T17:53:33"/>
    <d v="2024-08-20T19:15:38"/>
    <d v="2024-08-20T19:15:38"/>
    <m/>
    <m/>
    <d v="2024-08-07T00:00:00"/>
    <s v="Configuración de IP"/>
    <x v="6"/>
    <s v="Configuracion Software"/>
    <x v="2"/>
    <s v="Laptop"/>
    <m/>
    <m/>
    <s v="CANELLA, SOCIEDAD ANONIMA"/>
    <s v="RECURSOS HUMANOS"/>
    <n v="3878"/>
    <n v="35"/>
    <s v="Mesa Ayuda Infraestructura"/>
    <n v="247296"/>
    <s v="WENDY ALEJANDRA CHAVEZ MORALES"/>
    <n v="2766"/>
    <s v="CANELLA"/>
    <n v="2"/>
    <n v="20"/>
    <m/>
    <m/>
    <n v="1"/>
    <s v="CANELLA"/>
    <n v="2766"/>
    <s v="José Julajuj Chumil"/>
    <m/>
    <s v="normal"/>
    <s v="En proceso"/>
    <s v="Configuración de IP y Agregar Impresora Estefany Gómez-"/>
    <n v="72"/>
    <b v="1"/>
    <n v="24907"/>
    <m/>
    <s v="06240@general.tbd"/>
    <n v="24927"/>
    <n v="0"/>
    <n v="2766"/>
    <n v="8777"/>
    <s v="Mesa Ayuda Infraestructura"/>
    <n v="72.302777777777706"/>
    <m/>
  </r>
  <r>
    <n v="3976"/>
    <n v="0.5"/>
    <d v="1899-12-30T00:30:00"/>
    <s v="50-Finalizado"/>
    <d v="1900-01-01T00:00:00"/>
    <x v="179"/>
    <d v="2024-08-10T00:00:00"/>
    <d v="2024-08-07T17:35:23"/>
    <x v="115"/>
    <n v="72.302777777777706"/>
    <d v="1900-01-02T00:18:10"/>
    <d v="2024-08-07T00:00:00"/>
    <d v="2024-08-07T17:35:23"/>
    <m/>
    <d v="1899-12-31T00:00:00"/>
    <d v="2024-08-10T17:53:33"/>
    <b v="1"/>
    <d v="2024-08-10T17:53:33"/>
    <d v="2024-08-20T19:15:38"/>
    <d v="2024-08-20T19:15:38"/>
    <m/>
    <m/>
    <d v="2024-08-07T00:00:00"/>
    <s v="Agregar impresora"/>
    <x v="6"/>
    <s v="Configuracion Software"/>
    <x v="2"/>
    <s v="Laptop"/>
    <m/>
    <m/>
    <s v="CANELLA, SOCIEDAD ANONIMA"/>
    <s v="RECURSOS HUMANOS"/>
    <n v="3878"/>
    <n v="35"/>
    <s v="Mesa Ayuda Infraestructura"/>
    <n v="247296"/>
    <s v="WENDY ALEJANDRA CHAVEZ MORALES"/>
    <n v="2766"/>
    <s v="CANELLA"/>
    <n v="2"/>
    <n v="20"/>
    <m/>
    <m/>
    <n v="1"/>
    <s v="CANELLA"/>
    <n v="2766"/>
    <s v="José Julajuj Chumil"/>
    <m/>
    <s v="normal"/>
    <s v="En proceso"/>
    <s v="Configuración de IP y Agregar Impresora Estefany Gómez-"/>
    <n v="72"/>
    <b v="1"/>
    <n v="24907"/>
    <m/>
    <s v="06240@general.tbd"/>
    <n v="24907"/>
    <n v="0"/>
    <n v="2766"/>
    <n v="8777"/>
    <s v="Mesa Ayuda Infraestructura"/>
    <n v="72.302777777777706"/>
    <m/>
  </r>
  <r>
    <n v="3973"/>
    <n v="0.6"/>
    <d v="1899-12-30T00:36:00"/>
    <s v="40-Esperando cliente"/>
    <d v="1900-01-01T00:00:00"/>
    <x v="180"/>
    <d v="2024-08-19T00:00:00"/>
    <d v="2024-08-07T17:32:59"/>
    <x v="4"/>
    <n v="0"/>
    <d v="1899-12-30T00:00:00"/>
    <d v="2024-08-07T00:00:00"/>
    <d v="2024-08-07T17:32:59"/>
    <m/>
    <d v="1899-12-31T00:00:00"/>
    <d v="1899-12-31T00:00:00"/>
    <m/>
    <d v="1899-12-31T00:00:00"/>
    <d v="2024-08-20T19:15:38"/>
    <d v="2024-08-20T19:15:38"/>
    <m/>
    <m/>
    <d v="2024-08-19T00:00:00"/>
    <s v="Traslado de facturas para firma y autorizaciones a gerencia"/>
    <x v="3"/>
    <m/>
    <x v="2"/>
    <m/>
    <m/>
    <m/>
    <s v="No Partner"/>
    <s v="No Partner"/>
    <n v="3875"/>
    <n v="35"/>
    <s v="Mesa Ayuda Infraestructura"/>
    <m/>
    <m/>
    <n v="299"/>
    <s v="CANELLA"/>
    <m/>
    <m/>
    <m/>
    <m/>
    <n v="1"/>
    <s v="CANELLA"/>
    <n v="299"/>
    <s v="Rosario Lic"/>
    <s v="&lt;p&gt;Organización de documentos para firma de facturas, órdenes de compra, facturas y autorización para proceder con ordenes de compra por horas de consultoría. &lt;/p&gt;"/>
    <s v="normal"/>
    <s v="En proceso"/>
    <s v="Firma de OC / Facturas / Autorizaciones"/>
    <n v="71"/>
    <m/>
    <s v="[28008, 25868, 25233, 24913]"/>
    <m/>
    <s v="No Partner"/>
    <n v="28008"/>
    <n v="0"/>
    <n v="299"/>
    <n v="8777"/>
    <s v="Mesa Ayuda Infraestructura"/>
    <n v="0"/>
    <m/>
  </r>
  <r>
    <n v="3973"/>
    <n v="0.6"/>
    <d v="1899-12-30T00:36:00"/>
    <s v="40-Esperando cliente"/>
    <d v="1900-01-01T00:00:00"/>
    <x v="180"/>
    <d v="2024-08-19T00:00:00"/>
    <d v="2024-08-07T17:32:59"/>
    <x v="4"/>
    <n v="0"/>
    <d v="1899-12-30T00:00:00"/>
    <d v="2024-08-07T00:00:00"/>
    <d v="2024-08-07T17:32:59"/>
    <m/>
    <d v="1899-12-31T00:00:00"/>
    <d v="1899-12-31T00:00:00"/>
    <m/>
    <d v="1899-12-31T00:00:00"/>
    <d v="2024-08-20T19:15:38"/>
    <d v="2024-08-20T19:15:38"/>
    <m/>
    <m/>
    <d v="2024-08-09T00:00:00"/>
    <s v="Traslado de facturas para firma y autorizaciones"/>
    <x v="3"/>
    <m/>
    <x v="2"/>
    <m/>
    <m/>
    <m/>
    <s v="No Partner"/>
    <s v="No Partner"/>
    <n v="3875"/>
    <n v="35"/>
    <s v="Mesa Ayuda Infraestructura"/>
    <m/>
    <m/>
    <n v="299"/>
    <s v="CANELLA"/>
    <m/>
    <m/>
    <m/>
    <m/>
    <n v="1"/>
    <s v="CANELLA"/>
    <n v="299"/>
    <s v="Rosario Lic"/>
    <s v="&lt;p&gt;Organización de documentos para firma de facturas, órdenes de compra, facturas y autorización para proceder con ordenes de compra por horas de consultoría. &lt;/p&gt;"/>
    <s v="normal"/>
    <s v="En proceso"/>
    <s v="Firma de OC / Facturas / Autorizaciones"/>
    <n v="71"/>
    <m/>
    <s v="[28008, 25868, 25233, 24913]"/>
    <m/>
    <s v="No Partner"/>
    <n v="25868"/>
    <n v="0"/>
    <n v="299"/>
    <n v="8777"/>
    <s v="Mesa Ayuda Infraestructura"/>
    <n v="0"/>
    <m/>
  </r>
  <r>
    <n v="3973"/>
    <n v="0.18333333333333299"/>
    <d v="1899-12-30T00:11:00"/>
    <s v="40-Esperando cliente"/>
    <d v="1900-01-01T00:00:00"/>
    <x v="180"/>
    <d v="2024-08-19T00:00:00"/>
    <d v="2024-08-07T17:32:59"/>
    <x v="4"/>
    <n v="0"/>
    <d v="1899-12-30T00:00:00"/>
    <d v="2024-08-07T00:00:00"/>
    <d v="2024-08-07T17:32:59"/>
    <m/>
    <d v="1899-12-31T00:00:00"/>
    <d v="1899-12-31T00:00:00"/>
    <m/>
    <d v="1899-12-31T00:00:00"/>
    <d v="2024-08-20T19:15:38"/>
    <d v="2024-08-20T19:15:38"/>
    <m/>
    <m/>
    <d v="2024-08-08T00:00:00"/>
    <s v="Organización de documentos"/>
    <x v="3"/>
    <m/>
    <x v="2"/>
    <m/>
    <m/>
    <m/>
    <s v="No Partner"/>
    <s v="No Partner"/>
    <n v="3875"/>
    <n v="35"/>
    <s v="Mesa Ayuda Infraestructura"/>
    <m/>
    <m/>
    <n v="299"/>
    <s v="CANELLA"/>
    <m/>
    <m/>
    <m/>
    <m/>
    <n v="1"/>
    <s v="CANELLA"/>
    <n v="299"/>
    <s v="Rosario Lic"/>
    <s v="&lt;p&gt;Organización de documentos para firma de facturas, órdenes de compra, facturas y autorización para proceder con ordenes de compra por horas de consultoría. &lt;/p&gt;"/>
    <s v="normal"/>
    <s v="En proceso"/>
    <s v="Firma de OC / Facturas / Autorizaciones"/>
    <n v="71"/>
    <m/>
    <s v="[28008, 25868, 25233, 24913]"/>
    <m/>
    <s v="No Partner"/>
    <n v="25233"/>
    <n v="0"/>
    <n v="299"/>
    <n v="8777"/>
    <s v="Mesa Ayuda Infraestructura"/>
    <n v="0"/>
    <m/>
  </r>
  <r>
    <n v="3973"/>
    <n v="0.6"/>
    <d v="1899-12-30T00:36:00"/>
    <s v="40-Esperando cliente"/>
    <d v="1900-01-01T00:00:00"/>
    <x v="180"/>
    <d v="2024-08-19T00:00:00"/>
    <d v="2024-08-07T17:32:59"/>
    <x v="4"/>
    <n v="0"/>
    <d v="1899-12-30T00:00:00"/>
    <d v="2024-08-07T00:00:00"/>
    <d v="2024-08-07T17:32:59"/>
    <m/>
    <d v="1899-12-31T00:00:00"/>
    <d v="1899-12-31T00:00:00"/>
    <m/>
    <d v="1899-12-31T00:00:00"/>
    <d v="2024-08-20T19:15:38"/>
    <d v="2024-08-20T19:15:38"/>
    <m/>
    <m/>
    <d v="2024-08-07T00:00:00"/>
    <s v="Organización de documentos para firma de facturas, órdenes de compra, facturas y autorización para proceder con ordenes de compra por horas de consultoría."/>
    <x v="3"/>
    <m/>
    <x v="2"/>
    <m/>
    <m/>
    <m/>
    <s v="No Partner"/>
    <s v="No Partner"/>
    <n v="3875"/>
    <n v="35"/>
    <s v="Mesa Ayuda Infraestructura"/>
    <m/>
    <m/>
    <n v="299"/>
    <s v="CANELLA"/>
    <m/>
    <m/>
    <m/>
    <m/>
    <n v="1"/>
    <s v="CANELLA"/>
    <n v="299"/>
    <s v="Rosario Lic"/>
    <s v="&lt;p&gt;Organización de documentos para firma de facturas, órdenes de compra, facturas y autorización para proceder con ordenes de compra por horas de consultoría. &lt;/p&gt;"/>
    <s v="normal"/>
    <s v="En proceso"/>
    <s v="Firma de OC / Facturas / Autorizaciones"/>
    <n v="71"/>
    <m/>
    <s v="[28008, 25868, 25233, 24913]"/>
    <m/>
    <s v="No Partner"/>
    <n v="24913"/>
    <n v="0"/>
    <n v="299"/>
    <n v="8777"/>
    <s v="Mesa Ayuda Infraestructura"/>
    <n v="0"/>
    <m/>
  </r>
  <r>
    <n v="3970"/>
    <n v="0.55000000000000004"/>
    <d v="1899-12-30T00:33:00"/>
    <s v="50-Finalizado"/>
    <d v="1900-01-01T00:00:00"/>
    <x v="181"/>
    <d v="2024-08-12T00:00:00"/>
    <d v="2024-08-07T17:05:53"/>
    <x v="116"/>
    <n v="118.237222222222"/>
    <d v="1900-01-03T22:14:14"/>
    <d v="2024-08-07T00:00:00"/>
    <d v="2024-08-07T17:05:53"/>
    <m/>
    <d v="1899-12-31T00:00:00"/>
    <d v="2024-08-12T15:20:07"/>
    <b v="1"/>
    <d v="2024-08-12T15:20:07"/>
    <d v="2024-08-20T19:15:38"/>
    <d v="2024-08-20T19:15:38"/>
    <m/>
    <m/>
    <d v="2024-08-07T00:00:00"/>
    <s v="Se procedió a la recepción de accesorios y al ajuste de ambos soportes para entrega e instalación"/>
    <x v="3"/>
    <s v="Orden de compra"/>
    <x v="2"/>
    <m/>
    <m/>
    <m/>
    <s v="CANELLA, SOCIEDAD ANONIMA"/>
    <s v="GERENCIA DE SERVICIOS COMPARTIDOS"/>
    <n v="3872"/>
    <n v="35"/>
    <s v="Mesa Ayuda Infraestructura"/>
    <n v="247885"/>
    <s v="AMABILIA MARISOL RECINOS ARGUETA"/>
    <n v="299"/>
    <s v="CANELLA"/>
    <n v="6"/>
    <m/>
    <m/>
    <m/>
    <n v="1"/>
    <s v="CANELLA"/>
    <n v="299"/>
    <s v="Rosario Lic"/>
    <s v="&lt;p&gt;Compra de 2 soportes para laptop para uso de Marisol Recinos y Aldo Sandoval. &lt;/p&gt;"/>
    <s v="normal"/>
    <s v="En proceso"/>
    <s v="Compra de Soporte para Laptop"/>
    <n v="72"/>
    <b v="1"/>
    <s v="[24896]"/>
    <m/>
    <s v="02158@general.tbd"/>
    <n v="24896"/>
    <n v="0"/>
    <n v="299"/>
    <n v="8777"/>
    <s v="Mesa Ayuda Infraestructura"/>
    <n v="118.237222222222"/>
    <m/>
  </r>
  <r>
    <n v="3964"/>
    <n v="4.5"/>
    <d v="1899-12-30T04:30:00"/>
    <s v="50-Finalizado"/>
    <d v="1900-01-01T00:00:00"/>
    <x v="182"/>
    <d v="2024-08-07T00:00:00"/>
    <d v="2024-08-07T16:40:03"/>
    <x v="117"/>
    <n v="4.4602777777777698"/>
    <d v="1899-12-30T04:27:37"/>
    <d v="2024-08-07T00:00:00"/>
    <d v="2024-08-07T16:40:03"/>
    <m/>
    <d v="1899-12-31T00:00:00"/>
    <d v="2024-08-07T21:07:40"/>
    <b v="1"/>
    <d v="2024-08-07T21:07:40"/>
    <d v="2024-08-20T19:15:38"/>
    <d v="2024-08-20T19:15:38"/>
    <m/>
    <m/>
    <d v="2024-08-07T00:00:00"/>
    <s v="Instalación de Planta telefónica en Bacchus"/>
    <x v="8"/>
    <s v="Configuracion Hardware"/>
    <x v="2"/>
    <s v="Planta Telefonica"/>
    <m/>
    <m/>
    <s v="CANELLA, SOCIEDAD ANONIMA"/>
    <s v="INFORMATICA"/>
    <n v="3866"/>
    <n v="35"/>
    <s v="Mesa Ayuda Infraestructura"/>
    <n v="247813"/>
    <s v="OSCAR RAUL HERNANDEZ REYNA"/>
    <n v="186"/>
    <s v="CANELLA"/>
    <n v="1"/>
    <n v="14"/>
    <m/>
    <m/>
    <n v="1"/>
    <s v="CANELLA"/>
    <n v="186"/>
    <s v="Carlos Carias"/>
    <s v="&lt;p&gt;Instalación de Planta telefónica en Bacchus&amp;nbsp;&lt;/p&gt;"/>
    <s v="normal"/>
    <s v="En proceso"/>
    <s v="Instalación de Planta telefónica en Bacchus"/>
    <n v="72"/>
    <b v="1"/>
    <s v="[24887]"/>
    <m/>
    <s v="04025@general.tbd"/>
    <n v="24887"/>
    <n v="0"/>
    <n v="186"/>
    <n v="8777"/>
    <s v="Mesa Ayuda Infraestructura"/>
    <n v="4.4602777777777698"/>
    <m/>
  </r>
  <r>
    <n v="3943"/>
    <n v="0.21666666666666601"/>
    <d v="1899-12-30T00:13:00"/>
    <s v="50-Finalizado"/>
    <d v="1900-01-01T00:00:00"/>
    <x v="183"/>
    <d v="2024-08-12T00:00:00"/>
    <d v="2024-08-06T23:51:36"/>
    <x v="118"/>
    <n v="121.16055555555501"/>
    <d v="1900-01-04T01:09:38"/>
    <d v="2024-08-06T00:00:00"/>
    <d v="2024-08-06T23:51:36"/>
    <m/>
    <d v="1899-12-31T00:00:00"/>
    <d v="2024-08-12T01:01:14"/>
    <b v="1"/>
    <d v="2024-08-12T01:01:14"/>
    <d v="2024-08-20T19:15:38"/>
    <d v="2024-08-20T19:15:38"/>
    <m/>
    <m/>
    <d v="2024-08-06T00:00:00"/>
    <s v="Coordinación de reunion"/>
    <x v="3"/>
    <s v="Capacitaciones"/>
    <x v="2"/>
    <m/>
    <m/>
    <m/>
    <s v="CANELLA, SOCIEDAD ANONIMA"/>
    <s v="INFORMATICA"/>
    <n v="3845"/>
    <n v="35"/>
    <s v="Mesa Ayuda Infraestructura"/>
    <n v="247630"/>
    <s v="LUIS FERNANDO PRADO PEREZ"/>
    <n v="299"/>
    <s v="CANELLA"/>
    <n v="4"/>
    <m/>
    <m/>
    <m/>
    <n v="1"/>
    <s v="CANELLA"/>
    <n v="299"/>
    <s v="Rosario Lic"/>
    <m/>
    <s v="normal"/>
    <s v="En proceso"/>
    <s v="Capacitación ClowdWork"/>
    <n v="72"/>
    <b v="1"/>
    <s v="[24791]"/>
    <m/>
    <s v="05352@general.tbd"/>
    <n v="24791"/>
    <n v="0"/>
    <n v="299"/>
    <n v="8777"/>
    <s v="Mesa Ayuda Infraestructura"/>
    <n v="121.16055555555501"/>
    <m/>
  </r>
  <r>
    <n v="3925"/>
    <n v="0.43333333333333302"/>
    <d v="1899-12-30T00:26:00"/>
    <s v="50-Finalizado"/>
    <d v="1900-01-01T00:00:00"/>
    <x v="184"/>
    <d v="2024-08-06T00:00:00"/>
    <d v="2024-08-06T22:21:56"/>
    <x v="119"/>
    <n v="0.84111111111111103"/>
    <d v="1899-12-30T00:50:28"/>
    <d v="2024-08-06T00:00:00"/>
    <d v="2024-08-06T22:21:56"/>
    <m/>
    <d v="1899-12-31T00:00:00"/>
    <d v="2024-08-06T23:12:24"/>
    <b v="1"/>
    <d v="2024-08-06T23:12:24"/>
    <d v="2024-08-20T19:15:38"/>
    <d v="2024-08-20T19:15:38"/>
    <m/>
    <m/>
    <d v="2024-08-06T00:00:00"/>
    <s v="El equipo se demoró en terminar de cargar actualizaciones de microsoft office y tiene un error de versión en el cual detalla que no soporta el topo de windows"/>
    <x v="3"/>
    <m/>
    <x v="2"/>
    <m/>
    <m/>
    <m/>
    <s v="CANELLA, SOCIEDAD ANONIMA"/>
    <s v="YAMAHA LIBERACION"/>
    <n v="3827"/>
    <n v="35"/>
    <s v="Mesa Ayuda Infraestructura"/>
    <n v="247678"/>
    <s v="NANYBANY RUBEN ARANA NUÑEZ"/>
    <n v="299"/>
    <s v="CANELLA"/>
    <m/>
    <m/>
    <m/>
    <m/>
    <n v="1"/>
    <s v="CANELLA"/>
    <n v="299"/>
    <s v="Rosario Lic"/>
    <s v="&lt;p style=&quot;margin-bottom: 0px;&quot;&gt;Se procede a validar la conexión de correo el cual aparece como desconectado. El inconveniente se debe al ingreso de otro correo el cual tiene credenciales vencidas y da un error entre cuentas.&lt;/p&gt;&lt;p&gt;Se procede a eliminar la cuenta adicional y a realizar prueba, las cuales aun indican un error en la cuenta, también se procede a realizar la descarga de actualizaciones de microsoft office. &lt;/p&gt;"/>
    <s v="normal"/>
    <s v="En proceso"/>
    <s v="Problemas con el Correo"/>
    <n v="72"/>
    <b v="1"/>
    <n v="24741"/>
    <m/>
    <s v="05030@general.tbd"/>
    <n v="24760"/>
    <n v="0"/>
    <n v="299"/>
    <n v="8777"/>
    <s v="Mesa Ayuda Infraestructura"/>
    <n v="0.84111111111111103"/>
    <m/>
  </r>
  <r>
    <n v="3925"/>
    <n v="0.65"/>
    <d v="1899-12-30T00:39:00"/>
    <s v="50-Finalizado"/>
    <d v="1900-01-01T00:00:00"/>
    <x v="184"/>
    <d v="2024-08-06T00:00:00"/>
    <d v="2024-08-06T22:21:56"/>
    <x v="119"/>
    <n v="0.84111111111111103"/>
    <d v="1899-12-30T00:50:28"/>
    <d v="2024-08-06T00:00:00"/>
    <d v="2024-08-06T22:21:56"/>
    <m/>
    <d v="1899-12-31T00:00:00"/>
    <d v="2024-08-06T23:12:24"/>
    <b v="1"/>
    <d v="2024-08-06T23:12:24"/>
    <d v="2024-08-20T19:15:38"/>
    <d v="2024-08-20T19:15:38"/>
    <m/>
    <m/>
    <d v="2024-08-06T00:00:00"/>
    <s v="Se procede a validar la conexión de correo el cual aparece como desconectado. El inconveniente se debe al ingreso de otro correo el cual tiene credenciales vencidas y da un error entre cuentas. Se procede a eliminar la cuenta adicional y a realizar prueba, las cuales aun indican un error en la cuenta, también se procede a realizar la descarga de actualizaciones de microsoft office."/>
    <x v="3"/>
    <m/>
    <x v="2"/>
    <m/>
    <m/>
    <m/>
    <s v="CANELLA, SOCIEDAD ANONIMA"/>
    <s v="YAMAHA LIBERACION"/>
    <n v="3827"/>
    <n v="35"/>
    <s v="Mesa Ayuda Infraestructura"/>
    <n v="247678"/>
    <s v="NANYBANY RUBEN ARANA NUÑEZ"/>
    <n v="299"/>
    <s v="CANELLA"/>
    <m/>
    <m/>
    <m/>
    <m/>
    <n v="1"/>
    <s v="CANELLA"/>
    <n v="299"/>
    <s v="Rosario Lic"/>
    <s v="&lt;p style=&quot;margin-bottom: 0px;&quot;&gt;Se procede a validar la conexión de correo el cual aparece como desconectado. El inconveniente se debe al ingreso de otro correo el cual tiene credenciales vencidas y da un error entre cuentas.&lt;/p&gt;&lt;p&gt;Se procede a eliminar la cuenta adicional y a realizar prueba, las cuales aun indican un error en la cuenta, también se procede a realizar la descarga de actualizaciones de microsoft office. &lt;/p&gt;"/>
    <s v="normal"/>
    <s v="En proceso"/>
    <s v="Problemas con el Correo"/>
    <n v="72"/>
    <b v="1"/>
    <n v="24741"/>
    <m/>
    <s v="05030@general.tbd"/>
    <n v="24741"/>
    <n v="0"/>
    <n v="299"/>
    <n v="8777"/>
    <s v="Mesa Ayuda Infraestructura"/>
    <n v="0.84111111111111103"/>
    <m/>
  </r>
  <r>
    <n v="3924"/>
    <n v="0.25"/>
    <d v="1899-12-30T00:15:00"/>
    <s v="50-Finalizado"/>
    <d v="1900-01-01T00:00:00"/>
    <x v="185"/>
    <d v="2024-08-10T00:00:00"/>
    <d v="2024-08-06T22:09:38"/>
    <x v="120"/>
    <n v="91.736944444444404"/>
    <d v="1900-01-02T19:44:13"/>
    <d v="2024-08-06T00:00:00"/>
    <d v="2024-08-06T22:09:38"/>
    <m/>
    <d v="1899-12-31T00:00:00"/>
    <d v="2024-08-10T17:53:51"/>
    <b v="1"/>
    <d v="2024-08-10T17:53:51"/>
    <d v="2024-08-20T19:15:38"/>
    <d v="2024-08-20T19:15:38"/>
    <m/>
    <m/>
    <d v="2024-08-07T00:00:00"/>
    <s v="Instalación de impresora"/>
    <x v="6"/>
    <s v="Configuracion Software"/>
    <x v="2"/>
    <s v="Desktop"/>
    <m/>
    <m/>
    <s v="CANELLA, SOCIEDAD ANONIMA"/>
    <s v="YAMAHA LIBERACION"/>
    <n v="3826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Cambio de equipo -Jorge Vásquez-"/>
    <n v="72"/>
    <b v="1"/>
    <s v="[24925, 24923, 24899, 24881, 24764, 24763, 24734, 24733]"/>
    <m/>
    <s v="04889@general.tbd"/>
    <n v="24925"/>
    <n v="0"/>
    <n v="2766"/>
    <n v="8777"/>
    <s v="Mesa Ayuda Infraestructura"/>
    <n v="91.736944444444404"/>
    <m/>
  </r>
  <r>
    <n v="3924"/>
    <n v="0.25"/>
    <d v="1899-12-30T00:15:00"/>
    <s v="50-Finalizado"/>
    <d v="1900-01-01T00:00:00"/>
    <x v="185"/>
    <d v="2024-08-10T00:00:00"/>
    <d v="2024-08-06T22:09:38"/>
    <x v="120"/>
    <n v="91.736944444444404"/>
    <d v="1900-01-02T19:44:13"/>
    <d v="2024-08-06T00:00:00"/>
    <d v="2024-08-06T22:09:38"/>
    <m/>
    <d v="1899-12-31T00:00:00"/>
    <d v="2024-08-10T17:53:51"/>
    <b v="1"/>
    <d v="2024-08-10T17:53:51"/>
    <d v="2024-08-20T19:15:38"/>
    <d v="2024-08-20T19:15:38"/>
    <m/>
    <m/>
    <d v="2024-08-07T00:00:00"/>
    <s v="Instalación de Desktop"/>
    <x v="6"/>
    <s v="Configuracion Software"/>
    <x v="2"/>
    <s v="Desktop"/>
    <m/>
    <m/>
    <s v="CANELLA, SOCIEDAD ANONIMA"/>
    <s v="YAMAHA LIBERACION"/>
    <n v="3826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Cambio de equipo -Jorge Vásquez-"/>
    <n v="72"/>
    <b v="1"/>
    <s v="[24925, 24923, 24899, 24881, 24764, 24763, 24734, 24733]"/>
    <m/>
    <s v="04889@general.tbd"/>
    <n v="24923"/>
    <n v="0"/>
    <n v="2766"/>
    <n v="8777"/>
    <s v="Mesa Ayuda Infraestructura"/>
    <n v="91.736944444444404"/>
    <m/>
  </r>
  <r>
    <n v="3924"/>
    <n v="0.66666666666666596"/>
    <d v="1899-12-30T00:40:00"/>
    <s v="50-Finalizado"/>
    <d v="1900-01-01T00:00:00"/>
    <x v="185"/>
    <d v="2024-08-10T00:00:00"/>
    <d v="2024-08-06T22:09:38"/>
    <x v="120"/>
    <n v="91.736944444444404"/>
    <d v="1900-01-02T19:44:13"/>
    <d v="2024-08-06T00:00:00"/>
    <d v="2024-08-06T22:09:38"/>
    <m/>
    <d v="1899-12-31T00:00:00"/>
    <d v="2024-08-10T17:53:51"/>
    <b v="1"/>
    <d v="2024-08-10T17:53:51"/>
    <d v="2024-08-20T19:15:38"/>
    <d v="2024-08-20T19:15:38"/>
    <m/>
    <m/>
    <d v="2024-08-07T00:00:00"/>
    <s v="Verificación de IP y proxy"/>
    <x v="6"/>
    <s v="Configuracion Software"/>
    <x v="2"/>
    <s v="Desktop"/>
    <m/>
    <m/>
    <s v="CANELLA, SOCIEDAD ANONIMA"/>
    <s v="YAMAHA LIBERACION"/>
    <n v="3826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Cambio de equipo -Jorge Vásquez-"/>
    <n v="72"/>
    <b v="1"/>
    <s v="[24925, 24923, 24899, 24881, 24764, 24763, 24734, 24733]"/>
    <m/>
    <s v="04889@general.tbd"/>
    <n v="24899"/>
    <n v="0"/>
    <n v="2766"/>
    <n v="8777"/>
    <s v="Mesa Ayuda Infraestructura"/>
    <n v="91.736944444444404"/>
    <m/>
  </r>
  <r>
    <n v="3924"/>
    <n v="0.66666666666666596"/>
    <d v="1899-12-30T00:40:00"/>
    <s v="50-Finalizado"/>
    <d v="1900-01-01T00:00:00"/>
    <x v="185"/>
    <d v="2024-08-10T00:00:00"/>
    <d v="2024-08-06T22:09:38"/>
    <x v="120"/>
    <n v="91.736944444444404"/>
    <d v="1900-01-02T19:44:13"/>
    <d v="2024-08-06T00:00:00"/>
    <d v="2024-08-06T22:09:38"/>
    <m/>
    <d v="1899-12-31T00:00:00"/>
    <d v="2024-08-10T17:53:51"/>
    <b v="1"/>
    <d v="2024-08-10T17:53:51"/>
    <d v="2024-08-20T19:15:38"/>
    <d v="2024-08-20T19:15:38"/>
    <m/>
    <m/>
    <d v="2024-08-07T00:00:00"/>
    <s v="Verificación de archivos"/>
    <x v="6"/>
    <s v="Configuracion Software"/>
    <x v="2"/>
    <s v="Desktop"/>
    <m/>
    <m/>
    <s v="CANELLA, SOCIEDAD ANONIMA"/>
    <s v="YAMAHA LIBERACION"/>
    <n v="3826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Cambio de equipo -Jorge Vásquez-"/>
    <n v="72"/>
    <b v="1"/>
    <s v="[24925, 24923, 24899, 24881, 24764, 24763, 24734, 24733]"/>
    <m/>
    <s v="04889@general.tbd"/>
    <n v="24881"/>
    <n v="0"/>
    <n v="2766"/>
    <n v="8777"/>
    <s v="Mesa Ayuda Infraestructura"/>
    <n v="91.736944444444404"/>
    <m/>
  </r>
  <r>
    <n v="3924"/>
    <n v="0.66666666666666596"/>
    <d v="1899-12-30T00:40:00"/>
    <s v="50-Finalizado"/>
    <d v="1900-01-01T00:00:00"/>
    <x v="185"/>
    <d v="2024-08-10T00:00:00"/>
    <d v="2024-08-06T22:09:38"/>
    <x v="120"/>
    <n v="91.736944444444404"/>
    <d v="1900-01-02T19:44:13"/>
    <d v="2024-08-06T00:00:00"/>
    <d v="2024-08-06T22:09:38"/>
    <m/>
    <d v="1899-12-31T00:00:00"/>
    <d v="2024-08-10T17:53:51"/>
    <b v="1"/>
    <d v="2024-08-10T17:53:51"/>
    <d v="2024-08-20T19:15:38"/>
    <d v="2024-08-20T19:15:38"/>
    <m/>
    <m/>
    <d v="2024-08-06T00:00:00"/>
    <s v="Traslado de archivos"/>
    <x v="6"/>
    <s v="Configuracion Software"/>
    <x v="2"/>
    <s v="Desktop"/>
    <m/>
    <m/>
    <s v="CANELLA, SOCIEDAD ANONIMA"/>
    <s v="YAMAHA LIBERACION"/>
    <n v="3826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Cambio de equipo -Jorge Vásquez-"/>
    <n v="72"/>
    <b v="1"/>
    <s v="[24925, 24923, 24899, 24881, 24764, 24763, 24734, 24733]"/>
    <m/>
    <s v="04889@general.tbd"/>
    <n v="24764"/>
    <n v="0"/>
    <n v="2766"/>
    <n v="8777"/>
    <s v="Mesa Ayuda Infraestructura"/>
    <n v="91.736944444444404"/>
    <m/>
  </r>
  <r>
    <n v="3924"/>
    <n v="0.25"/>
    <d v="1899-12-30T00:15:00"/>
    <s v="50-Finalizado"/>
    <d v="1900-01-01T00:00:00"/>
    <x v="185"/>
    <d v="2024-08-10T00:00:00"/>
    <d v="2024-08-06T22:09:38"/>
    <x v="120"/>
    <n v="91.736944444444404"/>
    <d v="1900-01-02T19:44:13"/>
    <d v="2024-08-06T00:00:00"/>
    <d v="2024-08-06T22:09:38"/>
    <m/>
    <d v="1899-12-31T00:00:00"/>
    <d v="2024-08-10T17:53:51"/>
    <b v="1"/>
    <d v="2024-08-10T17:53:51"/>
    <d v="2024-08-20T19:15:38"/>
    <d v="2024-08-20T19:15:38"/>
    <m/>
    <m/>
    <d v="2024-08-06T00:00:00"/>
    <s v="Agregar a dominio"/>
    <x v="6"/>
    <s v="Configuracion Software"/>
    <x v="2"/>
    <s v="Desktop"/>
    <m/>
    <m/>
    <s v="CANELLA, SOCIEDAD ANONIMA"/>
    <s v="YAMAHA LIBERACION"/>
    <n v="3826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Cambio de equipo -Jorge Vásquez-"/>
    <n v="72"/>
    <b v="1"/>
    <s v="[24925, 24923, 24899, 24881, 24764, 24763, 24734, 24733]"/>
    <m/>
    <s v="04889@general.tbd"/>
    <n v="24763"/>
    <n v="0"/>
    <n v="2766"/>
    <n v="8777"/>
    <s v="Mesa Ayuda Infraestructura"/>
    <n v="91.736944444444404"/>
    <m/>
  </r>
  <r>
    <n v="3924"/>
    <n v="0.75"/>
    <d v="1899-12-30T00:45:00"/>
    <s v="50-Finalizado"/>
    <d v="1900-01-01T00:00:00"/>
    <x v="185"/>
    <d v="2024-08-10T00:00:00"/>
    <d v="2024-08-06T22:09:38"/>
    <x v="120"/>
    <n v="91.736944444444404"/>
    <d v="1900-01-02T19:44:13"/>
    <d v="2024-08-06T00:00:00"/>
    <d v="2024-08-06T22:09:38"/>
    <m/>
    <d v="1899-12-31T00:00:00"/>
    <d v="2024-08-10T17:53:51"/>
    <b v="1"/>
    <d v="2024-08-10T17:53:51"/>
    <d v="2024-08-20T19:15:38"/>
    <d v="2024-08-20T19:15:38"/>
    <m/>
    <m/>
    <d v="2024-08-06T00:00:00"/>
    <s v="Configuración de Desktop"/>
    <x v="6"/>
    <s v="Configuracion Software"/>
    <x v="2"/>
    <s v="Desktop"/>
    <m/>
    <m/>
    <s v="CANELLA, SOCIEDAD ANONIMA"/>
    <s v="YAMAHA LIBERACION"/>
    <n v="3826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Cambio de equipo -Jorge Vásquez-"/>
    <n v="72"/>
    <b v="1"/>
    <s v="[24925, 24923, 24899, 24881, 24764, 24763, 24734, 24733]"/>
    <m/>
    <s v="04889@general.tbd"/>
    <n v="24734"/>
    <n v="0"/>
    <n v="2766"/>
    <n v="8777"/>
    <s v="Mesa Ayuda Infraestructura"/>
    <n v="91.736944444444404"/>
    <m/>
  </r>
  <r>
    <n v="3924"/>
    <n v="0.16666666666666599"/>
    <d v="1899-12-30T00:10:00"/>
    <s v="50-Finalizado"/>
    <d v="1900-01-01T00:00:00"/>
    <x v="185"/>
    <d v="2024-08-10T00:00:00"/>
    <d v="2024-08-06T22:09:38"/>
    <x v="120"/>
    <n v="91.736944444444404"/>
    <d v="1900-01-02T19:44:13"/>
    <d v="2024-08-06T00:00:00"/>
    <d v="2024-08-06T22:09:38"/>
    <m/>
    <d v="1899-12-31T00:00:00"/>
    <d v="2024-08-10T17:53:51"/>
    <b v="1"/>
    <d v="2024-08-10T17:53:51"/>
    <d v="2024-08-20T19:15:38"/>
    <d v="2024-08-20T19:15:38"/>
    <m/>
    <m/>
    <d v="2024-08-06T00:00:00"/>
    <s v="Revisión de equipo"/>
    <x v="6"/>
    <s v="Configuracion Software"/>
    <x v="2"/>
    <s v="Desktop"/>
    <m/>
    <m/>
    <s v="CANELLA, SOCIEDAD ANONIMA"/>
    <s v="YAMAHA LIBERACION"/>
    <n v="3826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Cambio de equipo -Jorge Vásquez-"/>
    <n v="72"/>
    <b v="1"/>
    <s v="[24925, 24923, 24899, 24881, 24764, 24763, 24734, 24733]"/>
    <m/>
    <s v="04889@general.tbd"/>
    <n v="24733"/>
    <n v="0"/>
    <n v="2766"/>
    <n v="8777"/>
    <s v="Mesa Ayuda Infraestructura"/>
    <n v="91.736944444444404"/>
    <m/>
  </r>
  <r>
    <n v="3923"/>
    <n v="0.25"/>
    <d v="1899-12-30T00:15:00"/>
    <s v="50-Finalizado"/>
    <d v="1900-01-01T00:00:00"/>
    <x v="186"/>
    <d v="2024-08-12T00:00:00"/>
    <d v="2024-08-06T22:07:22"/>
    <x v="121"/>
    <n v="139.54722222222199"/>
    <d v="1900-01-04T19:32:50"/>
    <d v="2024-08-06T00:00:00"/>
    <d v="2024-08-06T22:07:22"/>
    <m/>
    <d v="1899-12-31T00:00:00"/>
    <d v="2024-08-12T17:40:12"/>
    <b v="1"/>
    <d v="2024-08-12T17:40:12"/>
    <d v="2024-08-20T19:15:38"/>
    <d v="2024-08-20T19:15:38"/>
    <s v="Resuelto"/>
    <m/>
    <d v="2024-08-06T00:00:00"/>
    <s v="Restablecimiento de contraseña"/>
    <x v="6"/>
    <s v="Configuracion Software"/>
    <x v="2"/>
    <s v="Laptop"/>
    <m/>
    <m/>
    <s v="CANELLA, SOCIEDAD ANONIMA"/>
    <s v="GERENCIA DE DESARROLLO/SERVICIOS TI CORPORATIVOS"/>
    <n v="3825"/>
    <n v="35"/>
    <s v="Mesa Ayuda Infraestructura"/>
    <n v="247752"/>
    <s v="INGRID NATHALI VALLADARES GONZALEZ"/>
    <n v="2766"/>
    <s v="CANELLA"/>
    <n v="2"/>
    <n v="20"/>
    <m/>
    <m/>
    <n v="1"/>
    <s v="CANELLA"/>
    <n v="2766"/>
    <s v="José Julajuj Chumil"/>
    <m/>
    <s v="normal"/>
    <s v="En proceso"/>
    <s v="Restablecimiento de contraseña - Ingrid Valladares -"/>
    <n v="72"/>
    <b v="1"/>
    <s v="[24731]"/>
    <n v="2"/>
    <s v="04544@general.tbd"/>
    <n v="24731"/>
    <n v="0"/>
    <n v="2766"/>
    <n v="8777"/>
    <s v="Mesa Ayuda Infraestructura"/>
    <n v="139.54722222222199"/>
    <m/>
  </r>
  <r>
    <n v="3916"/>
    <n v="0.33333333333333298"/>
    <d v="1899-12-30T00:20:00"/>
    <s v="50-Finalizado"/>
    <d v="1900-01-01T00:00:00"/>
    <x v="187"/>
    <d v="2024-08-09T00:00:00"/>
    <d v="2024-08-06T20:58:57"/>
    <x v="122"/>
    <n v="74.743611111111093"/>
    <d v="1900-01-02T02:44:37"/>
    <d v="2024-08-06T00:00:00"/>
    <d v="2024-08-06T20:58:57"/>
    <m/>
    <d v="1899-12-31T00:00:00"/>
    <d v="2024-08-09T23:43:34"/>
    <b v="1"/>
    <d v="2024-08-09T23:43:34"/>
    <d v="2024-08-20T19:15:38"/>
    <d v="2024-08-20T19:15:38"/>
    <m/>
    <m/>
    <d v="2024-08-09T00:00:00"/>
    <s v="Solicitar a Lic Alarcon su visto bueno para firma de NDA"/>
    <x v="10"/>
    <s v="Configuracion Software"/>
    <x v="2"/>
    <s v="Ciberseguridad"/>
    <m/>
    <m/>
    <s v="CANELLA, SOCIEDAD ANONIMA"/>
    <s v="INFORMATICA"/>
    <n v="381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Mitigación Vulnerabilidades medias y bajas internes y externas&lt;/p&gt;"/>
    <s v="normal"/>
    <s v="En proceso"/>
    <s v="Aprobación y reunión Vulnerabilidades medias y bajas internes y externas"/>
    <n v="72"/>
    <b v="1"/>
    <s v="[25681, 25680, 25590, 24728, 24714]"/>
    <m/>
    <s v="04025@general.tbd"/>
    <n v="25681"/>
    <n v="0"/>
    <n v="248"/>
    <n v="8777"/>
    <s v="Mesa Ayuda Infraestructura"/>
    <n v="74.743611111111093"/>
    <m/>
  </r>
  <r>
    <n v="3916"/>
    <n v="0.33333333333333298"/>
    <d v="1899-12-30T00:20:00"/>
    <s v="50-Finalizado"/>
    <d v="1900-01-01T00:00:00"/>
    <x v="187"/>
    <d v="2024-08-09T00:00:00"/>
    <d v="2024-08-06T20:58:57"/>
    <x v="122"/>
    <n v="74.743611111111093"/>
    <d v="1900-01-02T02:44:37"/>
    <d v="2024-08-06T00:00:00"/>
    <d v="2024-08-06T20:58:57"/>
    <m/>
    <d v="1899-12-31T00:00:00"/>
    <d v="2024-08-09T23:43:34"/>
    <b v="1"/>
    <d v="2024-08-09T23:43:34"/>
    <d v="2024-08-20T19:15:38"/>
    <d v="2024-08-20T19:15:38"/>
    <m/>
    <m/>
    <d v="2024-08-09T00:00:00"/>
    <s v="Solicitud de firma en NDA a SPC"/>
    <x v="10"/>
    <s v="Configuracion Software"/>
    <x v="2"/>
    <s v="Ciberseguridad"/>
    <m/>
    <m/>
    <s v="CANELLA, SOCIEDAD ANONIMA"/>
    <s v="INFORMATICA"/>
    <n v="381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Mitigación Vulnerabilidades medias y bajas internes y externas&lt;/p&gt;"/>
    <s v="normal"/>
    <s v="En proceso"/>
    <s v="Aprobación y reunión Vulnerabilidades medias y bajas internes y externas"/>
    <n v="72"/>
    <b v="1"/>
    <s v="[25681, 25680, 25590, 24728, 24714]"/>
    <m/>
    <s v="04025@general.tbd"/>
    <n v="25680"/>
    <n v="0"/>
    <n v="248"/>
    <n v="8777"/>
    <s v="Mesa Ayuda Infraestructura"/>
    <n v="74.743611111111093"/>
    <m/>
  </r>
  <r>
    <n v="3916"/>
    <n v="1.25"/>
    <d v="1899-12-30T01:15:00"/>
    <s v="50-Finalizado"/>
    <d v="1900-01-01T00:00:00"/>
    <x v="187"/>
    <d v="2024-08-09T00:00:00"/>
    <d v="2024-08-06T20:58:57"/>
    <x v="122"/>
    <n v="74.743611111111093"/>
    <d v="1900-01-02T02:44:37"/>
    <d v="2024-08-06T00:00:00"/>
    <d v="2024-08-06T20:58:57"/>
    <m/>
    <d v="1899-12-31T00:00:00"/>
    <d v="2024-08-09T23:43:34"/>
    <b v="1"/>
    <d v="2024-08-09T23:43:34"/>
    <d v="2024-08-20T19:15:38"/>
    <d v="2024-08-20T19:15:38"/>
    <m/>
    <m/>
    <d v="2024-08-09T00:00:00"/>
    <s v="Kick off Remediación Vulnerabilidades SPC - Canella"/>
    <x v="10"/>
    <s v="Configuracion Software"/>
    <x v="2"/>
    <s v="Ciberseguridad"/>
    <m/>
    <m/>
    <s v="CANELLA, SOCIEDAD ANONIMA"/>
    <s v="INFORMATICA"/>
    <n v="381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Mitigación Vulnerabilidades medias y bajas internes y externas&lt;/p&gt;"/>
    <s v="normal"/>
    <s v="En proceso"/>
    <s v="Aprobación y reunión Vulnerabilidades medias y bajas internes y externas"/>
    <n v="72"/>
    <b v="1"/>
    <s v="[25681, 25680, 25590, 24728, 24714]"/>
    <m/>
    <s v="04025@general.tbd"/>
    <n v="25590"/>
    <n v="0"/>
    <n v="248"/>
    <n v="8777"/>
    <s v="Mesa Ayuda Infraestructura"/>
    <n v="74.743611111111093"/>
    <m/>
  </r>
  <r>
    <n v="3916"/>
    <n v="0.75"/>
    <d v="1899-12-30T00:45:00"/>
    <s v="50-Finalizado"/>
    <d v="1900-01-01T00:00:00"/>
    <x v="187"/>
    <d v="2024-08-09T00:00:00"/>
    <d v="2024-08-06T20:58:57"/>
    <x v="122"/>
    <n v="74.743611111111093"/>
    <d v="1900-01-02T02:44:37"/>
    <d v="2024-08-06T00:00:00"/>
    <d v="2024-08-06T20:58:57"/>
    <m/>
    <d v="1899-12-31T00:00:00"/>
    <d v="2024-08-09T23:43:34"/>
    <b v="1"/>
    <d v="2024-08-09T23:43:34"/>
    <d v="2024-08-20T19:15:38"/>
    <d v="2024-08-20T19:15:38"/>
    <m/>
    <m/>
    <d v="2024-08-06T00:00:00"/>
    <s v="Envío y revisión de NDA  SPC-CANELLA ha Raul Alarcon para revisión y proceso de firma"/>
    <x v="10"/>
    <s v="Configuracion Software"/>
    <x v="2"/>
    <s v="Ciberseguridad"/>
    <m/>
    <m/>
    <s v="CANELLA, SOCIEDAD ANONIMA"/>
    <s v="INFORMATICA"/>
    <n v="381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Mitigación Vulnerabilidades medias y bajas internes y externas&lt;/p&gt;"/>
    <s v="normal"/>
    <s v="En proceso"/>
    <s v="Aprobación y reunión Vulnerabilidades medias y bajas internes y externas"/>
    <n v="72"/>
    <b v="1"/>
    <s v="[25681, 25680, 25590, 24728, 24714]"/>
    <m/>
    <s v="04025@general.tbd"/>
    <n v="24728"/>
    <n v="0"/>
    <n v="248"/>
    <n v="8777"/>
    <s v="Mesa Ayuda Infraestructura"/>
    <n v="74.743611111111093"/>
    <m/>
  </r>
  <r>
    <n v="3916"/>
    <n v="0.41666666666666602"/>
    <d v="1899-12-30T00:25:00"/>
    <s v="50-Finalizado"/>
    <d v="1900-01-01T00:00:00"/>
    <x v="187"/>
    <d v="2024-08-09T00:00:00"/>
    <d v="2024-08-06T20:58:57"/>
    <x v="122"/>
    <n v="74.743611111111093"/>
    <d v="1900-01-02T02:44:37"/>
    <d v="2024-08-06T00:00:00"/>
    <d v="2024-08-06T20:58:57"/>
    <m/>
    <d v="1899-12-31T00:00:00"/>
    <d v="2024-08-09T23:43:34"/>
    <b v="1"/>
    <d v="2024-08-09T23:43:34"/>
    <d v="2024-08-20T19:15:38"/>
    <d v="2024-08-20T19:15:38"/>
    <m/>
    <m/>
    <d v="2024-08-06T00:00:00"/>
    <s v="Envío de archivos para iniciar trabajo de vulnerabilidades"/>
    <x v="10"/>
    <s v="Configuracion Software"/>
    <x v="2"/>
    <s v="Ciberseguridad"/>
    <m/>
    <m/>
    <s v="CANELLA, SOCIEDAD ANONIMA"/>
    <s v="INFORMATICA"/>
    <n v="381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Mitigación Vulnerabilidades medias y bajas internes y externas&lt;/p&gt;"/>
    <s v="normal"/>
    <s v="En proceso"/>
    <s v="Aprobación y reunión Vulnerabilidades medias y bajas internes y externas"/>
    <n v="72"/>
    <b v="1"/>
    <s v="[25681, 25680, 25590, 24728, 24714]"/>
    <m/>
    <s v="04025@general.tbd"/>
    <n v="24714"/>
    <n v="0"/>
    <n v="248"/>
    <n v="8777"/>
    <s v="Mesa Ayuda Infraestructura"/>
    <n v="74.743611111111093"/>
    <m/>
  </r>
  <r>
    <n v="3901"/>
    <n v="0.5"/>
    <d v="1899-12-30T00:30:00"/>
    <s v="50-Finalizado"/>
    <d v="1900-01-01T00:00:00"/>
    <x v="188"/>
    <d v="2024-08-10T00:00:00"/>
    <d v="2024-08-06T18:20:52"/>
    <x v="123"/>
    <n v="95.552222222222198"/>
    <d v="1900-01-02T23:33:08"/>
    <d v="2024-08-06T00:00:00"/>
    <d v="2024-08-06T18:20:52"/>
    <m/>
    <d v="1899-12-31T00:00:00"/>
    <d v="2024-08-10T17:54:00"/>
    <b v="1"/>
    <d v="2024-08-10T17:54:00"/>
    <d v="2024-08-20T19:15:38"/>
    <d v="2024-08-20T19:15:38"/>
    <m/>
    <m/>
    <d v="2024-08-06T00:00:00"/>
    <s v="PST de correos"/>
    <x v="6"/>
    <s v="Configuracion Software"/>
    <x v="2"/>
    <s v="Laptop"/>
    <m/>
    <m/>
    <s v="CANELLA, SOCIEDAD ANONIMA"/>
    <s v="CENTRO DE COBRO"/>
    <n v="3803"/>
    <n v="35"/>
    <s v="Mesa Ayuda Infraestructura"/>
    <n v="247032"/>
    <s v="MARITZA ALEJANDRA SANTOS CASTELLANOS"/>
    <n v="2766"/>
    <s v="CANELLA"/>
    <n v="2"/>
    <n v="20"/>
    <m/>
    <m/>
    <n v="1"/>
    <s v="CANELLA"/>
    <n v="2766"/>
    <s v="José Julajuj Chumil"/>
    <m/>
    <s v="normal"/>
    <s v="En proceso"/>
    <s v="PST de -ALEJANDRA SANTOS-"/>
    <n v="72"/>
    <b v="1"/>
    <s v="[24666]"/>
    <m/>
    <s v="06645@general.tbd"/>
    <n v="24666"/>
    <n v="0"/>
    <n v="2766"/>
    <n v="8777"/>
    <s v="Mesa Ayuda Infraestructura"/>
    <n v="95.552222222222198"/>
    <m/>
  </r>
  <r>
    <n v="3892"/>
    <n v="0.5"/>
    <d v="1899-12-30T00:30:00"/>
    <s v="50-Finalizado"/>
    <d v="1900-01-01T00:00:00"/>
    <x v="189"/>
    <d v="2024-08-10T00:00:00"/>
    <d v="2024-08-06T17:41:28"/>
    <x v="124"/>
    <n v="96.250833333333304"/>
    <d v="1900-01-03T00:15:03"/>
    <d v="2024-08-06T00:00:00"/>
    <d v="2024-08-06T17:41:28"/>
    <m/>
    <d v="1899-12-31T00:00:00"/>
    <d v="2024-08-10T17:56:31"/>
    <b v="1"/>
    <d v="2024-08-10T17:56:31"/>
    <d v="2024-08-20T19:15:38"/>
    <d v="2024-08-20T19:15:38"/>
    <m/>
    <m/>
    <d v="2024-08-06T00:00:00"/>
    <s v="Agregación de dominio"/>
    <x v="6"/>
    <s v="Configuracion Software"/>
    <x v="2"/>
    <s v="Desktop"/>
    <m/>
    <m/>
    <s v="CANELLA, SOCIEDAD ANONIMA"/>
    <s v="YAMAHA LIBERACION"/>
    <n v="3794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Backcup de usuarios -Michael Bonilla-"/>
    <n v="72"/>
    <b v="1"/>
    <s v="[24740, 24736, 24664, 24651]"/>
    <m/>
    <s v="04889@general.tbd"/>
    <n v="24740"/>
    <n v="0"/>
    <n v="2766"/>
    <n v="8777"/>
    <s v="Mesa Ayuda Infraestructura"/>
    <n v="96.250833333333304"/>
    <m/>
  </r>
  <r>
    <n v="3892"/>
    <n v="0.91666666666666596"/>
    <d v="1899-12-30T00:55:00"/>
    <s v="50-Finalizado"/>
    <d v="1900-01-01T00:00:00"/>
    <x v="189"/>
    <d v="2024-08-10T00:00:00"/>
    <d v="2024-08-06T17:41:28"/>
    <x v="124"/>
    <n v="96.250833333333304"/>
    <d v="1900-01-03T00:15:03"/>
    <d v="2024-08-06T00:00:00"/>
    <d v="2024-08-06T17:41:28"/>
    <m/>
    <d v="1899-12-31T00:00:00"/>
    <d v="2024-08-10T17:56:31"/>
    <b v="1"/>
    <d v="2024-08-10T17:56:31"/>
    <d v="2024-08-20T19:15:38"/>
    <d v="2024-08-20T19:15:38"/>
    <m/>
    <m/>
    <d v="2024-08-06T00:00:00"/>
    <s v="Copia de archivos usuarios"/>
    <x v="6"/>
    <s v="Configuracion Software"/>
    <x v="2"/>
    <s v="Desktop"/>
    <m/>
    <m/>
    <s v="CANELLA, SOCIEDAD ANONIMA"/>
    <s v="YAMAHA LIBERACION"/>
    <n v="3794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Backcup de usuarios -Michael Bonilla-"/>
    <n v="72"/>
    <b v="1"/>
    <s v="[24740, 24736, 24664, 24651]"/>
    <m/>
    <s v="04889@general.tbd"/>
    <n v="24736"/>
    <n v="0"/>
    <n v="2766"/>
    <n v="8777"/>
    <s v="Mesa Ayuda Infraestructura"/>
    <n v="96.250833333333304"/>
    <m/>
  </r>
  <r>
    <n v="3892"/>
    <n v="0.66666666666666596"/>
    <d v="1899-12-30T00:40:00"/>
    <s v="50-Finalizado"/>
    <d v="1900-01-01T00:00:00"/>
    <x v="189"/>
    <d v="2024-08-10T00:00:00"/>
    <d v="2024-08-06T17:41:28"/>
    <x v="124"/>
    <n v="96.250833333333304"/>
    <d v="1900-01-03T00:15:03"/>
    <d v="2024-08-06T00:00:00"/>
    <d v="2024-08-06T17:41:28"/>
    <m/>
    <d v="1899-12-31T00:00:00"/>
    <d v="2024-08-10T17:56:31"/>
    <b v="1"/>
    <d v="2024-08-10T17:56:31"/>
    <d v="2024-08-20T19:15:38"/>
    <d v="2024-08-20T19:15:38"/>
    <m/>
    <m/>
    <d v="2024-08-06T00:00:00"/>
    <s v="Copia de archivo de Jorge Bautista"/>
    <x v="6"/>
    <s v="Configuracion Software"/>
    <x v="2"/>
    <s v="Desktop"/>
    <m/>
    <m/>
    <s v="CANELLA, SOCIEDAD ANONIMA"/>
    <s v="YAMAHA LIBERACION"/>
    <n v="3794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Backcup de usuarios -Michael Bonilla-"/>
    <n v="72"/>
    <b v="1"/>
    <s v="[24740, 24736, 24664, 24651]"/>
    <m/>
    <s v="04889@general.tbd"/>
    <n v="24664"/>
    <n v="0"/>
    <n v="2766"/>
    <n v="8777"/>
    <s v="Mesa Ayuda Infraestructura"/>
    <n v="96.250833333333304"/>
    <m/>
  </r>
  <r>
    <n v="3892"/>
    <n v="0.58333333333333304"/>
    <d v="1899-12-30T00:35:00"/>
    <s v="50-Finalizado"/>
    <d v="1900-01-01T00:00:00"/>
    <x v="189"/>
    <d v="2024-08-10T00:00:00"/>
    <d v="2024-08-06T17:41:28"/>
    <x v="124"/>
    <n v="96.250833333333304"/>
    <d v="1900-01-03T00:15:03"/>
    <d v="2024-08-06T00:00:00"/>
    <d v="2024-08-06T17:41:28"/>
    <m/>
    <d v="1899-12-31T00:00:00"/>
    <d v="2024-08-10T17:56:31"/>
    <b v="1"/>
    <d v="2024-08-10T17:56:31"/>
    <d v="2024-08-20T19:15:38"/>
    <d v="2024-08-20T19:15:38"/>
    <m/>
    <m/>
    <d v="2024-08-06T00:00:00"/>
    <s v="Copia de archivos"/>
    <x v="6"/>
    <s v="Configuracion Software"/>
    <x v="2"/>
    <s v="Desktop"/>
    <m/>
    <m/>
    <s v="CANELLA, SOCIEDAD ANONIMA"/>
    <s v="YAMAHA LIBERACION"/>
    <n v="3794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Backcup de usuarios -Michael Bonilla-"/>
    <n v="72"/>
    <b v="1"/>
    <s v="[24740, 24736, 24664, 24651]"/>
    <m/>
    <s v="04889@general.tbd"/>
    <n v="24651"/>
    <n v="0"/>
    <n v="2766"/>
    <n v="8777"/>
    <s v="Mesa Ayuda Infraestructura"/>
    <n v="96.250833333333304"/>
    <m/>
  </r>
  <r>
    <n v="3891"/>
    <n v="0.16666666666666599"/>
    <d v="1899-12-30T00:10:00"/>
    <s v="50-Finalizado"/>
    <d v="1900-01-01T00:00:00"/>
    <x v="190"/>
    <d v="2024-08-10T00:00:00"/>
    <d v="2024-08-06T17:38:31"/>
    <x v="125"/>
    <n v="96.301111111111098"/>
    <d v="1900-01-03T00:18:04"/>
    <d v="2024-08-06T00:00:00"/>
    <d v="2024-08-06T17:38:31"/>
    <m/>
    <d v="1899-12-31T00:00:00"/>
    <d v="2024-08-10T17:56:35"/>
    <b v="1"/>
    <d v="2024-08-10T17:56:35"/>
    <d v="2024-08-20T19:15:38"/>
    <d v="2024-08-20T19:15:38"/>
    <m/>
    <m/>
    <d v="2024-08-06T00:00:00"/>
    <s v="Verificación de correo por desconexión de servidor"/>
    <x v="6"/>
    <s v="Configuracion Software"/>
    <x v="2"/>
    <s v="Laptop"/>
    <m/>
    <m/>
    <s v="CANELLA, SOCIEDAD ANONIMA"/>
    <s v="YAMAHA VENTAS"/>
    <n v="3793"/>
    <n v="35"/>
    <s v="Mesa Ayuda Infraestructura"/>
    <n v="247771"/>
    <s v="LUIS ARTURO GONZALEZ RODAS"/>
    <n v="2766"/>
    <s v="CANELLA"/>
    <n v="2"/>
    <n v="20"/>
    <m/>
    <m/>
    <n v="1"/>
    <s v="CANELLA"/>
    <n v="2766"/>
    <s v="José Julajuj Chumil"/>
    <m/>
    <s v="normal"/>
    <s v="En proceso"/>
    <s v="Verificacion de correo -Luis Gonzales-"/>
    <n v="72"/>
    <b v="1"/>
    <s v="[24649]"/>
    <m/>
    <s v="04420@general.tbd"/>
    <n v="24649"/>
    <n v="0"/>
    <n v="2766"/>
    <n v="8777"/>
    <s v="Mesa Ayuda Infraestructura"/>
    <n v="96.301111111111098"/>
    <m/>
  </r>
  <r>
    <n v="3883"/>
    <n v="0.16666666666666599"/>
    <d v="1899-12-30T00:10:00"/>
    <s v="50-Finalizado"/>
    <d v="1900-01-01T00:00:00"/>
    <x v="191"/>
    <d v="2024-08-09T00:00:00"/>
    <d v="2024-08-06T16:34:01"/>
    <x v="126"/>
    <n v="79.100555555555502"/>
    <d v="1900-01-02T07:06:02"/>
    <d v="2024-08-06T00:00:00"/>
    <d v="2024-08-06T16:34:01"/>
    <m/>
    <d v="1899-12-31T00:00:00"/>
    <d v="2024-08-09T23:40:03"/>
    <b v="1"/>
    <d v="2024-08-09T23:40:03"/>
    <d v="2024-08-20T19:15:38"/>
    <d v="2024-08-20T19:15:38"/>
    <m/>
    <m/>
    <d v="2024-08-06T00:00:00"/>
    <s v="Prueba de acceso a VPN"/>
    <x v="6"/>
    <s v="Configuracion Software"/>
    <x v="2"/>
    <s v="Laptop"/>
    <m/>
    <m/>
    <s v="CANELLA, SOCIEDAD ANONIMA"/>
    <s v="MOTUL"/>
    <n v="3785"/>
    <n v="35"/>
    <s v="Mesa Ayuda Infraestructura"/>
    <n v="246927"/>
    <s v="CARLOS ADOLFO RIVAS MENDEZ"/>
    <n v="2766"/>
    <s v="CANELLA"/>
    <n v="2"/>
    <n v="20"/>
    <m/>
    <m/>
    <n v="1"/>
    <s v="CANELLA"/>
    <n v="2766"/>
    <s v="José Julajuj Chumil"/>
    <m/>
    <s v="normal"/>
    <s v="En proceso"/>
    <s v="Problemas cisco -Carlos Rivas-"/>
    <n v="72"/>
    <b v="1"/>
    <s v="[24622, 24621, 24620]"/>
    <m/>
    <s v="06763@general.tbd"/>
    <n v="24622"/>
    <n v="0"/>
    <n v="2766"/>
    <n v="8777"/>
    <s v="Mesa Ayuda Infraestructura"/>
    <n v="79.100555555555502"/>
    <m/>
  </r>
  <r>
    <n v="3883"/>
    <n v="0.66666666666666596"/>
    <d v="1899-12-30T00:40:00"/>
    <s v="50-Finalizado"/>
    <d v="1900-01-01T00:00:00"/>
    <x v="191"/>
    <d v="2024-08-09T00:00:00"/>
    <d v="2024-08-06T16:34:01"/>
    <x v="126"/>
    <n v="79.100555555555502"/>
    <d v="1900-01-02T07:06:02"/>
    <d v="2024-08-06T00:00:00"/>
    <d v="2024-08-06T16:34:01"/>
    <m/>
    <d v="1899-12-31T00:00:00"/>
    <d v="2024-08-09T23:40:03"/>
    <b v="1"/>
    <d v="2024-08-09T23:40:03"/>
    <d v="2024-08-20T19:15:38"/>
    <d v="2024-08-20T19:15:38"/>
    <m/>
    <m/>
    <d v="2024-08-06T00:00:00"/>
    <s v="Reinicio de equipo"/>
    <x v="6"/>
    <s v="Configuracion Software"/>
    <x v="2"/>
    <s v="Laptop"/>
    <m/>
    <m/>
    <s v="CANELLA, SOCIEDAD ANONIMA"/>
    <s v="MOTUL"/>
    <n v="3785"/>
    <n v="35"/>
    <s v="Mesa Ayuda Infraestructura"/>
    <n v="246927"/>
    <s v="CARLOS ADOLFO RIVAS MENDEZ"/>
    <n v="2766"/>
    <s v="CANELLA"/>
    <n v="2"/>
    <n v="20"/>
    <m/>
    <m/>
    <n v="1"/>
    <s v="CANELLA"/>
    <n v="2766"/>
    <s v="José Julajuj Chumil"/>
    <m/>
    <s v="normal"/>
    <s v="En proceso"/>
    <s v="Problemas cisco -Carlos Rivas-"/>
    <n v="72"/>
    <b v="1"/>
    <s v="[24622, 24621, 24620]"/>
    <m/>
    <s v="06763@general.tbd"/>
    <n v="24621"/>
    <n v="0"/>
    <n v="2766"/>
    <n v="8777"/>
    <s v="Mesa Ayuda Infraestructura"/>
    <n v="79.100555555555502"/>
    <m/>
  </r>
  <r>
    <n v="3883"/>
    <n v="8.3333333333333301E-2"/>
    <d v="1899-12-30T00:05:00"/>
    <s v="50-Finalizado"/>
    <d v="1900-01-01T00:00:00"/>
    <x v="191"/>
    <d v="2024-08-09T00:00:00"/>
    <d v="2024-08-06T16:34:01"/>
    <x v="126"/>
    <n v="79.100555555555502"/>
    <d v="1900-01-02T07:06:02"/>
    <d v="2024-08-06T00:00:00"/>
    <d v="2024-08-06T16:34:01"/>
    <m/>
    <d v="1899-12-31T00:00:00"/>
    <d v="2024-08-09T23:40:03"/>
    <b v="1"/>
    <d v="2024-08-09T23:40:03"/>
    <d v="2024-08-20T19:15:38"/>
    <d v="2024-08-20T19:15:38"/>
    <m/>
    <m/>
    <d v="2024-08-06T00:00:00"/>
    <s v="Llamada para verificación de problema"/>
    <x v="6"/>
    <s v="Configuracion Software"/>
    <x v="2"/>
    <s v="Laptop"/>
    <m/>
    <m/>
    <s v="CANELLA, SOCIEDAD ANONIMA"/>
    <s v="MOTUL"/>
    <n v="3785"/>
    <n v="35"/>
    <s v="Mesa Ayuda Infraestructura"/>
    <n v="246927"/>
    <s v="CARLOS ADOLFO RIVAS MENDEZ"/>
    <n v="2766"/>
    <s v="CANELLA"/>
    <n v="2"/>
    <n v="20"/>
    <m/>
    <m/>
    <n v="1"/>
    <s v="CANELLA"/>
    <n v="2766"/>
    <s v="José Julajuj Chumil"/>
    <m/>
    <s v="normal"/>
    <s v="En proceso"/>
    <s v="Problemas cisco -Carlos Rivas-"/>
    <n v="72"/>
    <b v="1"/>
    <s v="[24622, 24621, 24620]"/>
    <m/>
    <s v="06763@general.tbd"/>
    <n v="24620"/>
    <n v="0"/>
    <n v="2766"/>
    <n v="8777"/>
    <s v="Mesa Ayuda Infraestructura"/>
    <n v="79.100555555555502"/>
    <m/>
  </r>
  <r>
    <n v="3876"/>
    <m/>
    <m/>
    <s v="50-Finalizado"/>
    <d v="1900-01-01T00:00:00"/>
    <x v="192"/>
    <d v="2024-08-10T00:00:00"/>
    <d v="2024-08-06T16:11:24"/>
    <x v="127"/>
    <n v="97.754444444444403"/>
    <d v="1900-01-03T01:45:16"/>
    <d v="2024-08-06T00:00:00"/>
    <d v="2024-08-06T16:11:24"/>
    <m/>
    <d v="1899-12-31T00:00:00"/>
    <d v="2024-08-10T17:56:40"/>
    <b v="1"/>
    <d v="2024-08-10T17:56:40"/>
    <d v="2024-08-20T19:15:38"/>
    <d v="2024-08-20T19:15:38"/>
    <m/>
    <m/>
    <m/>
    <m/>
    <x v="6"/>
    <m/>
    <x v="2"/>
    <m/>
    <m/>
    <m/>
    <s v="CANELLA, SOCIEDAD ANONIMA"/>
    <s v="MOTUL"/>
    <n v="3778"/>
    <n v="35"/>
    <s v="Mesa Ayuda Infraestructura"/>
    <n v="246927"/>
    <s v="CARLOS ADOLFO RIVAS MENDEZ"/>
    <n v="2766"/>
    <s v="CANELLA"/>
    <m/>
    <m/>
    <m/>
    <m/>
    <n v="1"/>
    <s v="CANELLA"/>
    <n v="314"/>
    <s v="Yosselyn Ignacio"/>
    <m/>
    <s v="normal"/>
    <s v="En proceso"/>
    <s v="Diagnostico de equipo de computo Carlos Rivas"/>
    <n v="72"/>
    <b v="1"/>
    <s v="[]"/>
    <m/>
    <s v="06763@general.tbd"/>
    <m/>
    <m/>
    <m/>
    <m/>
    <m/>
    <n v="0"/>
    <m/>
  </r>
  <r>
    <n v="3874"/>
    <n v="0.25"/>
    <d v="1899-12-30T00:15:00"/>
    <s v="50-Finalizado"/>
    <d v="1900-01-01T00:00:00"/>
    <x v="193"/>
    <d v="2024-08-10T00:00:00"/>
    <d v="2024-08-06T16:06:30"/>
    <x v="128"/>
    <n v="97.842500000000001"/>
    <d v="1900-01-03T01:50:33"/>
    <d v="2024-08-06T00:00:00"/>
    <d v="2024-08-06T16:06:30"/>
    <m/>
    <d v="1899-12-31T00:00:00"/>
    <d v="2024-08-10T17:57:03"/>
    <b v="1"/>
    <d v="2024-08-10T17:57:03"/>
    <d v="2024-08-20T19:15:38"/>
    <d v="2024-08-20T19:15:38"/>
    <m/>
    <m/>
    <d v="2024-08-06T00:00:00"/>
    <s v="Restablecimiento de contraseña"/>
    <x v="6"/>
    <s v="Configuracion Software"/>
    <x v="2"/>
    <s v="Laptop"/>
    <m/>
    <m/>
    <s v="CANELLA, SOCIEDAD ANONIMA"/>
    <s v="YAMAHA MAZATENANGO"/>
    <n v="3776"/>
    <n v="35"/>
    <s v="Mesa Ayuda Infraestructura"/>
    <n v="247378"/>
    <s v="MARINA ELIZABETH OVANDO PIERRI"/>
    <n v="2766"/>
    <s v="CANELLA"/>
    <n v="2"/>
    <n v="20"/>
    <m/>
    <m/>
    <n v="1"/>
    <s v="CANELLA"/>
    <n v="2766"/>
    <s v="José Julajuj Chumil"/>
    <m/>
    <s v="normal"/>
    <s v="En proceso"/>
    <s v="Restablecimiento de contraseña -Mariana Ovando-"/>
    <n v="72"/>
    <b v="1"/>
    <s v="[24606]"/>
    <m/>
    <s v="06064@general.tbd"/>
    <n v="24606"/>
    <n v="0"/>
    <n v="2766"/>
    <n v="8777"/>
    <s v="Mesa Ayuda Infraestructura"/>
    <n v="97.842500000000001"/>
    <m/>
  </r>
  <r>
    <n v="3825"/>
    <n v="1.13333333333333"/>
    <d v="1899-12-30T01:08:00"/>
    <s v="50-Finalizado"/>
    <d v="1900-01-01T00:00:00"/>
    <x v="194"/>
    <d v="2024-08-05T00:00:00"/>
    <d v="2024-08-05T22:21:01"/>
    <x v="129"/>
    <n v="2.5277777777777701E-2"/>
    <d v="1899-12-30T00:01:31"/>
    <d v="2024-08-05T00:00:00"/>
    <d v="2024-08-05T22:21:01"/>
    <m/>
    <d v="1899-12-31T00:00:00"/>
    <d v="2024-08-05T22:22:32"/>
    <b v="1"/>
    <d v="2024-08-05T22:22:32"/>
    <d v="2024-08-20T19:15:38"/>
    <d v="2024-08-20T19:15:38"/>
    <m/>
    <m/>
    <d v="2024-08-05T00:00:00"/>
    <s v="Pruebas de encuestas en Microsoft Teams por medio de poll."/>
    <x v="3"/>
    <m/>
    <x v="2"/>
    <m/>
    <m/>
    <m/>
    <s v="CANELLA, SOCIEDAD ANONIMA"/>
    <s v="INFORMATICA"/>
    <n v="3727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Pruebas de encuestas en Microsoft Teams por medio de poll.&lt;/p&gt;"/>
    <s v="normal"/>
    <s v="En proceso"/>
    <s v="Poll"/>
    <n v="72"/>
    <b v="1"/>
    <s v="[24436]"/>
    <m/>
    <s v="04025@general.tbd"/>
    <n v="24436"/>
    <n v="0"/>
    <n v="299"/>
    <n v="8777"/>
    <s v="Mesa Ayuda Infraestructura"/>
    <n v="2.5277777777777701E-2"/>
    <m/>
  </r>
  <r>
    <n v="3743"/>
    <n v="0.71666666666666601"/>
    <d v="1899-12-30T00:43:00"/>
    <s v="50-Finalizado"/>
    <d v="1900-01-01T00:00:00"/>
    <x v="195"/>
    <d v="2024-08-05T00:00:00"/>
    <d v="2024-08-05T18:01:44"/>
    <x v="130"/>
    <n v="2.37055555555555"/>
    <d v="1899-12-30T02:22:14"/>
    <d v="2024-08-05T00:00:00"/>
    <d v="2024-08-05T18:01:44"/>
    <m/>
    <d v="1899-12-31T00:00:00"/>
    <d v="2024-08-05T20:23:58"/>
    <b v="1"/>
    <d v="2024-08-05T20:23:58"/>
    <d v="2024-08-20T19:15:38"/>
    <d v="2024-08-20T19:15:38"/>
    <m/>
    <m/>
    <d v="2024-08-05T00:00:00"/>
    <s v="Reiniciar las Tablet, iniciar con el programa de bloqueo e ingresar a las encuestas"/>
    <x v="8"/>
    <s v="Configuracion Hardware"/>
    <x v="2"/>
    <s v="Redes y Comunicaciones"/>
    <m/>
    <m/>
    <s v="CANELLA, SOCIEDAD ANONIMA"/>
    <s v="GERENCIA DE SERVICIOS/TALLER ISUZU"/>
    <n v="3645"/>
    <n v="35"/>
    <s v="Mesa Ayuda Infraestructura"/>
    <n v="247614"/>
    <s v="LEIDI PAOLA ESQUIVEL RAMIREZ"/>
    <n v="186"/>
    <s v="CANELLA"/>
    <n v="1"/>
    <n v="28"/>
    <m/>
    <m/>
    <n v="1"/>
    <s v="CANELLA"/>
    <n v="186"/>
    <s v="Carlos Carias"/>
    <s v="&lt;p&gt;Diagnosticar Tablet de encuestas zona 13&lt;/p&gt;&lt;p&gt;Reiniciar las Tablet, iniciar con el programa de bloqueo e ingresar a las encuestas&lt;/p&gt;"/>
    <s v="normal"/>
    <s v="En proceso"/>
    <s v="Diagnosticar Tablet de encuestas zona 13"/>
    <n v="72"/>
    <b v="1"/>
    <s v="[24318]"/>
    <m/>
    <s v="05438@general.tbd"/>
    <n v="24318"/>
    <n v="0"/>
    <n v="186"/>
    <n v="8777"/>
    <s v="Mesa Ayuda Infraestructura"/>
    <n v="2.37055555555555"/>
    <m/>
  </r>
  <r>
    <n v="3705"/>
    <n v="0.43333333333333302"/>
    <d v="1899-12-30T00:26:00"/>
    <s v="50-Finalizado"/>
    <d v="1900-01-01T00:00:00"/>
    <x v="196"/>
    <d v="2024-08-11T00:00:00"/>
    <d v="2024-08-05T16:40:53"/>
    <x v="36"/>
    <n v="128.33916666666599"/>
    <d v="1900-01-04T08:20:21"/>
    <d v="2024-08-05T00:00:00"/>
    <d v="2024-08-05T16:40:53"/>
    <m/>
    <d v="1899-12-31T00:00:00"/>
    <d v="2024-08-11T01:01:14"/>
    <b v="1"/>
    <d v="2024-08-11T01:01:14"/>
    <d v="2024-08-20T19:15:38"/>
    <d v="2024-08-20T19:15:38"/>
    <m/>
    <m/>
    <d v="2024-08-05T00:00:00"/>
    <s v="Orden de compra por cableado estructurado de Agencia Yamaha Escuintla"/>
    <x v="3"/>
    <s v="Orden de compra"/>
    <x v="2"/>
    <m/>
    <m/>
    <m/>
    <s v="CANELLA, SOCIEDAD ANONIMA"/>
    <s v="CANAL DIRECTO"/>
    <n v="3607"/>
    <n v="35"/>
    <s v="Mesa Ayuda Infraestructura"/>
    <n v="247759"/>
    <s v="DAVID JOSUE FLORES SEQUEIDA"/>
    <n v="299"/>
    <s v="CANELLA"/>
    <n v="6"/>
    <m/>
    <m/>
    <m/>
    <n v="1"/>
    <s v="CANELLA"/>
    <n v="299"/>
    <s v="Rosario Lic"/>
    <s v="&lt;p&gt;Orden de compra por cableado estructurado de Agencia Yamaha Escuintla &lt;/p&gt;"/>
    <s v="normal"/>
    <s v="En proceso"/>
    <s v="Cableado estructurado Yamaha Escuintla"/>
    <n v="72"/>
    <b v="1"/>
    <s v="[24244]"/>
    <m/>
    <s v="04505@general.tbd"/>
    <n v="24244"/>
    <n v="0"/>
    <n v="299"/>
    <n v="8777"/>
    <s v="Mesa Ayuda Infraestructura"/>
    <n v="128.33916666666599"/>
    <m/>
  </r>
  <r>
    <n v="3686"/>
    <n v="0.266666666666666"/>
    <d v="1899-12-30T00:16:00"/>
    <s v="50-Finalizado"/>
    <d v="1900-01-01T00:00:00"/>
    <x v="197"/>
    <d v="2024-08-19T00:00:00"/>
    <d v="2024-08-05T16:17:20"/>
    <x v="21"/>
    <n v="320.72583333333301"/>
    <d v="1900-01-12T08:43:33"/>
    <d v="2024-08-05T00:00:00"/>
    <d v="2024-08-05T16:17:20"/>
    <m/>
    <d v="1899-12-31T00:00:00"/>
    <d v="2024-08-19T01:00:53"/>
    <m/>
    <d v="1899-12-31T00:00:00"/>
    <d v="2024-08-20T19:15:38"/>
    <d v="2024-08-20T19:15:38"/>
    <m/>
    <m/>
    <d v="2024-08-12T00:00:00"/>
    <s v="Se procede a verificar y autorizar horas de julio para realizar orden de compra"/>
    <x v="3"/>
    <s v="Orden de compra"/>
    <x v="2"/>
    <m/>
    <m/>
    <m/>
    <s v="CANELLA, SOCIEDAD ANONIMA"/>
    <s v="INFORMATICA"/>
    <n v="3588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s v="&lt;p&gt;- Se procede a verificar horas de Julio de Leon&amp;nbsp; para proceder con orden de compra.&lt;/p&gt;&lt;p&gt;- Está pendiente la autorización de gerencia.&lt;/p&gt;&lt;p&gt;&lt;br&gt;&lt;/p&gt;"/>
    <s v="normal"/>
    <s v="En proceso"/>
    <s v="OC - Horas de consultoría de Julio de Leon"/>
    <n v="72"/>
    <b v="1"/>
    <n v="24220"/>
    <m/>
    <s v="04025@general.tbd"/>
    <n v="26298"/>
    <n v="0"/>
    <n v="299"/>
    <n v="8777"/>
    <s v="Mesa Ayuda Infraestructura"/>
    <n v="320.72583333333301"/>
    <m/>
  </r>
  <r>
    <n v="3686"/>
    <n v="0.28333333333333299"/>
    <d v="1899-12-30T00:17:00"/>
    <s v="50-Finalizado"/>
    <d v="1900-01-01T00:00:00"/>
    <x v="197"/>
    <d v="2024-08-19T00:00:00"/>
    <d v="2024-08-05T16:17:20"/>
    <x v="21"/>
    <n v="320.72583333333301"/>
    <d v="1900-01-12T08:43:33"/>
    <d v="2024-08-05T00:00:00"/>
    <d v="2024-08-05T16:17:20"/>
    <m/>
    <d v="1899-12-31T00:00:00"/>
    <d v="2024-08-19T01:00:53"/>
    <m/>
    <d v="1899-12-31T00:00:00"/>
    <d v="2024-08-20T19:15:38"/>
    <d v="2024-08-20T19:15:38"/>
    <m/>
    <m/>
    <d v="2024-08-05T00:00:00"/>
    <s v="- Se procede a verificar horas de Julio de Leon  para proceder con orden de compra."/>
    <x v="3"/>
    <s v="Orden de compra"/>
    <x v="2"/>
    <m/>
    <m/>
    <m/>
    <s v="CANELLA, SOCIEDAD ANONIMA"/>
    <s v="INFORMATICA"/>
    <n v="3588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s v="&lt;p&gt;- Se procede a verificar horas de Julio de Leon&amp;nbsp; para proceder con orden de compra.&lt;/p&gt;&lt;p&gt;- Está pendiente la autorización de gerencia.&lt;/p&gt;&lt;p&gt;&lt;br&gt;&lt;/p&gt;"/>
    <s v="normal"/>
    <s v="En proceso"/>
    <s v="OC - Horas de consultoría de Julio de Leon"/>
    <n v="72"/>
    <b v="1"/>
    <n v="24220"/>
    <m/>
    <s v="04025@general.tbd"/>
    <n v="24220"/>
    <n v="0"/>
    <n v="299"/>
    <n v="8777"/>
    <s v="Mesa Ayuda Infraestructura"/>
    <n v="320.72583333333301"/>
    <m/>
  </r>
  <r>
    <n v="3669"/>
    <n v="0.21666666666666601"/>
    <d v="1899-12-30T00:13:00"/>
    <s v="50-Finalizado"/>
    <d v="1900-01-01T00:00:00"/>
    <x v="198"/>
    <d v="2024-08-05T00:00:00"/>
    <d v="2024-08-05T15:24:16"/>
    <x v="131"/>
    <n v="0.65972222222222199"/>
    <d v="1899-12-30T00:39:35"/>
    <d v="2024-08-05T00:00:00"/>
    <d v="2024-08-05T15:24:16"/>
    <m/>
    <d v="1899-12-31T00:00:00"/>
    <d v="2024-08-05T16:03:51"/>
    <b v="1"/>
    <d v="2024-08-05T16:03:51"/>
    <d v="2024-08-20T19:15:38"/>
    <d v="2024-08-20T19:15:38"/>
    <m/>
    <m/>
    <d v="2024-08-05T00:00:00"/>
    <s v="realizar Pruebas de navegación y accesos"/>
    <x v="8"/>
    <s v="Configuracion Software"/>
    <x v="2"/>
    <s v="Redes y Comunicaciones"/>
    <m/>
    <m/>
    <s v="CANELLA, SOCIEDAD ANONIMA"/>
    <s v="YAMAHA VENTAS"/>
    <n v="3571"/>
    <n v="35"/>
    <s v="Mesa Ayuda Infraestructura"/>
    <n v="247807"/>
    <s v="EDUARDO JACOBO ARA GÓMEZ"/>
    <n v="186"/>
    <s v="CANELLA"/>
    <n v="2"/>
    <n v="28"/>
    <m/>
    <m/>
    <n v="1"/>
    <s v="CANELLA"/>
    <n v="186"/>
    <s v="Carlos Carias"/>
    <s v="&lt;p&gt;Verificar Mac Address y agregarlo a la consola de Aruba&amp;nbsp;&lt;/p&gt;&lt;p&gt;realizar Pruebas de navegación y accesos&amp;nbsp;&lt;/p&gt;"/>
    <s v="normal"/>
    <s v="En proceso"/>
    <s v="Dar acceso a wifi EMP-Canella / Boris Romero"/>
    <n v="72"/>
    <b v="1"/>
    <n v="24202"/>
    <m/>
    <s v="04090@general.tbd"/>
    <n v="24203"/>
    <n v="0"/>
    <n v="186"/>
    <n v="8777"/>
    <s v="Mesa Ayuda Infraestructura"/>
    <n v="0.65972222222222199"/>
    <m/>
  </r>
  <r>
    <n v="3669"/>
    <n v="0.133333333333333"/>
    <d v="1899-12-30T00:08:00"/>
    <s v="50-Finalizado"/>
    <d v="1900-01-01T00:00:00"/>
    <x v="198"/>
    <d v="2024-08-05T00:00:00"/>
    <d v="2024-08-05T15:24:16"/>
    <x v="131"/>
    <n v="0.65972222222222199"/>
    <d v="1899-12-30T00:39:35"/>
    <d v="2024-08-05T00:00:00"/>
    <d v="2024-08-05T15:24:16"/>
    <m/>
    <d v="1899-12-31T00:00:00"/>
    <d v="2024-08-05T16:03:51"/>
    <b v="1"/>
    <d v="2024-08-05T16:03:51"/>
    <d v="2024-08-20T19:15:38"/>
    <d v="2024-08-20T19:15:38"/>
    <m/>
    <m/>
    <d v="2024-08-05T00:00:00"/>
    <s v="Verificar Mac Address y agregarlo a la consola de Aruba"/>
    <x v="8"/>
    <s v="Configuracion Software"/>
    <x v="2"/>
    <s v="Redes y Comunicaciones"/>
    <m/>
    <m/>
    <s v="CANELLA, SOCIEDAD ANONIMA"/>
    <s v="YAMAHA VENTAS"/>
    <n v="3571"/>
    <n v="35"/>
    <s v="Mesa Ayuda Infraestructura"/>
    <n v="247807"/>
    <s v="EDUARDO JACOBO ARA GÓMEZ"/>
    <n v="186"/>
    <s v="CANELLA"/>
    <n v="2"/>
    <n v="28"/>
    <m/>
    <m/>
    <n v="1"/>
    <s v="CANELLA"/>
    <n v="186"/>
    <s v="Carlos Carias"/>
    <s v="&lt;p&gt;Verificar Mac Address y agregarlo a la consola de Aruba&amp;nbsp;&lt;/p&gt;&lt;p&gt;realizar Pruebas de navegación y accesos&amp;nbsp;&lt;/p&gt;"/>
    <s v="normal"/>
    <s v="En proceso"/>
    <s v="Dar acceso a wifi EMP-Canella / Boris Romero"/>
    <n v="72"/>
    <b v="1"/>
    <n v="24202"/>
    <m/>
    <s v="04090@general.tbd"/>
    <n v="24202"/>
    <n v="0"/>
    <n v="186"/>
    <n v="8777"/>
    <s v="Mesa Ayuda Infraestructura"/>
    <n v="0.65972222222222199"/>
    <m/>
  </r>
  <r>
    <n v="3603"/>
    <n v="0.33333333333333298"/>
    <d v="1899-12-30T00:20:00"/>
    <s v="50-Finalizado"/>
    <d v="1900-01-01T00:00:00"/>
    <x v="199"/>
    <d v="2024-08-02T00:00:00"/>
    <d v="2024-08-02T23:49:11"/>
    <x v="40"/>
    <n v="55.238888888888802"/>
    <d v="1900-01-01T07:14:20"/>
    <d v="2024-08-02T00:00:00"/>
    <d v="2024-08-02T23:49:11"/>
    <m/>
    <d v="1899-12-31T00:00:00"/>
    <d v="2024-08-05T07:03:31"/>
    <b v="1"/>
    <d v="2024-08-05T07:03:31"/>
    <d v="2024-08-20T19:15:38"/>
    <d v="2024-08-20T19:15:38"/>
    <s v="Resuelto"/>
    <s v="Se procede a verificar teclado dañado y a realizar cambio por uno nuevo."/>
    <d v="2024-08-02T00:00:00"/>
    <s v="Se procede a verificar teclado dañado y a realizar cambio por uno nuevo."/>
    <x v="3"/>
    <m/>
    <x v="2"/>
    <m/>
    <m/>
    <m/>
    <s v="CANELLA, SOCIEDAD ANONIMA"/>
    <s v="PROYECTOS Y ORGANIZACION Y METODOS"/>
    <n v="3505"/>
    <n v="35"/>
    <s v="Mesa Ayuda Infraestructura"/>
    <n v="247393"/>
    <s v="MIGUEL EDUARDO PEREZ LOPEZ"/>
    <n v="299"/>
    <s v="CANELLA"/>
    <m/>
    <m/>
    <m/>
    <m/>
    <n v="1"/>
    <s v="CANELLA"/>
    <n v="299"/>
    <s v="Rosario Lic"/>
    <s v="&lt;p&gt;Se procede a verificar teclado dañado y a realizar cambio por uno nuevo.&lt;/p&gt;"/>
    <s v="normal"/>
    <s v="En proceso"/>
    <s v="Cambio de combo de teclado y mouse"/>
    <n v="72"/>
    <b v="1"/>
    <s v="[23920]"/>
    <n v="2"/>
    <s v="06031@general.tbd"/>
    <n v="23920"/>
    <n v="0"/>
    <n v="299"/>
    <n v="8777"/>
    <s v="Mesa Ayuda Infraestructura"/>
    <n v="55.238888888888802"/>
    <m/>
  </r>
  <r>
    <n v="3565"/>
    <n v="0.31666666666666599"/>
    <d v="1899-12-30T00:19:00"/>
    <s v="50-Finalizado"/>
    <d v="1900-01-01T00:00:00"/>
    <x v="200"/>
    <d v="2024-08-07T00:00:00"/>
    <d v="2024-08-02T18:08:42"/>
    <x v="132"/>
    <n v="125.422777777777"/>
    <d v="1900-01-04T05:25:22"/>
    <d v="2024-08-02T00:00:00"/>
    <d v="2024-08-02T18:08:42"/>
    <m/>
    <d v="1899-12-31T00:00:00"/>
    <d v="2024-08-07T23:34:04"/>
    <b v="1"/>
    <d v="2024-08-07T23:34:04"/>
    <d v="2024-08-20T19:15:38"/>
    <d v="2024-08-20T19:15:38"/>
    <m/>
    <m/>
    <d v="2024-08-02T00:00:00"/>
    <s v="A solicitud, se procede a verificar fecha de pago con Contabilidad."/>
    <x v="3"/>
    <m/>
    <x v="2"/>
    <m/>
    <m/>
    <m/>
    <s v="CANELLA, SOCIEDAD ANONIMA"/>
    <s v="INFORMATICA"/>
    <n v="3467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A solicitud, se procede a verificar fecha de pago con Contabilidad.&lt;/p&gt;"/>
    <s v="normal"/>
    <s v="En proceso"/>
    <s v="OC - Eduardo Neuman"/>
    <n v="72"/>
    <b v="1"/>
    <s v="[23516]"/>
    <m/>
    <s v="04025@general.tbd"/>
    <n v="23516"/>
    <n v="0"/>
    <n v="299"/>
    <n v="8777"/>
    <s v="Mesa Ayuda Infraestructura"/>
    <n v="125.422777777777"/>
    <m/>
  </r>
  <r>
    <n v="3557"/>
    <n v="0.38333333333333303"/>
    <d v="1899-12-30T00:23:00"/>
    <s v="50-Finalizado"/>
    <d v="1900-01-01T00:00:00"/>
    <x v="201"/>
    <d v="2024-08-02T00:00:00"/>
    <d v="2024-08-02T17:45:50"/>
    <x v="40"/>
    <n v="61.294722222222198"/>
    <d v="1900-01-01T13:17:41"/>
    <d v="2024-08-02T00:00:00"/>
    <d v="2024-08-02T17:45:50"/>
    <m/>
    <d v="1899-12-31T00:00:00"/>
    <d v="2024-08-05T07:03:31"/>
    <b v="1"/>
    <d v="2024-08-05T07:03:31"/>
    <d v="2024-08-20T19:15:38"/>
    <d v="2024-08-20T19:15:38"/>
    <m/>
    <s v="Se indica a Ing Raul la información faltante para culminar el proceso de facturación de equipos."/>
    <d v="2024-08-02T00:00:00"/>
    <s v="Se indica a Ing Raul la información faltante para culminar el proceso de facturación de equipos."/>
    <x v="3"/>
    <m/>
    <x v="2"/>
    <m/>
    <m/>
    <m/>
    <s v="CANELLA, SOCIEDAD ANONIMA"/>
    <s v="UNIDAD DE SERVICIOS TI CORPORATIVOS"/>
    <n v="3459"/>
    <n v="35"/>
    <s v="Mesa Ayuda Infraestructura"/>
    <n v="246829"/>
    <s v="RAUL ALEMBERT VELIZ RODRIGUEZ"/>
    <n v="299"/>
    <s v="CANELLA"/>
    <m/>
    <m/>
    <m/>
    <m/>
    <n v="1"/>
    <s v="CANELLA"/>
    <n v="299"/>
    <s v="Rosario Lic"/>
    <s v="&lt;p&gt;Se indica a Ing Raul la información faltante para culminar el proceso de facturación de equipos.&lt;/p&gt;"/>
    <s v="normal"/>
    <s v="En proceso"/>
    <s v="Información de traslado y facturación de accesorios"/>
    <n v="72"/>
    <b v="1"/>
    <s v="[23491]"/>
    <m/>
    <s v="06871@general.tbd"/>
    <n v="23491"/>
    <n v="0"/>
    <n v="299"/>
    <n v="8777"/>
    <s v="Mesa Ayuda Infraestructura"/>
    <n v="61.294722222222198"/>
    <m/>
  </r>
  <r>
    <n v="3476"/>
    <n v="0.5"/>
    <d v="1899-12-30T00:30:00"/>
    <s v="50-Finalizado"/>
    <d v="1900-01-01T00:00:00"/>
    <x v="202"/>
    <d v="2024-08-10T00:00:00"/>
    <d v="2024-08-01T21:00:14"/>
    <x v="133"/>
    <n v="212.94749999999999"/>
    <d v="1900-01-07T20:56:51"/>
    <d v="2024-08-01T00:00:00"/>
    <d v="2024-08-01T21:00:14"/>
    <m/>
    <d v="1899-12-31T00:00:00"/>
    <d v="2024-08-10T17:57:05"/>
    <b v="1"/>
    <d v="2024-08-10T17:57:05"/>
    <d v="2024-08-20T19:15:38"/>
    <d v="2024-08-20T19:15:38"/>
    <m/>
    <m/>
    <d v="2024-08-01T00:00:00"/>
    <s v="Verificación de correo de archivos PST"/>
    <x v="6"/>
    <s v="Configuracion Software"/>
    <x v="2"/>
    <s v="Laptop"/>
    <m/>
    <m/>
    <s v="CANELLA, SOCIEDAD ANONIMA"/>
    <s v="YAMAHA VENTAS"/>
    <n v="3378"/>
    <n v="35"/>
    <s v="Mesa Ayuda Infraestructura"/>
    <n v="247786"/>
    <s v="DIEGO ANDRE CONTRERAS RIVERA"/>
    <n v="2766"/>
    <s v="CANELLA"/>
    <n v="2"/>
    <n v="20"/>
    <m/>
    <m/>
    <n v="1"/>
    <s v="CANELLA"/>
    <n v="2766"/>
    <s v="José Julajuj Chumil"/>
    <m/>
    <s v="normal"/>
    <s v="En proceso"/>
    <s v="Verificación de Correo PST -Diego Contreras-"/>
    <n v="72"/>
    <b v="1"/>
    <n v="23146"/>
    <m/>
    <s v="04274@general.tbd"/>
    <n v="23147"/>
    <n v="0"/>
    <n v="2766"/>
    <n v="8777"/>
    <s v="Mesa Ayuda Infraestructura"/>
    <n v="212.94749999999999"/>
    <m/>
  </r>
  <r>
    <n v="3476"/>
    <n v="8.3333333333333301E-2"/>
    <d v="1899-12-30T00:05:00"/>
    <s v="50-Finalizado"/>
    <d v="1900-01-01T00:00:00"/>
    <x v="202"/>
    <d v="2024-08-10T00:00:00"/>
    <d v="2024-08-01T21:00:14"/>
    <x v="133"/>
    <n v="212.94749999999999"/>
    <d v="1900-01-07T20:56:51"/>
    <d v="2024-08-01T00:00:00"/>
    <d v="2024-08-01T21:00:14"/>
    <m/>
    <d v="1899-12-31T00:00:00"/>
    <d v="2024-08-10T17:57:05"/>
    <b v="1"/>
    <d v="2024-08-10T17:57:05"/>
    <d v="2024-08-20T19:15:38"/>
    <d v="2024-08-20T19:15:38"/>
    <m/>
    <m/>
    <d v="2024-08-01T00:00:00"/>
    <s v="Llamada de usuario"/>
    <x v="6"/>
    <s v="Configuracion Software"/>
    <x v="2"/>
    <s v="Laptop"/>
    <m/>
    <m/>
    <s v="CANELLA, SOCIEDAD ANONIMA"/>
    <s v="YAMAHA VENTAS"/>
    <n v="3378"/>
    <n v="35"/>
    <s v="Mesa Ayuda Infraestructura"/>
    <n v="247786"/>
    <s v="DIEGO ANDRE CONTRERAS RIVERA"/>
    <n v="2766"/>
    <s v="CANELLA"/>
    <n v="2"/>
    <n v="20"/>
    <m/>
    <m/>
    <n v="1"/>
    <s v="CANELLA"/>
    <n v="2766"/>
    <s v="José Julajuj Chumil"/>
    <m/>
    <s v="normal"/>
    <s v="En proceso"/>
    <s v="Verificación de Correo PST -Diego Contreras-"/>
    <n v="72"/>
    <b v="1"/>
    <n v="23146"/>
    <m/>
    <s v="04274@general.tbd"/>
    <n v="23146"/>
    <n v="0"/>
    <n v="2766"/>
    <n v="8777"/>
    <s v="Mesa Ayuda Infraestructura"/>
    <n v="212.94749999999999"/>
    <m/>
  </r>
  <r>
    <n v="3454"/>
    <n v="0.33333333333333298"/>
    <d v="1899-12-30T00:20:00"/>
    <s v="50-Finalizado"/>
    <d v="1900-01-01T00:00:00"/>
    <x v="203"/>
    <d v="2024-08-10T00:00:00"/>
    <d v="2024-08-01T15:59:15"/>
    <x v="134"/>
    <n v="217.96444444444401"/>
    <d v="1900-01-08T01:57:52"/>
    <d v="2024-08-01T00:00:00"/>
    <d v="2024-08-01T15:59:15"/>
    <m/>
    <d v="1899-12-31T00:00:00"/>
    <d v="2024-08-10T17:57:07"/>
    <b v="1"/>
    <d v="2024-08-10T17:57:07"/>
    <d v="2024-08-20T19:15:38"/>
    <d v="2024-08-20T19:15:38"/>
    <m/>
    <m/>
    <d v="2024-08-01T00:00:00"/>
    <s v="Revisión de Check List"/>
    <x v="6"/>
    <s v="Configuracion Software"/>
    <x v="2"/>
    <s v="Laptop"/>
    <m/>
    <m/>
    <s v="CANELLA, SOCIEDAD ANONIMA"/>
    <s v="ISUZU"/>
    <n v="3356"/>
    <n v="35"/>
    <s v="Mesa Ayuda Infraestructura"/>
    <n v="247374"/>
    <s v="LUIS PEDRO LOPEZ RODAS"/>
    <n v="2766"/>
    <s v="CANELLA"/>
    <n v="2"/>
    <n v="20"/>
    <m/>
    <m/>
    <n v="1"/>
    <s v="CANELLA"/>
    <n v="2766"/>
    <s v="José Julajuj Chumil"/>
    <m/>
    <s v="normal"/>
    <s v="En proceso"/>
    <s v="Revisión de Check List a Laptop de Ventas Mazatenango"/>
    <n v="72"/>
    <b v="1"/>
    <s v="[23037]"/>
    <m/>
    <s v="06070@general.tbd"/>
    <n v="23037"/>
    <n v="0"/>
    <n v="2766"/>
    <n v="8777"/>
    <s v="Mesa Ayuda Infraestructura"/>
    <n v="217.96444444444401"/>
    <m/>
  </r>
  <r>
    <n v="3448"/>
    <n v="0.33333333333333298"/>
    <d v="1899-12-30T00:20:00"/>
    <s v="50-Finalizado"/>
    <d v="1900-01-01T00:00:00"/>
    <x v="204"/>
    <d v="2024-08-01T00:00:00"/>
    <d v="2024-08-01T15:25:05"/>
    <x v="40"/>
    <n v="87.640555555555494"/>
    <d v="1900-01-02T15:38:26"/>
    <d v="2024-08-01T00:00:00"/>
    <d v="2024-08-01T15:25:05"/>
    <m/>
    <d v="1899-12-31T00:00:00"/>
    <d v="2024-08-05T07:03:31"/>
    <b v="1"/>
    <d v="2024-08-05T07:03:31"/>
    <d v="2024-08-20T19:15:38"/>
    <d v="2024-08-20T19:15:38"/>
    <m/>
    <m/>
    <d v="2024-08-01T00:00:00"/>
    <s v="Aumento de disco a servidor 128.1.200.137"/>
    <x v="10"/>
    <s v="Configuracion Software"/>
    <x v="2"/>
    <s v="Redes y Comunicaciones"/>
    <s v="Telefonia / Datos"/>
    <m/>
    <s v="CANELLA, SOCIEDAD ANONIMA"/>
    <s v="INFORMATICA"/>
    <n v="3350"/>
    <n v="35"/>
    <s v="Mesa Ayuda Infraestructura"/>
    <n v="247841"/>
    <s v="WILLIAMS GIOVANNI GALVAN ESTRADA"/>
    <n v="248"/>
    <s v="CANELLA"/>
    <n v="2"/>
    <n v="28"/>
    <n v="25"/>
    <m/>
    <n v="1"/>
    <s v="CANELLA"/>
    <n v="248"/>
    <s v="Juan Carlos Barillas"/>
    <s v="&lt;p&gt;Aumento de disco a servidor 128.1.200.137&lt;/p&gt;"/>
    <s v="normal"/>
    <s v="En proceso"/>
    <s v="Aumento de disco a servidor 128.1.200.137"/>
    <n v="72"/>
    <b v="1"/>
    <s v="[23017]"/>
    <m/>
    <s v="03677@general.tbd"/>
    <n v="23017"/>
    <n v="0"/>
    <n v="248"/>
    <n v="8777"/>
    <s v="Mesa Ayuda Infraestructura"/>
    <n v="87.640555555555494"/>
    <m/>
  </r>
  <r>
    <n v="3422"/>
    <n v="0.133333333333333"/>
    <d v="1899-12-30T00:08:00"/>
    <s v="50-Finalizado"/>
    <d v="1900-01-01T00:00:00"/>
    <x v="205"/>
    <d v="2024-08-19T00:00:00"/>
    <d v="2024-07-31T22:09:04"/>
    <x v="21"/>
    <n v="434.86361111111103"/>
    <d v="1900-01-17T02:51:49"/>
    <d v="2024-07-31T00:00:00"/>
    <d v="2024-07-31T22:09:04"/>
    <m/>
    <d v="1899-12-31T00:00:00"/>
    <d v="2024-08-19T01:00:53"/>
    <m/>
    <d v="1899-12-31T00:00:00"/>
    <d v="2024-08-20T19:15:38"/>
    <d v="2024-08-20T19:15:38"/>
    <m/>
    <m/>
    <d v="2024-08-13T00:00:00"/>
    <s v="Se solicitó Anexo a Claro para enlace de datos e internet a 20 Mbps"/>
    <x v="10"/>
    <s v="Configuracion Hardware"/>
    <x v="2"/>
    <s v="Redes y Comunicaciones"/>
    <s v="Telefonia / Datos"/>
    <m/>
    <s v="CANELLA, SOCIEDAD ANONIMA"/>
    <s v="TIENDAS PROPIAS"/>
    <n v="3324"/>
    <n v="35"/>
    <s v="Mesa Ayuda Infraestructura"/>
    <n v="247926"/>
    <s v="JOSE MIGUEL GARCIA RAMIREZ"/>
    <n v="248"/>
    <s v="CANELLA"/>
    <n v="1"/>
    <n v="28"/>
    <n v="25"/>
    <m/>
    <n v="1"/>
    <s v="CANELLA"/>
    <n v="248"/>
    <s v="Juan Carlos Barillas"/>
    <s v="&lt;p&gt;Enlace Home Office Santa Lucia&lt;/p&gt;"/>
    <s v="normal"/>
    <s v="En proceso"/>
    <s v="Enlace Home Office Santa Lucia"/>
    <n v="72"/>
    <b v="1"/>
    <s v="[26594, 26562, 25286, 24699, 24345, 24260, 22834, 22817, 22805]"/>
    <m/>
    <s v="00051@general.tbd"/>
    <n v="26594"/>
    <n v="0"/>
    <n v="248"/>
    <n v="8777"/>
    <s v="Mesa Ayuda Infraestructura"/>
    <n v="434.86361111111103"/>
    <m/>
  </r>
  <r>
    <n v="3422"/>
    <n v="0.16666666666666599"/>
    <d v="1899-12-30T00:10:00"/>
    <s v="50-Finalizado"/>
    <d v="1900-01-01T00:00:00"/>
    <x v="205"/>
    <d v="2024-08-19T00:00:00"/>
    <d v="2024-07-31T22:09:04"/>
    <x v="21"/>
    <n v="434.86361111111103"/>
    <d v="1900-01-17T02:51:49"/>
    <d v="2024-07-31T00:00:00"/>
    <d v="2024-07-31T22:09:04"/>
    <m/>
    <d v="1899-12-31T00:00:00"/>
    <d v="2024-08-19T01:00:53"/>
    <m/>
    <d v="1899-12-31T00:00:00"/>
    <d v="2024-08-20T19:15:38"/>
    <d v="2024-08-20T19:15:38"/>
    <m/>
    <m/>
    <d v="2024-08-13T00:00:00"/>
    <s v="Autorización por parte de RH"/>
    <x v="10"/>
    <s v="Configuracion Hardware"/>
    <x v="2"/>
    <s v="Redes y Comunicaciones"/>
    <s v="Telefonia / Datos"/>
    <m/>
    <s v="CANELLA, SOCIEDAD ANONIMA"/>
    <s v="TIENDAS PROPIAS"/>
    <n v="3324"/>
    <n v="35"/>
    <s v="Mesa Ayuda Infraestructura"/>
    <n v="247926"/>
    <s v="JOSE MIGUEL GARCIA RAMIREZ"/>
    <n v="248"/>
    <s v="CANELLA"/>
    <n v="1"/>
    <n v="28"/>
    <n v="25"/>
    <m/>
    <n v="1"/>
    <s v="CANELLA"/>
    <n v="248"/>
    <s v="Juan Carlos Barillas"/>
    <s v="&lt;p&gt;Enlace Home Office Santa Lucia&lt;/p&gt;"/>
    <s v="normal"/>
    <s v="En proceso"/>
    <s v="Enlace Home Office Santa Lucia"/>
    <n v="72"/>
    <b v="1"/>
    <s v="[26594, 26562, 25286, 24699, 24345, 24260, 22834, 22817, 22805]"/>
    <m/>
    <s v="00051@general.tbd"/>
    <n v="26562"/>
    <n v="0"/>
    <n v="248"/>
    <n v="8777"/>
    <s v="Mesa Ayuda Infraestructura"/>
    <n v="434.86361111111103"/>
    <m/>
  </r>
  <r>
    <n v="3422"/>
    <n v="0.75"/>
    <d v="1899-12-30T00:45:00"/>
    <s v="50-Finalizado"/>
    <d v="1900-01-01T00:00:00"/>
    <x v="205"/>
    <d v="2024-08-19T00:00:00"/>
    <d v="2024-07-31T22:09:04"/>
    <x v="21"/>
    <n v="434.86361111111103"/>
    <d v="1900-01-17T02:51:49"/>
    <d v="2024-07-31T00:00:00"/>
    <d v="2024-07-31T22:09:04"/>
    <m/>
    <d v="1899-12-31T00:00:00"/>
    <d v="2024-08-19T01:00:53"/>
    <m/>
    <d v="1899-12-31T00:00:00"/>
    <d v="2024-08-20T19:15:38"/>
    <d v="2024-08-20T19:15:38"/>
    <m/>
    <m/>
    <d v="2024-08-08T00:00:00"/>
    <s v="Nueva propuesta de enlace de datos"/>
    <x v="10"/>
    <s v="Configuracion Hardware"/>
    <x v="2"/>
    <s v="Redes y Comunicaciones"/>
    <s v="Telefonia / Datos"/>
    <m/>
    <s v="CANELLA, SOCIEDAD ANONIMA"/>
    <s v="TIENDAS PROPIAS"/>
    <n v="3324"/>
    <n v="35"/>
    <s v="Mesa Ayuda Infraestructura"/>
    <n v="247926"/>
    <s v="JOSE MIGUEL GARCIA RAMIREZ"/>
    <n v="248"/>
    <s v="CANELLA"/>
    <n v="1"/>
    <n v="28"/>
    <n v="25"/>
    <m/>
    <n v="1"/>
    <s v="CANELLA"/>
    <n v="248"/>
    <s v="Juan Carlos Barillas"/>
    <s v="&lt;p&gt;Enlace Home Office Santa Lucia&lt;/p&gt;"/>
    <s v="normal"/>
    <s v="En proceso"/>
    <s v="Enlace Home Office Santa Lucia"/>
    <n v="72"/>
    <b v="1"/>
    <s v="[26594, 26562, 25286, 24699, 24345, 24260, 22834, 22817, 22805]"/>
    <m/>
    <s v="00051@general.tbd"/>
    <n v="25286"/>
    <n v="0"/>
    <n v="248"/>
    <n v="8777"/>
    <s v="Mesa Ayuda Infraestructura"/>
    <n v="434.86361111111103"/>
    <m/>
  </r>
  <r>
    <n v="3422"/>
    <n v="0.16666666666666599"/>
    <d v="1899-12-30T00:10:00"/>
    <s v="50-Finalizado"/>
    <d v="1900-01-01T00:00:00"/>
    <x v="205"/>
    <d v="2024-08-19T00:00:00"/>
    <d v="2024-07-31T22:09:04"/>
    <x v="21"/>
    <n v="434.86361111111103"/>
    <d v="1900-01-17T02:51:49"/>
    <d v="2024-07-31T00:00:00"/>
    <d v="2024-07-31T22:09:04"/>
    <m/>
    <d v="1899-12-31T00:00:00"/>
    <d v="2024-08-19T01:00:53"/>
    <m/>
    <d v="1899-12-31T00:00:00"/>
    <d v="2024-08-20T19:15:38"/>
    <d v="2024-08-20T19:15:38"/>
    <m/>
    <m/>
    <d v="2024-08-06T00:00:00"/>
    <s v="Envío de memo para solicitud de firma de anexo"/>
    <x v="10"/>
    <s v="Configuracion Hardware"/>
    <x v="2"/>
    <s v="Redes y Comunicaciones"/>
    <s v="Telefonia / Datos"/>
    <m/>
    <s v="CANELLA, SOCIEDAD ANONIMA"/>
    <s v="TIENDAS PROPIAS"/>
    <n v="3324"/>
    <n v="35"/>
    <s v="Mesa Ayuda Infraestructura"/>
    <n v="247926"/>
    <s v="JOSE MIGUEL GARCIA RAMIREZ"/>
    <n v="248"/>
    <s v="CANELLA"/>
    <n v="1"/>
    <n v="28"/>
    <n v="25"/>
    <m/>
    <n v="1"/>
    <s v="CANELLA"/>
    <n v="248"/>
    <s v="Juan Carlos Barillas"/>
    <s v="&lt;p&gt;Enlace Home Office Santa Lucia&lt;/p&gt;"/>
    <s v="normal"/>
    <s v="En proceso"/>
    <s v="Enlace Home Office Santa Lucia"/>
    <n v="72"/>
    <b v="1"/>
    <s v="[26594, 26562, 25286, 24699, 24345, 24260, 22834, 22817, 22805]"/>
    <m/>
    <s v="00051@general.tbd"/>
    <n v="24699"/>
    <n v="0"/>
    <n v="248"/>
    <n v="8777"/>
    <s v="Mesa Ayuda Infraestructura"/>
    <n v="434.86361111111103"/>
    <m/>
  </r>
  <r>
    <n v="3422"/>
    <n v="0.133333333333333"/>
    <d v="1899-12-30T00:08:00"/>
    <s v="50-Finalizado"/>
    <d v="1900-01-01T00:00:00"/>
    <x v="205"/>
    <d v="2024-08-19T00:00:00"/>
    <d v="2024-07-31T22:09:04"/>
    <x v="21"/>
    <n v="434.86361111111103"/>
    <d v="1900-01-17T02:51:49"/>
    <d v="2024-07-31T00:00:00"/>
    <d v="2024-07-31T22:09:04"/>
    <m/>
    <d v="1899-12-31T00:00:00"/>
    <d v="2024-08-19T01:00:53"/>
    <m/>
    <d v="1899-12-31T00:00:00"/>
    <d v="2024-08-20T19:15:38"/>
    <d v="2024-08-20T19:15:38"/>
    <m/>
    <m/>
    <d v="2024-08-05T00:00:00"/>
    <s v="Solicitar anexo a Claro para enlace"/>
    <x v="10"/>
    <s v="Configuracion Hardware"/>
    <x v="2"/>
    <s v="Redes y Comunicaciones"/>
    <s v="Telefonia / Datos"/>
    <m/>
    <s v="CANELLA, SOCIEDAD ANONIMA"/>
    <s v="TIENDAS PROPIAS"/>
    <n v="3324"/>
    <n v="35"/>
    <s v="Mesa Ayuda Infraestructura"/>
    <n v="247926"/>
    <s v="JOSE MIGUEL GARCIA RAMIREZ"/>
    <n v="248"/>
    <s v="CANELLA"/>
    <n v="1"/>
    <n v="28"/>
    <n v="25"/>
    <m/>
    <n v="1"/>
    <s v="CANELLA"/>
    <n v="248"/>
    <s v="Juan Carlos Barillas"/>
    <s v="&lt;p&gt;Enlace Home Office Santa Lucia&lt;/p&gt;"/>
    <s v="normal"/>
    <s v="En proceso"/>
    <s v="Enlace Home Office Santa Lucia"/>
    <n v="72"/>
    <b v="1"/>
    <s v="[26594, 26562, 25286, 24699, 24345, 24260, 22834, 22817, 22805]"/>
    <m/>
    <s v="00051@general.tbd"/>
    <n v="24345"/>
    <n v="0"/>
    <n v="248"/>
    <n v="8777"/>
    <s v="Mesa Ayuda Infraestructura"/>
    <n v="434.86361111111103"/>
    <m/>
  </r>
  <r>
    <n v="3422"/>
    <n v="0.75"/>
    <d v="1899-12-30T00:45:00"/>
    <s v="50-Finalizado"/>
    <d v="1900-01-01T00:00:00"/>
    <x v="205"/>
    <d v="2024-08-19T00:00:00"/>
    <d v="2024-07-31T22:09:04"/>
    <x v="21"/>
    <n v="434.86361111111103"/>
    <d v="1900-01-17T02:51:49"/>
    <d v="2024-07-31T00:00:00"/>
    <d v="2024-07-31T22:09:04"/>
    <m/>
    <d v="1899-12-31T00:00:00"/>
    <d v="2024-08-19T01:00:53"/>
    <m/>
    <d v="1899-12-31T00:00:00"/>
    <d v="2024-08-20T19:15:38"/>
    <d v="2024-08-20T19:15:38"/>
    <m/>
    <m/>
    <d v="2024-08-05T00:00:00"/>
    <s v="Revisión Precios de enlaces y coberturas ( Claro y Tigo )"/>
    <x v="10"/>
    <s v="Configuracion Hardware"/>
    <x v="2"/>
    <s v="Redes y Comunicaciones"/>
    <s v="Telefonia / Datos"/>
    <m/>
    <s v="CANELLA, SOCIEDAD ANONIMA"/>
    <s v="TIENDAS PROPIAS"/>
    <n v="3324"/>
    <n v="35"/>
    <s v="Mesa Ayuda Infraestructura"/>
    <n v="247926"/>
    <s v="JOSE MIGUEL GARCIA RAMIREZ"/>
    <n v="248"/>
    <s v="CANELLA"/>
    <n v="1"/>
    <n v="28"/>
    <n v="25"/>
    <m/>
    <n v="1"/>
    <s v="CANELLA"/>
    <n v="248"/>
    <s v="Juan Carlos Barillas"/>
    <s v="&lt;p&gt;Enlace Home Office Santa Lucia&lt;/p&gt;"/>
    <s v="normal"/>
    <s v="En proceso"/>
    <s v="Enlace Home Office Santa Lucia"/>
    <n v="72"/>
    <b v="1"/>
    <s v="[26594, 26562, 25286, 24699, 24345, 24260, 22834, 22817, 22805]"/>
    <m/>
    <s v="00051@general.tbd"/>
    <n v="24260"/>
    <n v="0"/>
    <n v="248"/>
    <n v="8777"/>
    <s v="Mesa Ayuda Infraestructura"/>
    <n v="434.86361111111103"/>
    <m/>
  </r>
  <r>
    <n v="3422"/>
    <n v="0.133333333333333"/>
    <d v="1899-12-30T00:08:00"/>
    <s v="50-Finalizado"/>
    <d v="1900-01-01T00:00:00"/>
    <x v="205"/>
    <d v="2024-08-19T00:00:00"/>
    <d v="2024-07-31T22:09:04"/>
    <x v="21"/>
    <n v="434.86361111111103"/>
    <d v="1900-01-17T02:51:49"/>
    <d v="2024-07-31T00:00:00"/>
    <d v="2024-07-31T22:09:04"/>
    <m/>
    <d v="1899-12-31T00:00:00"/>
    <d v="2024-08-19T01:00:53"/>
    <m/>
    <d v="1899-12-31T00:00:00"/>
    <d v="2024-08-20T19:15:38"/>
    <d v="2024-08-20T19:15:38"/>
    <m/>
    <m/>
    <d v="2024-07-31T00:00:00"/>
    <s v="Solicitud de planos acotados a Jose Miguel"/>
    <x v="10"/>
    <s v="Configuracion Hardware"/>
    <x v="2"/>
    <s v="Redes y Comunicaciones"/>
    <s v="Telefonia / Datos"/>
    <m/>
    <s v="CANELLA, SOCIEDAD ANONIMA"/>
    <s v="TIENDAS PROPIAS"/>
    <n v="3324"/>
    <n v="35"/>
    <s v="Mesa Ayuda Infraestructura"/>
    <n v="247926"/>
    <s v="JOSE MIGUEL GARCIA RAMIREZ"/>
    <n v="248"/>
    <s v="CANELLA"/>
    <n v="1"/>
    <n v="28"/>
    <n v="25"/>
    <m/>
    <n v="1"/>
    <s v="CANELLA"/>
    <n v="248"/>
    <s v="Juan Carlos Barillas"/>
    <s v="&lt;p&gt;Enlace Home Office Santa Lucia&lt;/p&gt;"/>
    <s v="normal"/>
    <s v="En proceso"/>
    <s v="Enlace Home Office Santa Lucia"/>
    <n v="72"/>
    <b v="1"/>
    <s v="[26594, 26562, 25286, 24699, 24345, 24260, 22834, 22817, 22805]"/>
    <m/>
    <s v="00051@general.tbd"/>
    <n v="22834"/>
    <n v="0"/>
    <n v="248"/>
    <n v="8777"/>
    <s v="Mesa Ayuda Infraestructura"/>
    <n v="434.86361111111103"/>
    <m/>
  </r>
  <r>
    <n v="3422"/>
    <n v="0.16666666666666599"/>
    <d v="1899-12-30T00:10:00"/>
    <s v="50-Finalizado"/>
    <d v="1900-01-01T00:00:00"/>
    <x v="205"/>
    <d v="2024-08-19T00:00:00"/>
    <d v="2024-07-31T22:09:04"/>
    <x v="21"/>
    <n v="434.86361111111103"/>
    <d v="1900-01-17T02:51:49"/>
    <d v="2024-07-31T00:00:00"/>
    <d v="2024-07-31T22:09:04"/>
    <m/>
    <d v="1899-12-31T00:00:00"/>
    <d v="2024-08-19T01:00:53"/>
    <m/>
    <d v="1899-12-31T00:00:00"/>
    <d v="2024-08-20T19:15:38"/>
    <d v="2024-08-20T19:15:38"/>
    <m/>
    <m/>
    <d v="2024-07-31T00:00:00"/>
    <s v="Solicitud enlace datos e internet"/>
    <x v="10"/>
    <s v="Configuracion Hardware"/>
    <x v="2"/>
    <s v="Redes y Comunicaciones"/>
    <s v="Telefonia / Datos"/>
    <m/>
    <s v="CANELLA, SOCIEDAD ANONIMA"/>
    <s v="TIENDAS PROPIAS"/>
    <n v="3324"/>
    <n v="35"/>
    <s v="Mesa Ayuda Infraestructura"/>
    <n v="247926"/>
    <s v="JOSE MIGUEL GARCIA RAMIREZ"/>
    <n v="248"/>
    <s v="CANELLA"/>
    <n v="1"/>
    <n v="28"/>
    <n v="25"/>
    <m/>
    <n v="1"/>
    <s v="CANELLA"/>
    <n v="248"/>
    <s v="Juan Carlos Barillas"/>
    <s v="&lt;p&gt;Enlace Home Office Santa Lucia&lt;/p&gt;"/>
    <s v="normal"/>
    <s v="En proceso"/>
    <s v="Enlace Home Office Santa Lucia"/>
    <n v="72"/>
    <b v="1"/>
    <s v="[26594, 26562, 25286, 24699, 24345, 24260, 22834, 22817, 22805]"/>
    <m/>
    <s v="00051@general.tbd"/>
    <n v="22817"/>
    <n v="0"/>
    <n v="248"/>
    <n v="8777"/>
    <s v="Mesa Ayuda Infraestructura"/>
    <n v="434.86361111111103"/>
    <m/>
  </r>
  <r>
    <n v="3422"/>
    <n v="0.16666666666666599"/>
    <d v="1899-12-30T00:10:00"/>
    <s v="50-Finalizado"/>
    <d v="1900-01-01T00:00:00"/>
    <x v="205"/>
    <d v="2024-08-19T00:00:00"/>
    <d v="2024-07-31T22:09:04"/>
    <x v="21"/>
    <n v="434.86361111111103"/>
    <d v="1900-01-17T02:51:49"/>
    <d v="2024-07-31T00:00:00"/>
    <d v="2024-07-31T22:09:04"/>
    <m/>
    <d v="1899-12-31T00:00:00"/>
    <d v="2024-08-19T01:00:53"/>
    <m/>
    <d v="1899-12-31T00:00:00"/>
    <d v="2024-08-20T19:15:38"/>
    <d v="2024-08-20T19:15:38"/>
    <m/>
    <m/>
    <d v="2024-07-31T00:00:00"/>
    <s v="Enlace Home Office Santa Lucia internet/datos"/>
    <x v="10"/>
    <s v="Configuracion Hardware"/>
    <x v="2"/>
    <s v="Redes y Comunicaciones"/>
    <s v="Telefonia / Datos"/>
    <m/>
    <s v="CANELLA, SOCIEDAD ANONIMA"/>
    <s v="TIENDAS PROPIAS"/>
    <n v="3324"/>
    <n v="35"/>
    <s v="Mesa Ayuda Infraestructura"/>
    <n v="247926"/>
    <s v="JOSE MIGUEL GARCIA RAMIREZ"/>
    <n v="248"/>
    <s v="CANELLA"/>
    <n v="1"/>
    <n v="28"/>
    <n v="25"/>
    <m/>
    <n v="1"/>
    <s v="CANELLA"/>
    <n v="248"/>
    <s v="Juan Carlos Barillas"/>
    <s v="&lt;p&gt;Enlace Home Office Santa Lucia&lt;/p&gt;"/>
    <s v="normal"/>
    <s v="En proceso"/>
    <s v="Enlace Home Office Santa Lucia"/>
    <n v="72"/>
    <b v="1"/>
    <s v="[26594, 26562, 25286, 24699, 24345, 24260, 22834, 22817, 22805]"/>
    <m/>
    <s v="00051@general.tbd"/>
    <n v="22805"/>
    <n v="0"/>
    <n v="248"/>
    <n v="8777"/>
    <s v="Mesa Ayuda Infraestructura"/>
    <n v="434.86361111111103"/>
    <m/>
  </r>
  <r>
    <n v="3418"/>
    <n v="0.43333333333333302"/>
    <d v="1899-12-30T00:26:00"/>
    <s v="40-Esperando cliente"/>
    <d v="1900-01-01T00:00:00"/>
    <x v="206"/>
    <d v="2024-08-11T00:00:00"/>
    <d v="2024-07-31T21:58:35"/>
    <x v="4"/>
    <n v="0"/>
    <d v="1899-12-30T00:00:00"/>
    <d v="2024-07-31T00:00:00"/>
    <d v="2024-07-31T21:58:35"/>
    <m/>
    <d v="1899-12-31T00:00:00"/>
    <d v="1899-12-31T00:00:00"/>
    <b v="1"/>
    <d v="2024-08-11T01:01:14"/>
    <d v="2024-08-20T19:15:38"/>
    <d v="2024-08-20T19:15:38"/>
    <m/>
    <m/>
    <d v="2024-08-19T00:00:00"/>
    <s v="Seguimiento de compa de 2 discos y cotización de disco de 14TB"/>
    <x v="3"/>
    <m/>
    <x v="2"/>
    <m/>
    <m/>
    <m/>
    <s v="CANELLA, SOCIEDAD ANONIMA"/>
    <s v="INFORMATICA"/>
    <n v="3320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- Se procede a realizar la compra de 3 discos de 12 TB para&amp;nbsp; ** backup's en el File Server 5 y Bit file **  **  **  ** &lt;/p&gt;&lt;p&gt;- Se verifica cambio de precio en pagina Kemik la cual presenta inconsistencias con la cotización presentada, se anula la firma del dia 1/8/2024 y se corrige al nuevo precio que aparece en plataforma y se espera nueva autorización de gerencia.&lt;/p&gt;"/>
    <s v="normal"/>
    <s v="En proceso"/>
    <s v="Compra de 3 Discos Duros"/>
    <n v="71"/>
    <m/>
    <s v="[28011, 24179, 23009]"/>
    <m/>
    <s v="04025@general.tbd"/>
    <n v="28011"/>
    <n v="0"/>
    <n v="299"/>
    <n v="8777"/>
    <s v="Mesa Ayuda Infraestructura"/>
    <n v="0"/>
    <m/>
  </r>
  <r>
    <n v="3418"/>
    <n v="0.61666666666666603"/>
    <d v="1899-12-30T00:37:00"/>
    <s v="40-Esperando cliente"/>
    <d v="1900-01-01T00:00:00"/>
    <x v="206"/>
    <d v="2024-08-11T00:00:00"/>
    <d v="2024-07-31T21:58:35"/>
    <x v="4"/>
    <n v="0"/>
    <d v="1899-12-30T00:00:00"/>
    <d v="2024-07-31T00:00:00"/>
    <d v="2024-07-31T21:58:35"/>
    <m/>
    <d v="1899-12-31T00:00:00"/>
    <d v="1899-12-31T00:00:00"/>
    <b v="1"/>
    <d v="2024-08-11T01:01:14"/>
    <d v="2024-08-20T19:15:38"/>
    <d v="2024-08-20T19:15:38"/>
    <m/>
    <m/>
    <d v="2024-08-05T00:00:00"/>
    <s v="Se verifica cambio de precio en pagina Kemik la cual presenta inconsistencias con la cotización presentada, se anula la firma del dia 1/8/2024 y se corrige al nuevo precio que aparece en plataforma y se espera nueva autorización de gerencia."/>
    <x v="3"/>
    <m/>
    <x v="2"/>
    <m/>
    <m/>
    <m/>
    <s v="CANELLA, SOCIEDAD ANONIMA"/>
    <s v="INFORMATICA"/>
    <n v="3320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- Se procede a realizar la compra de 3 discos de 12 TB para&amp;nbsp; ** backup's en el File Server 5 y Bit file **  **  **  ** &lt;/p&gt;&lt;p&gt;- Se verifica cambio de precio en pagina Kemik la cual presenta inconsistencias con la cotización presentada, se anula la firma del dia 1/8/2024 y se corrige al nuevo precio que aparece en plataforma y se espera nueva autorización de gerencia.&lt;/p&gt;"/>
    <s v="normal"/>
    <s v="En proceso"/>
    <s v="Compra de 3 Discos Duros"/>
    <n v="71"/>
    <m/>
    <s v="[28011, 24179, 23009]"/>
    <m/>
    <s v="04025@general.tbd"/>
    <n v="24179"/>
    <n v="0"/>
    <n v="299"/>
    <n v="8777"/>
    <s v="Mesa Ayuda Infraestructura"/>
    <n v="0"/>
    <m/>
  </r>
  <r>
    <n v="3418"/>
    <n v="0"/>
    <d v="1899-12-30T00:00:00"/>
    <s v="40-Esperando cliente"/>
    <d v="1900-01-01T00:00:00"/>
    <x v="206"/>
    <d v="2024-08-11T00:00:00"/>
    <d v="2024-07-31T21:58:35"/>
    <x v="4"/>
    <n v="0"/>
    <d v="1899-12-30T00:00:00"/>
    <d v="2024-07-31T00:00:00"/>
    <d v="2024-07-31T21:58:35"/>
    <m/>
    <d v="1899-12-31T00:00:00"/>
    <d v="1899-12-31T00:00:00"/>
    <b v="1"/>
    <d v="2024-08-11T01:01:14"/>
    <d v="2024-08-20T19:15:38"/>
    <d v="2024-08-20T19:15:38"/>
    <m/>
    <m/>
    <d v="2024-07-31T00:00:00"/>
    <s v="compra de 3 Discos Duros de 12 TB, para funcionalidad de backup's en el File Server 5 y Bit file"/>
    <x v="3"/>
    <m/>
    <x v="2"/>
    <m/>
    <m/>
    <m/>
    <s v="CANELLA, SOCIEDAD ANONIMA"/>
    <s v="INFORMATICA"/>
    <n v="3320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- Se procede a realizar la compra de 3 discos de 12 TB para&amp;nbsp; ** backup's en el File Server 5 y Bit file **  **  **  ** &lt;/p&gt;&lt;p&gt;- Se verifica cambio de precio en pagina Kemik la cual presenta inconsistencias con la cotización presentada, se anula la firma del dia 1/8/2024 y se corrige al nuevo precio que aparece en plataforma y se espera nueva autorización de gerencia.&lt;/p&gt;"/>
    <s v="normal"/>
    <s v="En proceso"/>
    <s v="Compra de 3 Discos Duros"/>
    <n v="71"/>
    <m/>
    <s v="[28011, 24179, 23009]"/>
    <m/>
    <s v="04025@general.tbd"/>
    <n v="23009"/>
    <n v="0"/>
    <n v="299"/>
    <n v="8777"/>
    <s v="Mesa Ayuda Infraestructura"/>
    <n v="0"/>
    <m/>
  </r>
  <r>
    <n v="3383"/>
    <n v="-0.233333333333333"/>
    <n v="-9.7222222222222206E-3"/>
    <s v="50-Finalizado"/>
    <d v="1900-01-01T00:00:00"/>
    <x v="207"/>
    <d v="2024-07-31T00:00:00"/>
    <d v="2024-07-31T17:19:23"/>
    <x v="40"/>
    <n v="109.735555555555"/>
    <d v="1900-01-03T13:44:08"/>
    <d v="2024-07-31T00:00:00"/>
    <d v="2024-07-31T17:19:23"/>
    <m/>
    <d v="1899-12-31T00:00:00"/>
    <d v="2024-08-05T07:03:31"/>
    <b v="1"/>
    <d v="2024-08-05T07:03:31"/>
    <d v="2024-08-20T19:15:38"/>
    <d v="2024-08-20T19:15:38"/>
    <s v="Resuelto"/>
    <s v="Diagnostico de equipo y recomendacion de equipos "/>
    <d v="2024-07-31T00:00:00"/>
    <s v="/"/>
    <x v="7"/>
    <s v="Configuracion Hardware"/>
    <x v="2"/>
    <s v="Laptop"/>
    <m/>
    <m/>
    <s v="CORPORACION INMOBILIARIA CENTRAL SOCIEDAD ANONIMA"/>
    <s v="GERENCIA FINANCIERA - ADMINISTRATIVA"/>
    <n v="3285"/>
    <n v="35"/>
    <s v="Mesa Ayuda Infraestructura"/>
    <n v="247712"/>
    <s v="OTTONIEL VASQUEZ DE PAZ"/>
    <n v="171"/>
    <s v="CANELLA"/>
    <n v="1"/>
    <n v="20"/>
    <m/>
    <m/>
    <n v="1"/>
    <s v="CANELLA"/>
    <n v="171"/>
    <s v="Andres de León"/>
    <m/>
    <s v="normal"/>
    <s v="En proceso"/>
    <s v="Diagnostico de equipo y recomendacion de equipos Otto Vasquez"/>
    <n v="72"/>
    <b v="1"/>
    <s v="[22991, 22896, 22696]"/>
    <n v="2"/>
    <s v="04795@general.tbd"/>
    <n v="22991"/>
    <n v="0"/>
    <n v="171"/>
    <n v="8777"/>
    <s v="Mesa Ayuda Infraestructura"/>
    <n v="109.735555555555"/>
    <m/>
  </r>
  <r>
    <n v="3383"/>
    <n v="0.25"/>
    <d v="1899-12-30T00:15:00"/>
    <s v="50-Finalizado"/>
    <d v="1900-01-01T00:00:00"/>
    <x v="207"/>
    <d v="2024-07-31T00:00:00"/>
    <d v="2024-07-31T17:19:23"/>
    <x v="40"/>
    <n v="109.735555555555"/>
    <d v="1900-01-03T13:44:08"/>
    <d v="2024-07-31T00:00:00"/>
    <d v="2024-07-31T17:19:23"/>
    <m/>
    <d v="1899-12-31T00:00:00"/>
    <d v="2024-08-05T07:03:31"/>
    <b v="1"/>
    <d v="2024-08-05T07:03:31"/>
    <d v="2024-08-20T19:15:38"/>
    <d v="2024-08-20T19:15:38"/>
    <s v="Resuelto"/>
    <s v="Diagnostico de equipo y recomendacion de equipos "/>
    <d v="2024-07-31T00:00:00"/>
    <s v="Seguimiento de equipo en correos"/>
    <x v="7"/>
    <s v="Configuracion Hardware"/>
    <x v="2"/>
    <s v="Laptop"/>
    <m/>
    <m/>
    <s v="CORPORACION INMOBILIARIA CENTRAL SOCIEDAD ANONIMA"/>
    <s v="GERENCIA FINANCIERA - ADMINISTRATIVA"/>
    <n v="3285"/>
    <n v="35"/>
    <s v="Mesa Ayuda Infraestructura"/>
    <n v="247712"/>
    <s v="OTTONIEL VASQUEZ DE PAZ"/>
    <n v="171"/>
    <s v="CANELLA"/>
    <n v="1"/>
    <n v="20"/>
    <m/>
    <m/>
    <n v="1"/>
    <s v="CANELLA"/>
    <n v="171"/>
    <s v="Andres de León"/>
    <m/>
    <s v="normal"/>
    <s v="En proceso"/>
    <s v="Diagnostico de equipo y recomendacion de equipos Otto Vasquez"/>
    <n v="72"/>
    <b v="1"/>
    <s v="[22991, 22896, 22696]"/>
    <n v="2"/>
    <s v="04795@general.tbd"/>
    <n v="22896"/>
    <n v="0"/>
    <n v="171"/>
    <n v="8777"/>
    <s v="Mesa Ayuda Infraestructura"/>
    <n v="109.735555555555"/>
    <m/>
  </r>
  <r>
    <n v="3383"/>
    <n v="0.58333333333333304"/>
    <d v="1899-12-30T00:35:00"/>
    <s v="50-Finalizado"/>
    <d v="1900-01-01T00:00:00"/>
    <x v="207"/>
    <d v="2024-07-31T00:00:00"/>
    <d v="2024-07-31T17:19:23"/>
    <x v="40"/>
    <n v="109.735555555555"/>
    <d v="1900-01-03T13:44:08"/>
    <d v="2024-07-31T00:00:00"/>
    <d v="2024-07-31T17:19:23"/>
    <m/>
    <d v="1899-12-31T00:00:00"/>
    <d v="2024-08-05T07:03:31"/>
    <b v="1"/>
    <d v="2024-08-05T07:03:31"/>
    <d v="2024-08-20T19:15:38"/>
    <d v="2024-08-20T19:15:38"/>
    <s v="Resuelto"/>
    <s v="Diagnostico de equipo y recomendacion de equipos "/>
    <d v="2024-07-31T00:00:00"/>
    <s v="Diagnostico de equipo por lentud y programas trabados y recomendacion de equipos para cambio"/>
    <x v="7"/>
    <s v="Configuracion Hardware"/>
    <x v="2"/>
    <s v="Laptop"/>
    <m/>
    <m/>
    <s v="CORPORACION INMOBILIARIA CENTRAL SOCIEDAD ANONIMA"/>
    <s v="GERENCIA FINANCIERA - ADMINISTRATIVA"/>
    <n v="3285"/>
    <n v="35"/>
    <s v="Mesa Ayuda Infraestructura"/>
    <n v="247712"/>
    <s v="OTTONIEL VASQUEZ DE PAZ"/>
    <n v="171"/>
    <s v="CANELLA"/>
    <n v="1"/>
    <n v="20"/>
    <m/>
    <m/>
    <n v="1"/>
    <s v="CANELLA"/>
    <n v="171"/>
    <s v="Andres de León"/>
    <m/>
    <s v="normal"/>
    <s v="En proceso"/>
    <s v="Diagnostico de equipo y recomendacion de equipos Otto Vasquez"/>
    <n v="72"/>
    <b v="1"/>
    <s v="[22991, 22896, 22696]"/>
    <n v="2"/>
    <s v="04795@general.tbd"/>
    <n v="22696"/>
    <n v="0"/>
    <n v="171"/>
    <n v="8777"/>
    <s v="Mesa Ayuda Infraestructura"/>
    <n v="109.735555555555"/>
    <m/>
  </r>
  <r>
    <n v="3377"/>
    <n v="8.3333333333333301E-2"/>
    <d v="1899-12-30T00:05:00"/>
    <s v="50-Finalizado"/>
    <d v="1900-01-01T00:00:00"/>
    <x v="208"/>
    <d v="2024-08-12T00:00:00"/>
    <d v="2024-07-31T16:53:39"/>
    <x v="135"/>
    <n v="293.48250000000002"/>
    <d v="1900-01-11T05:28:57"/>
    <d v="2024-07-31T00:00:00"/>
    <d v="2024-07-31T16:53:39"/>
    <m/>
    <d v="1899-12-31T00:00:00"/>
    <d v="2024-08-12T22:22:36"/>
    <b v="1"/>
    <d v="2024-08-12T22:22:36"/>
    <d v="2024-08-20T19:15:38"/>
    <d v="2024-08-20T19:15:38"/>
    <m/>
    <m/>
    <d v="2024-08-12T00:00:00"/>
    <s v="Entrega de teléfono a Antonio Recinos, para instalación"/>
    <x v="3"/>
    <m/>
    <x v="2"/>
    <m/>
    <m/>
    <m/>
    <s v="INVERSIONES QATAR, SOCIEDAD ANONIMA"/>
    <s v="RECEPCION MAU"/>
    <n v="3279"/>
    <n v="35"/>
    <s v="Mesa Ayuda Infraestructura"/>
    <n v="247047"/>
    <s v="JULIO RENE PAIZ ANDRADE"/>
    <n v="299"/>
    <s v="CANELLA"/>
    <m/>
    <m/>
    <m/>
    <m/>
    <n v="1"/>
    <s v="CANELLA"/>
    <n v="299"/>
    <s v="Rosario Lic"/>
    <m/>
    <s v="normal"/>
    <s v="En proceso"/>
    <s v="Compra Teléfono"/>
    <n v="72"/>
    <b v="1"/>
    <s v="[26301, 26173, 22687]"/>
    <m/>
    <s v="06628@general.tbd"/>
    <n v="26301"/>
    <n v="0"/>
    <n v="299"/>
    <n v="8777"/>
    <s v="Mesa Ayuda Infraestructura"/>
    <n v="293.48250000000002"/>
    <m/>
  </r>
  <r>
    <n v="3377"/>
    <n v="0.2"/>
    <d v="1899-12-30T00:12:00"/>
    <s v="50-Finalizado"/>
    <d v="1900-01-01T00:00:00"/>
    <x v="208"/>
    <d v="2024-08-12T00:00:00"/>
    <d v="2024-07-31T16:53:39"/>
    <x v="135"/>
    <n v="293.48250000000002"/>
    <d v="1900-01-11T05:28:57"/>
    <d v="2024-07-31T00:00:00"/>
    <d v="2024-07-31T16:53:39"/>
    <m/>
    <d v="1899-12-31T00:00:00"/>
    <d v="2024-08-12T22:22:36"/>
    <b v="1"/>
    <d v="2024-08-12T22:22:36"/>
    <d v="2024-08-20T19:15:38"/>
    <d v="2024-08-20T19:15:38"/>
    <m/>
    <m/>
    <d v="2024-08-12T00:00:00"/>
    <s v="Capitalización y actualización de serie en SAP"/>
    <x v="3"/>
    <m/>
    <x v="2"/>
    <m/>
    <m/>
    <m/>
    <s v="INVERSIONES QATAR, SOCIEDAD ANONIMA"/>
    <s v="RECEPCION MAU"/>
    <n v="3279"/>
    <n v="35"/>
    <s v="Mesa Ayuda Infraestructura"/>
    <n v="247047"/>
    <s v="JULIO RENE PAIZ ANDRADE"/>
    <n v="299"/>
    <s v="CANELLA"/>
    <m/>
    <m/>
    <m/>
    <m/>
    <n v="1"/>
    <s v="CANELLA"/>
    <n v="299"/>
    <s v="Rosario Lic"/>
    <m/>
    <s v="normal"/>
    <s v="En proceso"/>
    <s v="Compra Teléfono"/>
    <n v="72"/>
    <b v="1"/>
    <s v="[26301, 26173, 22687]"/>
    <m/>
    <s v="06628@general.tbd"/>
    <n v="26173"/>
    <n v="0"/>
    <n v="299"/>
    <n v="8777"/>
    <s v="Mesa Ayuda Infraestructura"/>
    <n v="293.48250000000002"/>
    <m/>
  </r>
  <r>
    <n v="3377"/>
    <n v="0.5"/>
    <d v="1899-12-30T00:30:00"/>
    <s v="50-Finalizado"/>
    <d v="1900-01-01T00:00:00"/>
    <x v="208"/>
    <d v="2024-08-12T00:00:00"/>
    <d v="2024-07-31T16:53:39"/>
    <x v="135"/>
    <n v="293.48250000000002"/>
    <d v="1900-01-11T05:28:57"/>
    <d v="2024-07-31T00:00:00"/>
    <d v="2024-07-31T16:53:39"/>
    <m/>
    <d v="1899-12-31T00:00:00"/>
    <d v="2024-08-12T22:22:36"/>
    <b v="1"/>
    <d v="2024-08-12T22:22:36"/>
    <d v="2024-08-20T19:15:38"/>
    <d v="2024-08-20T19:15:38"/>
    <m/>
    <m/>
    <d v="2024-07-31T00:00:00"/>
    <s v="Se procede a realizar orden de compra por 1 teléfono 8019 para reemplazo de extensión física"/>
    <x v="3"/>
    <m/>
    <x v="2"/>
    <m/>
    <m/>
    <m/>
    <s v="INVERSIONES QATAR, SOCIEDAD ANONIMA"/>
    <s v="RECEPCION MAU"/>
    <n v="3279"/>
    <n v="35"/>
    <s v="Mesa Ayuda Infraestructura"/>
    <n v="247047"/>
    <s v="JULIO RENE PAIZ ANDRADE"/>
    <n v="299"/>
    <s v="CANELLA"/>
    <m/>
    <m/>
    <m/>
    <m/>
    <n v="1"/>
    <s v="CANELLA"/>
    <n v="299"/>
    <s v="Rosario Lic"/>
    <m/>
    <s v="normal"/>
    <s v="En proceso"/>
    <s v="Compra Teléfono"/>
    <n v="72"/>
    <b v="1"/>
    <s v="[26301, 26173, 22687]"/>
    <m/>
    <s v="06628@general.tbd"/>
    <n v="22687"/>
    <n v="0"/>
    <n v="299"/>
    <n v="8777"/>
    <s v="Mesa Ayuda Infraestructura"/>
    <n v="293.48250000000002"/>
    <m/>
  </r>
  <r>
    <n v="3356"/>
    <n v="0.25"/>
    <d v="1899-12-30T00:15:00"/>
    <s v="50-Finalizado"/>
    <d v="1900-01-01T00:00:00"/>
    <x v="209"/>
    <d v="2024-07-31T00:00:00"/>
    <d v="2024-07-31T15:44:39"/>
    <x v="40"/>
    <n v="111.31444444444401"/>
    <d v="1900-01-03T15:18:52"/>
    <d v="2024-07-31T00:00:00"/>
    <d v="2024-07-31T15:44:39"/>
    <m/>
    <d v="1899-12-31T00:00:00"/>
    <d v="2024-08-05T07:03:31"/>
    <b v="1"/>
    <d v="2024-08-05T07:03:31"/>
    <d v="2024-08-20T19:15:38"/>
    <d v="2024-08-20T19:15:38"/>
    <m/>
    <s v="Compra de tarjeta de red perfil bajo para Grafipronto 10"/>
    <d v="2024-08-01T00:00:00"/>
    <s v="Verificar el proceso del pedido"/>
    <x v="8"/>
    <s v="Configuracion Hardware"/>
    <x v="2"/>
    <s v="Redes y Comunicaciones"/>
    <m/>
    <m/>
    <s v="CANELLA, SOCIEDAD ANONIMA"/>
    <s v="GRAFIPRONTO"/>
    <n v="3258"/>
    <n v="35"/>
    <s v="Mesa Ayuda Infraestructura"/>
    <n v="247729"/>
    <s v="OLGA MARIA DE LA CRUZ VALLADARES GUILLEN de OVALLE"/>
    <n v="186"/>
    <s v="CANELLA"/>
    <n v="1"/>
    <n v="28"/>
    <m/>
    <m/>
    <n v="1"/>
    <s v="CANELLA"/>
    <n v="186"/>
    <s v="Carlos Carias"/>
    <s v="&lt;p&gt;Compra de tarjeta de red perfil bajo para Grafipronto 10&lt;/p&gt;&lt;p&gt;Verificar el proceso del pedido&amp;nbsp;&lt;/p&gt;&lt;p&gt;&lt;br&gt;&lt;/p&gt;"/>
    <s v="normal"/>
    <s v="En proceso"/>
    <s v="Compra de tarjeta de red perfil bajo para Grafipronto 10"/>
    <n v="72"/>
    <b v="1"/>
    <n v="22657"/>
    <m/>
    <s v="04720@general.tbd"/>
    <n v="23100"/>
    <n v="0"/>
    <n v="186"/>
    <n v="8777"/>
    <s v="Mesa Ayuda Infraestructura"/>
    <n v="111.31444444444401"/>
    <m/>
  </r>
  <r>
    <n v="3356"/>
    <n v="0.33333333333333298"/>
    <d v="1899-12-30T00:20:00"/>
    <s v="50-Finalizado"/>
    <d v="1900-01-01T00:00:00"/>
    <x v="209"/>
    <d v="2024-07-31T00:00:00"/>
    <d v="2024-07-31T15:44:39"/>
    <x v="40"/>
    <n v="111.31444444444401"/>
    <d v="1900-01-03T15:18:52"/>
    <d v="2024-07-31T00:00:00"/>
    <d v="2024-07-31T15:44:39"/>
    <m/>
    <d v="1899-12-31T00:00:00"/>
    <d v="2024-08-05T07:03:31"/>
    <b v="1"/>
    <d v="2024-08-05T07:03:31"/>
    <d v="2024-08-20T19:15:38"/>
    <d v="2024-08-20T19:15:38"/>
    <m/>
    <s v="Compra de tarjeta de red perfil bajo para Grafipronto 10"/>
    <d v="2024-07-31T00:00:00"/>
    <s v="Compra de tarjeta de red perfil bajo para Grafipronto 10"/>
    <x v="8"/>
    <s v="Configuracion Hardware"/>
    <x v="2"/>
    <s v="Redes y Comunicaciones"/>
    <m/>
    <m/>
    <s v="CANELLA, SOCIEDAD ANONIMA"/>
    <s v="GRAFIPRONTO"/>
    <n v="3258"/>
    <n v="35"/>
    <s v="Mesa Ayuda Infraestructura"/>
    <n v="247729"/>
    <s v="OLGA MARIA DE LA CRUZ VALLADARES GUILLEN de OVALLE"/>
    <n v="186"/>
    <s v="CANELLA"/>
    <n v="1"/>
    <n v="28"/>
    <m/>
    <m/>
    <n v="1"/>
    <s v="CANELLA"/>
    <n v="186"/>
    <s v="Carlos Carias"/>
    <s v="&lt;p&gt;Compra de tarjeta de red perfil bajo para Grafipronto 10&lt;/p&gt;&lt;p&gt;Verificar el proceso del pedido&amp;nbsp;&lt;/p&gt;&lt;p&gt;&lt;br&gt;&lt;/p&gt;"/>
    <s v="normal"/>
    <s v="En proceso"/>
    <s v="Compra de tarjeta de red perfil bajo para Grafipronto 10"/>
    <n v="72"/>
    <b v="1"/>
    <n v="22657"/>
    <m/>
    <s v="04720@general.tbd"/>
    <n v="22657"/>
    <n v="0"/>
    <n v="186"/>
    <n v="8777"/>
    <s v="Mesa Ayuda Infraestructura"/>
    <n v="111.31444444444401"/>
    <m/>
  </r>
  <r>
    <n v="3328"/>
    <n v="0.33333333333333298"/>
    <d v="1899-12-30T00:20:00"/>
    <s v="50-Finalizado"/>
    <d v="1900-01-01T00:00:00"/>
    <x v="210"/>
    <d v="2024-07-30T00:00:00"/>
    <d v="2024-07-30T22:49:43"/>
    <x v="40"/>
    <n v="128.22999999999999"/>
    <d v="1900-01-04T08:13:48"/>
    <d v="2024-07-30T00:00:00"/>
    <d v="2024-07-30T22:49:43"/>
    <m/>
    <d v="1899-12-31T00:00:00"/>
    <d v="2024-08-05T07:03:31"/>
    <b v="1"/>
    <d v="2024-08-05T07:03:31"/>
    <d v="2024-08-20T19:15:38"/>
    <d v="2024-08-20T19:15:38"/>
    <m/>
    <m/>
    <d v="2024-07-30T00:00:00"/>
    <s v="Entrega de UPS"/>
    <x v="6"/>
    <s v="Configuracion Hardware"/>
    <x v="2"/>
    <s v="Desktop"/>
    <m/>
    <m/>
    <s v="CANELLA, SOCIEDAD ANONIMA"/>
    <s v="GERENCIA DE SERVICIOS/TALLER ISUZU"/>
    <n v="3230"/>
    <n v="35"/>
    <s v="Mesa Ayuda Infraestructura"/>
    <n v="247614"/>
    <s v="LEIDI PAOLA ESQUIVEL RAMIREZ"/>
    <n v="2766"/>
    <s v="CANELLA"/>
    <n v="1"/>
    <n v="21"/>
    <m/>
    <m/>
    <n v="1"/>
    <s v="CANELLA"/>
    <n v="2766"/>
    <s v="José Julajuj Chumil"/>
    <m/>
    <s v="normal"/>
    <s v="En proceso"/>
    <s v="Entrega de equipo -Paola Esquivel-"/>
    <n v="72"/>
    <b v="1"/>
    <n v="22497"/>
    <m/>
    <s v="05438@general.tbd"/>
    <n v="22498"/>
    <n v="0"/>
    <n v="2766"/>
    <n v="8777"/>
    <s v="Mesa Ayuda Infraestructura"/>
    <n v="128.22999999999999"/>
    <m/>
  </r>
  <r>
    <n v="3328"/>
    <n v="0.16666666666666599"/>
    <d v="1899-12-30T00:10:00"/>
    <s v="50-Finalizado"/>
    <d v="1900-01-01T00:00:00"/>
    <x v="210"/>
    <d v="2024-07-30T00:00:00"/>
    <d v="2024-07-30T22:49:43"/>
    <x v="40"/>
    <n v="128.22999999999999"/>
    <d v="1900-01-04T08:13:48"/>
    <d v="2024-07-30T00:00:00"/>
    <d v="2024-07-30T22:49:43"/>
    <m/>
    <d v="1899-12-31T00:00:00"/>
    <d v="2024-08-05T07:03:31"/>
    <b v="1"/>
    <d v="2024-08-05T07:03:31"/>
    <d v="2024-08-20T19:15:38"/>
    <d v="2024-08-20T19:15:38"/>
    <m/>
    <m/>
    <d v="2024-07-30T00:00:00"/>
    <s v="Entrega de equipo Destop"/>
    <x v="6"/>
    <s v="Configuracion Hardware"/>
    <x v="2"/>
    <s v="Desktop"/>
    <m/>
    <m/>
    <s v="CANELLA, SOCIEDAD ANONIMA"/>
    <s v="GERENCIA DE SERVICIOS/TALLER ISUZU"/>
    <n v="3230"/>
    <n v="35"/>
    <s v="Mesa Ayuda Infraestructura"/>
    <n v="247614"/>
    <s v="LEIDI PAOLA ESQUIVEL RAMIREZ"/>
    <n v="2766"/>
    <s v="CANELLA"/>
    <n v="1"/>
    <n v="21"/>
    <m/>
    <m/>
    <n v="1"/>
    <s v="CANELLA"/>
    <n v="2766"/>
    <s v="José Julajuj Chumil"/>
    <m/>
    <s v="normal"/>
    <s v="En proceso"/>
    <s v="Entrega de equipo -Paola Esquivel-"/>
    <n v="72"/>
    <b v="1"/>
    <n v="22497"/>
    <m/>
    <s v="05438@general.tbd"/>
    <n v="22497"/>
    <n v="0"/>
    <n v="2766"/>
    <n v="8777"/>
    <s v="Mesa Ayuda Infraestructura"/>
    <n v="128.22999999999999"/>
    <m/>
  </r>
  <r>
    <n v="3298"/>
    <n v="0.33333333333333298"/>
    <d v="1899-12-30T00:20:00"/>
    <s v="50-Finalizado"/>
    <d v="1900-01-01T00:00:00"/>
    <x v="211"/>
    <d v="2024-07-30T00:00:00"/>
    <d v="2024-07-30T18:12:05"/>
    <x v="40"/>
    <n v="132.85722222222199"/>
    <d v="1900-01-04T12:51:26"/>
    <d v="2024-07-30T00:00:00"/>
    <d v="2024-07-30T18:12:05"/>
    <m/>
    <d v="1899-12-31T00:00:00"/>
    <d v="2024-08-05T07:03:31"/>
    <b v="1"/>
    <d v="2024-08-05T07:03:31"/>
    <d v="2024-08-20T19:15:38"/>
    <d v="2024-08-20T19:15:38"/>
    <m/>
    <s v="Se procede a brindar permisos para instalación de programa de diagnóstico Yamaha. "/>
    <d v="2024-07-30T00:00:00"/>
    <s v="Se procede a brindar permisos para instalación de programa de diagnóstico Yamaha."/>
    <x v="3"/>
    <m/>
    <x v="2"/>
    <m/>
    <m/>
    <m/>
    <s v="CANELLA, SOCIEDAD ANONIMA"/>
    <s v="CENTRO DE SERVICIOS YAMAHA"/>
    <n v="3200"/>
    <n v="35"/>
    <s v="Mesa Ayuda Infraestructura"/>
    <n v="247607"/>
    <s v="EDGAR CLEMENTE MENDEZ MINA"/>
    <n v="299"/>
    <s v="CANELLA"/>
    <m/>
    <m/>
    <m/>
    <m/>
    <n v="1"/>
    <s v="CANELLA"/>
    <n v="299"/>
    <s v="Rosario Lic"/>
    <m/>
    <s v="normal"/>
    <s v="En proceso"/>
    <s v="Permisos de Administrador para instalación de aplicación para diagnostico"/>
    <n v="72"/>
    <b v="1"/>
    <s v="[22519]"/>
    <m/>
    <s v="05474@general.tbd"/>
    <n v="22519"/>
    <n v="0"/>
    <n v="299"/>
    <n v="8777"/>
    <s v="Mesa Ayuda Infraestructura"/>
    <n v="132.85722222222199"/>
    <m/>
  </r>
  <r>
    <n v="3296"/>
    <n v="0.25"/>
    <d v="1899-12-30T00:15:00"/>
    <s v="50-Finalizado"/>
    <d v="1900-01-01T00:00:00"/>
    <x v="212"/>
    <d v="2024-08-10T00:00:00"/>
    <d v="2024-07-30T17:55:43"/>
    <x v="136"/>
    <n v="264.02416666666602"/>
    <d v="1900-01-10T00:01:27"/>
    <d v="2024-07-30T00:00:00"/>
    <d v="2024-07-30T17:55:43"/>
    <m/>
    <d v="1899-12-31T00:00:00"/>
    <d v="2024-08-10T17:57:10"/>
    <b v="1"/>
    <d v="2024-08-10T17:57:10"/>
    <d v="2024-08-20T19:15:38"/>
    <d v="2024-08-20T19:15:38"/>
    <m/>
    <m/>
    <d v="2024-07-31T00:00:00"/>
    <s v="Asignación y etiquetación"/>
    <x v="6"/>
    <s v="Configuracion Software"/>
    <x v="2"/>
    <s v="Laptop"/>
    <m/>
    <m/>
    <s v="No Partner"/>
    <s v="No Partner"/>
    <n v="3198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Configuración de Laptop -Sinder Xoc-"/>
    <n v="72"/>
    <b v="1"/>
    <s v="[22654, 22512, 22493, 22489, 22461, 22417]"/>
    <m/>
    <s v="No Partner"/>
    <n v="22654"/>
    <n v="0"/>
    <n v="2766"/>
    <n v="8777"/>
    <s v="Mesa Ayuda Infraestructura"/>
    <n v="264.02416666666602"/>
    <m/>
  </r>
  <r>
    <n v="3296"/>
    <n v="0.16666666666666599"/>
    <d v="1899-12-30T00:10:00"/>
    <s v="50-Finalizado"/>
    <d v="1900-01-01T00:00:00"/>
    <x v="212"/>
    <d v="2024-08-10T00:00:00"/>
    <d v="2024-07-30T17:55:43"/>
    <x v="136"/>
    <n v="264.02416666666602"/>
    <d v="1900-01-10T00:01:27"/>
    <d v="2024-07-30T00:00:00"/>
    <d v="2024-07-30T17:55:43"/>
    <m/>
    <d v="1899-12-31T00:00:00"/>
    <d v="2024-08-10T17:57:10"/>
    <b v="1"/>
    <d v="2024-08-10T17:57:10"/>
    <d v="2024-08-20T19:15:38"/>
    <d v="2024-08-20T19:15:38"/>
    <m/>
    <m/>
    <d v="2024-07-30T00:00:00"/>
    <s v="Creación de memo"/>
    <x v="6"/>
    <s v="Configuracion Software"/>
    <x v="2"/>
    <s v="Laptop"/>
    <m/>
    <m/>
    <s v="No Partner"/>
    <s v="No Partner"/>
    <n v="3198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Configuración de Laptop -Sinder Xoc-"/>
    <n v="72"/>
    <b v="1"/>
    <s v="[22654, 22512, 22493, 22489, 22461, 22417]"/>
    <m/>
    <s v="No Partner"/>
    <n v="22512"/>
    <n v="0"/>
    <n v="2766"/>
    <n v="8777"/>
    <s v="Mesa Ayuda Infraestructura"/>
    <n v="264.02416666666602"/>
    <m/>
  </r>
  <r>
    <n v="3296"/>
    <n v="0.25"/>
    <d v="1899-12-30T00:15:00"/>
    <s v="50-Finalizado"/>
    <d v="1900-01-01T00:00:00"/>
    <x v="212"/>
    <d v="2024-08-10T00:00:00"/>
    <d v="2024-07-30T17:55:43"/>
    <x v="136"/>
    <n v="264.02416666666602"/>
    <d v="1900-01-10T00:01:27"/>
    <d v="2024-07-30T00:00:00"/>
    <d v="2024-07-30T17:55:43"/>
    <m/>
    <d v="1899-12-31T00:00:00"/>
    <d v="2024-08-10T17:57:10"/>
    <b v="1"/>
    <d v="2024-08-10T17:57:10"/>
    <d v="2024-08-20T19:15:38"/>
    <d v="2024-08-20T19:15:38"/>
    <m/>
    <m/>
    <d v="2024-07-30T00:00:00"/>
    <s v="Configuración de Correo"/>
    <x v="6"/>
    <s v="Configuracion Software"/>
    <x v="2"/>
    <s v="Laptop"/>
    <m/>
    <m/>
    <s v="No Partner"/>
    <s v="No Partner"/>
    <n v="3198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Configuración de Laptop -Sinder Xoc-"/>
    <n v="72"/>
    <b v="1"/>
    <s v="[22654, 22512, 22493, 22489, 22461, 22417]"/>
    <m/>
    <s v="No Partner"/>
    <n v="22493"/>
    <n v="0"/>
    <n v="2766"/>
    <n v="8777"/>
    <s v="Mesa Ayuda Infraestructura"/>
    <n v="264.02416666666602"/>
    <m/>
  </r>
  <r>
    <n v="3296"/>
    <n v="0.5"/>
    <d v="1899-12-30T00:30:00"/>
    <s v="50-Finalizado"/>
    <d v="1900-01-01T00:00:00"/>
    <x v="212"/>
    <d v="2024-08-10T00:00:00"/>
    <d v="2024-07-30T17:55:43"/>
    <x v="136"/>
    <n v="264.02416666666602"/>
    <d v="1900-01-10T00:01:27"/>
    <d v="2024-07-30T00:00:00"/>
    <d v="2024-07-30T17:55:43"/>
    <m/>
    <d v="1899-12-31T00:00:00"/>
    <d v="2024-08-10T17:57:10"/>
    <b v="1"/>
    <d v="2024-08-10T17:57:10"/>
    <d v="2024-08-20T19:15:38"/>
    <d v="2024-08-20T19:15:38"/>
    <m/>
    <m/>
    <d v="2024-07-30T00:00:00"/>
    <s v="Cobian y VPN"/>
    <x v="6"/>
    <s v="Configuracion Software"/>
    <x v="2"/>
    <s v="Laptop"/>
    <m/>
    <m/>
    <s v="No Partner"/>
    <s v="No Partner"/>
    <n v="3198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Configuración de Laptop -Sinder Xoc-"/>
    <n v="72"/>
    <b v="1"/>
    <s v="[22654, 22512, 22493, 22489, 22461, 22417]"/>
    <m/>
    <s v="No Partner"/>
    <n v="22489"/>
    <n v="0"/>
    <n v="2766"/>
    <n v="8777"/>
    <s v="Mesa Ayuda Infraestructura"/>
    <n v="264.02416666666602"/>
    <m/>
  </r>
  <r>
    <n v="3296"/>
    <n v="0.33333333333333298"/>
    <d v="1899-12-30T00:20:00"/>
    <s v="50-Finalizado"/>
    <d v="1900-01-01T00:00:00"/>
    <x v="212"/>
    <d v="2024-08-10T00:00:00"/>
    <d v="2024-07-30T17:55:43"/>
    <x v="136"/>
    <n v="264.02416666666602"/>
    <d v="1900-01-10T00:01:27"/>
    <d v="2024-07-30T00:00:00"/>
    <d v="2024-07-30T17:55:43"/>
    <m/>
    <d v="1899-12-31T00:00:00"/>
    <d v="2024-08-10T17:57:10"/>
    <b v="1"/>
    <d v="2024-08-10T17:57:10"/>
    <d v="2024-08-20T19:15:38"/>
    <d v="2024-08-20T19:15:38"/>
    <m/>
    <m/>
    <d v="2024-07-30T00:00:00"/>
    <s v="configuración de usuario"/>
    <x v="6"/>
    <s v="Configuracion Software"/>
    <x v="2"/>
    <s v="Laptop"/>
    <m/>
    <m/>
    <s v="No Partner"/>
    <s v="No Partner"/>
    <n v="3198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Configuración de Laptop -Sinder Xoc-"/>
    <n v="72"/>
    <b v="1"/>
    <s v="[22654, 22512, 22493, 22489, 22461, 22417]"/>
    <m/>
    <s v="No Partner"/>
    <n v="22461"/>
    <n v="0"/>
    <n v="2766"/>
    <n v="8777"/>
    <s v="Mesa Ayuda Infraestructura"/>
    <n v="264.02416666666602"/>
    <m/>
  </r>
  <r>
    <n v="3296"/>
    <n v="0.66666666666666596"/>
    <d v="1899-12-30T00:40:00"/>
    <s v="50-Finalizado"/>
    <d v="1900-01-01T00:00:00"/>
    <x v="212"/>
    <d v="2024-08-10T00:00:00"/>
    <d v="2024-07-30T17:55:43"/>
    <x v="136"/>
    <n v="264.02416666666602"/>
    <d v="1900-01-10T00:01:27"/>
    <d v="2024-07-30T00:00:00"/>
    <d v="2024-07-30T17:55:43"/>
    <m/>
    <d v="1899-12-31T00:00:00"/>
    <d v="2024-08-10T17:57:10"/>
    <b v="1"/>
    <d v="2024-08-10T17:57:10"/>
    <d v="2024-08-20T19:15:38"/>
    <d v="2024-08-20T19:15:38"/>
    <m/>
    <m/>
    <d v="2024-07-30T00:00:00"/>
    <s v="Configuración de Laptop"/>
    <x v="6"/>
    <s v="Configuracion Software"/>
    <x v="2"/>
    <s v="Laptop"/>
    <m/>
    <m/>
    <s v="No Partner"/>
    <s v="No Partner"/>
    <n v="3198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Configuración de Laptop -Sinder Xoc-"/>
    <n v="72"/>
    <b v="1"/>
    <s v="[22654, 22512, 22493, 22489, 22461, 22417]"/>
    <m/>
    <s v="No Partner"/>
    <n v="22417"/>
    <n v="0"/>
    <n v="2766"/>
    <n v="8777"/>
    <s v="Mesa Ayuda Infraestructura"/>
    <n v="264.02416666666602"/>
    <m/>
  </r>
  <r>
    <n v="3295"/>
    <n v="8.3333333333333301E-2"/>
    <d v="1899-12-30T00:05:00"/>
    <s v="50-Finalizado"/>
    <d v="1900-01-01T00:00:00"/>
    <x v="213"/>
    <d v="2024-08-10T00:00:00"/>
    <d v="2024-07-30T17:54:06"/>
    <x v="137"/>
    <n v="264.05222222222199"/>
    <d v="1900-01-10T00:03:08"/>
    <d v="2024-07-30T00:00:00"/>
    <d v="2024-07-30T17:54:06"/>
    <m/>
    <d v="1899-12-31T00:00:00"/>
    <d v="2024-08-10T17:57:14"/>
    <b v="1"/>
    <d v="2024-08-10T17:57:14"/>
    <d v="2024-08-20T19:15:38"/>
    <d v="2024-08-20T19:15:38"/>
    <m/>
    <m/>
    <d v="2024-07-31T00:00:00"/>
    <s v="Llamada para verificación de entrega"/>
    <x v="6"/>
    <s v="Configuracion Software"/>
    <x v="2"/>
    <s v="Laptop"/>
    <m/>
    <m/>
    <s v="CANELLA, SOCIEDAD ANONIMA"/>
    <s v="YAMAHA SANTA LUCIA"/>
    <n v="3197"/>
    <n v="35"/>
    <s v="Mesa Ayuda Infraestructura"/>
    <n v="247621"/>
    <s v="HECTOR ALEXANDER RAMIREZ MARROQUIN"/>
    <n v="2766"/>
    <s v="CANELLA"/>
    <n v="2"/>
    <n v="20"/>
    <m/>
    <m/>
    <n v="1"/>
    <s v="CANELLA"/>
    <n v="2766"/>
    <s v="José Julajuj Chumil"/>
    <m/>
    <s v="normal"/>
    <s v="En proceso"/>
    <s v="Configuración de Laptop -Hector Ramirez"/>
    <n v="72"/>
    <b v="1"/>
    <s v="[22668, 22655, 22515, 22494, 22491, 22460, 22416]"/>
    <m/>
    <s v="05412@general.tbd"/>
    <n v="22668"/>
    <n v="0"/>
    <n v="2766"/>
    <n v="8777"/>
    <s v="Mesa Ayuda Infraestructura"/>
    <n v="264.05222222222199"/>
    <m/>
  </r>
  <r>
    <n v="3295"/>
    <n v="0.25"/>
    <d v="1899-12-30T00:15:00"/>
    <s v="50-Finalizado"/>
    <d v="1900-01-01T00:00:00"/>
    <x v="213"/>
    <d v="2024-08-10T00:00:00"/>
    <d v="2024-07-30T17:54:06"/>
    <x v="137"/>
    <n v="264.05222222222199"/>
    <d v="1900-01-10T00:03:08"/>
    <d v="2024-07-30T00:00:00"/>
    <d v="2024-07-30T17:54:06"/>
    <m/>
    <d v="1899-12-31T00:00:00"/>
    <d v="2024-08-10T17:57:14"/>
    <b v="1"/>
    <d v="2024-08-10T17:57:14"/>
    <d v="2024-08-20T19:15:38"/>
    <d v="2024-08-20T19:15:38"/>
    <m/>
    <m/>
    <d v="2024-07-31T00:00:00"/>
    <s v="Etiquetación y asignación de equipos"/>
    <x v="6"/>
    <s v="Configuracion Software"/>
    <x v="2"/>
    <s v="Laptop"/>
    <m/>
    <m/>
    <s v="CANELLA, SOCIEDAD ANONIMA"/>
    <s v="YAMAHA SANTA LUCIA"/>
    <n v="3197"/>
    <n v="35"/>
    <s v="Mesa Ayuda Infraestructura"/>
    <n v="247621"/>
    <s v="HECTOR ALEXANDER RAMIREZ MARROQUIN"/>
    <n v="2766"/>
    <s v="CANELLA"/>
    <n v="2"/>
    <n v="20"/>
    <m/>
    <m/>
    <n v="1"/>
    <s v="CANELLA"/>
    <n v="2766"/>
    <s v="José Julajuj Chumil"/>
    <m/>
    <s v="normal"/>
    <s v="En proceso"/>
    <s v="Configuración de Laptop -Hector Ramirez"/>
    <n v="72"/>
    <b v="1"/>
    <s v="[22668, 22655, 22515, 22494, 22491, 22460, 22416]"/>
    <m/>
    <s v="05412@general.tbd"/>
    <n v="22655"/>
    <n v="0"/>
    <n v="2766"/>
    <n v="8777"/>
    <s v="Mesa Ayuda Infraestructura"/>
    <n v="264.05222222222199"/>
    <m/>
  </r>
  <r>
    <n v="3295"/>
    <n v="0.16666666666666599"/>
    <d v="1899-12-30T00:10:00"/>
    <s v="50-Finalizado"/>
    <d v="1900-01-01T00:00:00"/>
    <x v="213"/>
    <d v="2024-08-10T00:00:00"/>
    <d v="2024-07-30T17:54:06"/>
    <x v="137"/>
    <n v="264.05222222222199"/>
    <d v="1900-01-10T00:03:08"/>
    <d v="2024-07-30T00:00:00"/>
    <d v="2024-07-30T17:54:06"/>
    <m/>
    <d v="1899-12-31T00:00:00"/>
    <d v="2024-08-10T17:57:14"/>
    <b v="1"/>
    <d v="2024-08-10T17:57:14"/>
    <d v="2024-08-20T19:15:38"/>
    <d v="2024-08-20T19:15:38"/>
    <m/>
    <m/>
    <d v="2024-07-30T00:00:00"/>
    <s v="Creación de memo"/>
    <x v="6"/>
    <s v="Configuracion Software"/>
    <x v="2"/>
    <s v="Laptop"/>
    <m/>
    <m/>
    <s v="CANELLA, SOCIEDAD ANONIMA"/>
    <s v="YAMAHA SANTA LUCIA"/>
    <n v="3197"/>
    <n v="35"/>
    <s v="Mesa Ayuda Infraestructura"/>
    <n v="247621"/>
    <s v="HECTOR ALEXANDER RAMIREZ MARROQUIN"/>
    <n v="2766"/>
    <s v="CANELLA"/>
    <n v="2"/>
    <n v="20"/>
    <m/>
    <m/>
    <n v="1"/>
    <s v="CANELLA"/>
    <n v="2766"/>
    <s v="José Julajuj Chumil"/>
    <m/>
    <s v="normal"/>
    <s v="En proceso"/>
    <s v="Configuración de Laptop -Hector Ramirez"/>
    <n v="72"/>
    <b v="1"/>
    <s v="[22668, 22655, 22515, 22494, 22491, 22460, 22416]"/>
    <m/>
    <s v="05412@general.tbd"/>
    <n v="22515"/>
    <n v="0"/>
    <n v="2766"/>
    <n v="8777"/>
    <s v="Mesa Ayuda Infraestructura"/>
    <n v="264.05222222222199"/>
    <m/>
  </r>
  <r>
    <n v="3295"/>
    <n v="0.25"/>
    <d v="1899-12-30T00:15:00"/>
    <s v="50-Finalizado"/>
    <d v="1900-01-01T00:00:00"/>
    <x v="213"/>
    <d v="2024-08-10T00:00:00"/>
    <d v="2024-07-30T17:54:06"/>
    <x v="137"/>
    <n v="264.05222222222199"/>
    <d v="1900-01-10T00:03:08"/>
    <d v="2024-07-30T00:00:00"/>
    <d v="2024-07-30T17:54:06"/>
    <m/>
    <d v="1899-12-31T00:00:00"/>
    <d v="2024-08-10T17:57:14"/>
    <b v="1"/>
    <d v="2024-08-10T17:57:14"/>
    <d v="2024-08-20T19:15:38"/>
    <d v="2024-08-20T19:15:38"/>
    <m/>
    <m/>
    <d v="2024-07-30T00:00:00"/>
    <s v="Configuración de correo"/>
    <x v="6"/>
    <s v="Configuracion Software"/>
    <x v="2"/>
    <s v="Laptop"/>
    <m/>
    <m/>
    <s v="CANELLA, SOCIEDAD ANONIMA"/>
    <s v="YAMAHA SANTA LUCIA"/>
    <n v="3197"/>
    <n v="35"/>
    <s v="Mesa Ayuda Infraestructura"/>
    <n v="247621"/>
    <s v="HECTOR ALEXANDER RAMIREZ MARROQUIN"/>
    <n v="2766"/>
    <s v="CANELLA"/>
    <n v="2"/>
    <n v="20"/>
    <m/>
    <m/>
    <n v="1"/>
    <s v="CANELLA"/>
    <n v="2766"/>
    <s v="José Julajuj Chumil"/>
    <m/>
    <s v="normal"/>
    <s v="En proceso"/>
    <s v="Configuración de Laptop -Hector Ramirez"/>
    <n v="72"/>
    <b v="1"/>
    <s v="[22668, 22655, 22515, 22494, 22491, 22460, 22416]"/>
    <m/>
    <s v="05412@general.tbd"/>
    <n v="22494"/>
    <n v="0"/>
    <n v="2766"/>
    <n v="8777"/>
    <s v="Mesa Ayuda Infraestructura"/>
    <n v="264.05222222222199"/>
    <m/>
  </r>
  <r>
    <n v="3295"/>
    <n v="0.5"/>
    <d v="1899-12-30T00:30:00"/>
    <s v="50-Finalizado"/>
    <d v="1900-01-01T00:00:00"/>
    <x v="213"/>
    <d v="2024-08-10T00:00:00"/>
    <d v="2024-07-30T17:54:06"/>
    <x v="137"/>
    <n v="264.05222222222199"/>
    <d v="1900-01-10T00:03:08"/>
    <d v="2024-07-30T00:00:00"/>
    <d v="2024-07-30T17:54:06"/>
    <m/>
    <d v="1899-12-31T00:00:00"/>
    <d v="2024-08-10T17:57:14"/>
    <b v="1"/>
    <d v="2024-08-10T17:57:14"/>
    <d v="2024-08-20T19:15:38"/>
    <d v="2024-08-20T19:15:38"/>
    <m/>
    <m/>
    <d v="2024-07-30T00:00:00"/>
    <s v="Cobian y VPN"/>
    <x v="6"/>
    <s v="Configuracion Software"/>
    <x v="2"/>
    <s v="Laptop"/>
    <m/>
    <m/>
    <s v="CANELLA, SOCIEDAD ANONIMA"/>
    <s v="YAMAHA SANTA LUCIA"/>
    <n v="3197"/>
    <n v="35"/>
    <s v="Mesa Ayuda Infraestructura"/>
    <n v="247621"/>
    <s v="HECTOR ALEXANDER RAMIREZ MARROQUIN"/>
    <n v="2766"/>
    <s v="CANELLA"/>
    <n v="2"/>
    <n v="20"/>
    <m/>
    <m/>
    <n v="1"/>
    <s v="CANELLA"/>
    <n v="2766"/>
    <s v="José Julajuj Chumil"/>
    <m/>
    <s v="normal"/>
    <s v="En proceso"/>
    <s v="Configuración de Laptop -Hector Ramirez"/>
    <n v="72"/>
    <b v="1"/>
    <s v="[22668, 22655, 22515, 22494, 22491, 22460, 22416]"/>
    <m/>
    <s v="05412@general.tbd"/>
    <n v="22491"/>
    <n v="0"/>
    <n v="2766"/>
    <n v="8777"/>
    <s v="Mesa Ayuda Infraestructura"/>
    <n v="264.05222222222199"/>
    <m/>
  </r>
  <r>
    <n v="3295"/>
    <n v="0.5"/>
    <d v="1899-12-30T00:30:00"/>
    <s v="50-Finalizado"/>
    <d v="1900-01-01T00:00:00"/>
    <x v="213"/>
    <d v="2024-08-10T00:00:00"/>
    <d v="2024-07-30T17:54:06"/>
    <x v="137"/>
    <n v="264.05222222222199"/>
    <d v="1900-01-10T00:03:08"/>
    <d v="2024-07-30T00:00:00"/>
    <d v="2024-07-30T17:54:06"/>
    <m/>
    <d v="1899-12-31T00:00:00"/>
    <d v="2024-08-10T17:57:14"/>
    <b v="1"/>
    <d v="2024-08-10T17:57:14"/>
    <d v="2024-08-20T19:15:38"/>
    <d v="2024-08-20T19:15:38"/>
    <m/>
    <m/>
    <d v="2024-07-30T00:00:00"/>
    <s v="configuración de usuario"/>
    <x v="6"/>
    <s v="Configuracion Software"/>
    <x v="2"/>
    <s v="Laptop"/>
    <m/>
    <m/>
    <s v="CANELLA, SOCIEDAD ANONIMA"/>
    <s v="YAMAHA SANTA LUCIA"/>
    <n v="3197"/>
    <n v="35"/>
    <s v="Mesa Ayuda Infraestructura"/>
    <n v="247621"/>
    <s v="HECTOR ALEXANDER RAMIREZ MARROQUIN"/>
    <n v="2766"/>
    <s v="CANELLA"/>
    <n v="2"/>
    <n v="20"/>
    <m/>
    <m/>
    <n v="1"/>
    <s v="CANELLA"/>
    <n v="2766"/>
    <s v="José Julajuj Chumil"/>
    <m/>
    <s v="normal"/>
    <s v="En proceso"/>
    <s v="Configuración de Laptop -Hector Ramirez"/>
    <n v="72"/>
    <b v="1"/>
    <s v="[22668, 22655, 22515, 22494, 22491, 22460, 22416]"/>
    <m/>
    <s v="05412@general.tbd"/>
    <n v="22460"/>
    <n v="0"/>
    <n v="2766"/>
    <n v="8777"/>
    <s v="Mesa Ayuda Infraestructura"/>
    <n v="264.05222222222199"/>
    <m/>
  </r>
  <r>
    <n v="3295"/>
    <n v="0.75"/>
    <d v="1899-12-30T00:45:00"/>
    <s v="50-Finalizado"/>
    <d v="1900-01-01T00:00:00"/>
    <x v="213"/>
    <d v="2024-08-10T00:00:00"/>
    <d v="2024-07-30T17:54:06"/>
    <x v="137"/>
    <n v="264.05222222222199"/>
    <d v="1900-01-10T00:03:08"/>
    <d v="2024-07-30T00:00:00"/>
    <d v="2024-07-30T17:54:06"/>
    <m/>
    <d v="1899-12-31T00:00:00"/>
    <d v="2024-08-10T17:57:14"/>
    <b v="1"/>
    <d v="2024-08-10T17:57:14"/>
    <d v="2024-08-20T19:15:38"/>
    <d v="2024-08-20T19:15:38"/>
    <m/>
    <m/>
    <d v="2024-07-30T00:00:00"/>
    <s v="Configuración+ de Laptop"/>
    <x v="6"/>
    <s v="Configuracion Software"/>
    <x v="2"/>
    <s v="Laptop"/>
    <m/>
    <m/>
    <s v="CANELLA, SOCIEDAD ANONIMA"/>
    <s v="YAMAHA SANTA LUCIA"/>
    <n v="3197"/>
    <n v="35"/>
    <s v="Mesa Ayuda Infraestructura"/>
    <n v="247621"/>
    <s v="HECTOR ALEXANDER RAMIREZ MARROQUIN"/>
    <n v="2766"/>
    <s v="CANELLA"/>
    <n v="2"/>
    <n v="20"/>
    <m/>
    <m/>
    <n v="1"/>
    <s v="CANELLA"/>
    <n v="2766"/>
    <s v="José Julajuj Chumil"/>
    <m/>
    <s v="normal"/>
    <s v="En proceso"/>
    <s v="Configuración de Laptop -Hector Ramirez"/>
    <n v="72"/>
    <b v="1"/>
    <s v="[22668, 22655, 22515, 22494, 22491, 22460, 22416]"/>
    <m/>
    <s v="05412@general.tbd"/>
    <n v="22416"/>
    <n v="0"/>
    <n v="2766"/>
    <n v="8777"/>
    <s v="Mesa Ayuda Infraestructura"/>
    <n v="264.05222222222199"/>
    <m/>
  </r>
  <r>
    <n v="3292"/>
    <n v="0.16666666666666599"/>
    <d v="1899-12-30T00:10:00"/>
    <s v="50-Finalizado"/>
    <d v="1900-01-01T00:00:00"/>
    <x v="214"/>
    <d v="2024-08-11T00:00:00"/>
    <d v="2024-07-30T17:29:19"/>
    <x v="36"/>
    <n v="271.53194444444398"/>
    <d v="1900-01-10T07:31:55"/>
    <d v="2024-07-30T00:00:00"/>
    <d v="2024-07-30T17:29:19"/>
    <m/>
    <d v="1899-12-31T00:00:00"/>
    <d v="2024-08-11T01:01:14"/>
    <b v="1"/>
    <d v="2024-08-11T01:01:14"/>
    <d v="2024-08-20T19:15:38"/>
    <d v="2024-08-20T19:15:38"/>
    <m/>
    <m/>
    <d v="2024-08-01T00:00:00"/>
    <s v="Envío de correo para seguimiento al proyecto"/>
    <x v="10"/>
    <s v="Configuracion Hardware"/>
    <x v="2"/>
    <s v="Redes y Comunicaciones"/>
    <s v="Telefonia / Datos"/>
    <m/>
    <s v="No Partner"/>
    <s v="No Partner"/>
    <n v="3194"/>
    <n v="35"/>
    <s v="Mesa Ayuda Infraestructura"/>
    <m/>
    <m/>
    <n v="248"/>
    <s v="CANELLA"/>
    <n v="1"/>
    <n v="28"/>
    <n v="25"/>
    <m/>
    <n v="1"/>
    <s v="CANELLA"/>
    <n v="248"/>
    <s v="Juan Carlos Barillas"/>
    <m/>
    <s v="normal"/>
    <s v="En proceso"/>
    <s v="Proyecto Wifi Taller zona 13"/>
    <n v="72"/>
    <b v="1"/>
    <n v="22412"/>
    <m/>
    <s v="No Partner"/>
    <n v="23132"/>
    <n v="0"/>
    <n v="248"/>
    <n v="8777"/>
    <s v="Mesa Ayuda Infraestructura"/>
    <n v="271.53194444444398"/>
    <m/>
  </r>
  <r>
    <n v="3292"/>
    <n v="0.16666666666666599"/>
    <d v="1899-12-30T00:10:00"/>
    <s v="50-Finalizado"/>
    <d v="1900-01-01T00:00:00"/>
    <x v="214"/>
    <d v="2024-08-11T00:00:00"/>
    <d v="2024-07-30T17:29:19"/>
    <x v="36"/>
    <n v="271.53194444444398"/>
    <d v="1900-01-10T07:31:55"/>
    <d v="2024-07-30T00:00:00"/>
    <d v="2024-07-30T17:29:19"/>
    <m/>
    <d v="1899-12-31T00:00:00"/>
    <d v="2024-08-11T01:01:14"/>
    <b v="1"/>
    <d v="2024-08-11T01:01:14"/>
    <d v="2024-08-20T19:15:38"/>
    <d v="2024-08-20T19:15:38"/>
    <m/>
    <m/>
    <d v="2024-07-30T00:00:00"/>
    <s v="Cotización puntos de red para wifi taller zona 13"/>
    <x v="10"/>
    <s v="Configuracion Hardware"/>
    <x v="2"/>
    <s v="Redes y Comunicaciones"/>
    <s v="Telefonia / Datos"/>
    <m/>
    <s v="No Partner"/>
    <s v="No Partner"/>
    <n v="3194"/>
    <n v="35"/>
    <s v="Mesa Ayuda Infraestructura"/>
    <m/>
    <m/>
    <n v="248"/>
    <s v="CANELLA"/>
    <n v="1"/>
    <n v="28"/>
    <n v="25"/>
    <m/>
    <n v="1"/>
    <s v="CANELLA"/>
    <n v="248"/>
    <s v="Juan Carlos Barillas"/>
    <m/>
    <s v="normal"/>
    <s v="En proceso"/>
    <s v="Proyecto Wifi Taller zona 13"/>
    <n v="72"/>
    <b v="1"/>
    <n v="22412"/>
    <m/>
    <s v="No Partner"/>
    <n v="22412"/>
    <n v="0"/>
    <n v="248"/>
    <n v="8777"/>
    <s v="Mesa Ayuda Infraestructura"/>
    <n v="271.53194444444398"/>
    <m/>
  </r>
  <r>
    <n v="3288"/>
    <n v="1.5"/>
    <d v="1899-12-30T01:30:00"/>
    <s v="50-Finalizado"/>
    <d v="1900-01-01T00:00:00"/>
    <x v="215"/>
    <d v="2024-07-30T00:00:00"/>
    <d v="2024-07-30T16:27:20"/>
    <x v="40"/>
    <n v="134.60305555555499"/>
    <d v="1900-01-04T14:36:11"/>
    <d v="2024-07-30T00:00:00"/>
    <d v="2024-07-30T16:27:20"/>
    <m/>
    <d v="1899-12-31T00:00:00"/>
    <d v="2024-08-05T07:03:31"/>
    <b v="1"/>
    <d v="2024-08-05T07:03:31"/>
    <d v="2024-08-20T19:15:38"/>
    <d v="2024-08-20T19:15:38"/>
    <m/>
    <m/>
    <d v="2024-07-30T00:00:00"/>
    <s v="Correo no vinculado"/>
    <x v="6"/>
    <s v="Configuracion Software"/>
    <x v="2"/>
    <s v="Office 365"/>
    <m/>
    <m/>
    <s v="CANELLA, SOCIEDAD ANONIMA"/>
    <s v="UNIDAD DE SOLUCIONES DIGITALES"/>
    <n v="3190"/>
    <n v="35"/>
    <s v="Mesa Ayuda Infraestructura"/>
    <n v="247751"/>
    <s v="ABRAHAN HENRY FRANCISCO ESTRADA CIFUENTES"/>
    <n v="2766"/>
    <s v="CANELLA"/>
    <n v="2"/>
    <n v="7"/>
    <m/>
    <m/>
    <n v="1"/>
    <s v="CANELLA"/>
    <n v="2766"/>
    <s v="José Julajuj Chumil"/>
    <s v="&lt;p&gt;Desinstalar office 365 ------- ok&lt;/p&gt;&lt;p&gt;instalar office 2016----------ok&lt;/p&gt;&lt;p&gt;Configurar correo con Office 2016--------ok&lt;/p&gt;&lt;p&gt;Pruebas de correo------------------ok&lt;/p&gt;&lt;p&gt;Desinstalar office 2016----------ok&lt;/p&gt;&lt;p&gt;instalar office&amp;nbsp;365--------ok&lt;/p&gt;&lt;p&gt;Configurar correo con office 365-----------------------------ok&lt;/p&gt;&lt;p&gt;Iniciar sesión en todas las aplicaciones---------------------------ok&lt;/p&gt;&lt;p&gt;Pruebas con el correo------------------------------------ok&lt;/p&gt;&lt;p&gt;&lt;br&gt;&lt;/p&gt;&lt;p&gt;&lt;br&gt;&lt;/p&gt;"/>
    <s v="normal"/>
    <s v="En proceso"/>
    <s v="Problemas de correo -Jessica Ajcuc-"/>
    <n v="72"/>
    <b v="1"/>
    <s v="[22400]"/>
    <m/>
    <s v="04545@general.tbd"/>
    <n v="22400"/>
    <n v="0"/>
    <n v="2766"/>
    <n v="8777"/>
    <s v="Mesa Ayuda Infraestructura"/>
    <n v="134.60305555555499"/>
    <m/>
  </r>
  <r>
    <n v="3283"/>
    <n v="2"/>
    <d v="1899-12-30T02:00:00"/>
    <s v="50-Finalizado"/>
    <d v="1900-01-01T00:00:00"/>
    <x v="216"/>
    <d v="2024-07-30T00:00:00"/>
    <d v="2024-07-30T15:32:27"/>
    <x v="40"/>
    <n v="135.51777777777701"/>
    <d v="1900-01-04T15:31:04"/>
    <d v="2024-07-30T00:00:00"/>
    <d v="2024-07-30T15:32:27"/>
    <m/>
    <d v="1899-12-31T00:00:00"/>
    <d v="2024-08-05T07:03:31"/>
    <b v="1"/>
    <d v="2024-08-05T07:03:31"/>
    <d v="2024-08-20T19:15:38"/>
    <d v="2024-08-20T19:15:38"/>
    <m/>
    <s v="Se procede a realizar reporte de gasto por las compras realizadas en el transcurso del año de Licencias de Power Bi, según solicitud de Paola Esquivel."/>
    <d v="2024-07-30T00:00:00"/>
    <s v="Se procede a realizar reporte de gasto por las compras realizadas en el transcurso del año de Licencias de Power Bi, según solicitud de Paola Esquivel."/>
    <x v="3"/>
    <m/>
    <x v="2"/>
    <m/>
    <m/>
    <m/>
    <s v="MANTENIMIENTO AUTOMOTRIZ, SOCIEDAD ANONIMA"/>
    <s v="GERENCIA GENERAL, MAUTO, S. A."/>
    <n v="3185"/>
    <n v="35"/>
    <s v="Mesa Ayuda Infraestructura"/>
    <n v="247828"/>
    <s v="DOUGLAS ALEJANDRO MALDONADO DUMAS"/>
    <n v="299"/>
    <s v="CANELLA"/>
    <m/>
    <m/>
    <m/>
    <m/>
    <n v="1"/>
    <s v="CANELLA"/>
    <n v="299"/>
    <s v="Rosario Lic"/>
    <m/>
    <s v="normal"/>
    <s v="En proceso"/>
    <s v="Reporte de compra de licencias de Power Bi"/>
    <n v="72"/>
    <b v="1"/>
    <s v="[22386]"/>
    <m/>
    <s v="03873@general.tbd"/>
    <n v="22386"/>
    <n v="0"/>
    <n v="299"/>
    <n v="8777"/>
    <s v="Mesa Ayuda Infraestructura"/>
    <n v="135.51777777777701"/>
    <m/>
  </r>
  <r>
    <n v="3267"/>
    <n v="0.83333333333333304"/>
    <d v="1899-12-30T00:50:00"/>
    <s v="50-Finalizado"/>
    <d v="1900-01-01T00:00:00"/>
    <x v="217"/>
    <d v="2024-07-30T00:00:00"/>
    <d v="2024-07-30T15:05:13"/>
    <x v="40"/>
    <n v="135.97166666666601"/>
    <d v="1900-01-04T15:58:18"/>
    <d v="2024-07-30T00:00:00"/>
    <d v="2024-07-30T15:05:13"/>
    <m/>
    <d v="1899-12-31T00:00:00"/>
    <d v="2024-08-05T07:03:31"/>
    <b v="1"/>
    <d v="2024-08-05T07:03:31"/>
    <d v="2024-08-20T19:15:38"/>
    <d v="2024-08-20T19:15:38"/>
    <s v="Resuelto"/>
    <m/>
    <d v="2024-07-30T00:00:00"/>
    <s v="Activación de Office"/>
    <x v="6"/>
    <s v="Configuracion Software"/>
    <x v="2"/>
    <s v="Office 365"/>
    <m/>
    <m/>
    <s v="CANELLA, SOCIEDAD ANONIMA"/>
    <s v="ENSAMBLE YAMAHA"/>
    <n v="3169"/>
    <n v="35"/>
    <s v="Mesa Ayuda Infraestructura"/>
    <n v="247421"/>
    <s v="EMMANUEL NAJARRO BARILLAS"/>
    <n v="2766"/>
    <s v="CANELLA"/>
    <n v="2"/>
    <n v="7"/>
    <m/>
    <m/>
    <n v="1"/>
    <s v="CANELLA"/>
    <n v="2766"/>
    <s v="José Julajuj Chumil"/>
    <m/>
    <s v="normal"/>
    <s v="En proceso"/>
    <s v="Activacion de Office - Javier Barillas-"/>
    <n v="72"/>
    <b v="1"/>
    <s v="[22369]"/>
    <n v="2"/>
    <s v="05990@general.tbd"/>
    <n v="22369"/>
    <n v="0"/>
    <n v="2766"/>
    <n v="8777"/>
    <s v="Mesa Ayuda Infraestructura"/>
    <n v="135.97166666666601"/>
    <m/>
  </r>
  <r>
    <n v="3256"/>
    <n v="0.5"/>
    <d v="1899-12-30T00:30:00"/>
    <s v="50-Finalizado"/>
    <d v="1900-01-01T00:00:00"/>
    <x v="218"/>
    <d v="2024-08-11T00:00:00"/>
    <d v="2024-07-29T23:58:45"/>
    <x v="36"/>
    <n v="289.04138888888798"/>
    <d v="1900-01-11T01:02:29"/>
    <d v="2024-07-29T00:00:00"/>
    <d v="2024-07-29T23:58:45"/>
    <m/>
    <d v="1899-12-31T00:00:00"/>
    <d v="2024-08-11T01:01:14"/>
    <b v="1"/>
    <d v="2024-08-11T01:01:14"/>
    <d v="2024-08-20T19:15:38"/>
    <d v="2024-08-20T19:15:38"/>
    <m/>
    <m/>
    <d v="2024-07-29T00:00:00"/>
    <s v="Se procede a verificar la información para la confirmacion de la actualizacion"/>
    <x v="3"/>
    <m/>
    <x v="2"/>
    <m/>
    <m/>
    <m/>
    <s v="CANELLA, SOCIEDAD ANONIMA"/>
    <s v="INFORMATICA"/>
    <n v="3158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Actualización de extensiones"/>
    <n v="72"/>
    <b v="1"/>
    <s v="[22282]"/>
    <m/>
    <s v="04025@general.tbd"/>
    <n v="22282"/>
    <n v="0"/>
    <n v="299"/>
    <n v="8777"/>
    <s v="Mesa Ayuda Infraestructura"/>
    <n v="289.04138888888798"/>
    <m/>
  </r>
  <r>
    <n v="3255"/>
    <n v="0.5"/>
    <d v="1899-12-30T00:30:00"/>
    <s v="50-Finalizado"/>
    <d v="1900-01-01T00:00:00"/>
    <x v="219"/>
    <d v="2024-07-29T00:00:00"/>
    <d v="2024-07-29T23:44:28"/>
    <x v="40"/>
    <n v="151.3175"/>
    <d v="1900-01-05T07:19:03"/>
    <d v="2024-07-29T00:00:00"/>
    <d v="2024-07-29T23:44:28"/>
    <m/>
    <d v="1899-12-31T00:00:00"/>
    <d v="2024-08-05T07:03:31"/>
    <b v="1"/>
    <d v="2024-08-05T07:03:31"/>
    <d v="2024-08-20T19:15:38"/>
    <d v="2024-08-20T19:15:38"/>
    <m/>
    <m/>
    <d v="2024-07-29T00:00:00"/>
    <s v="Revisión de Data Center en 3er Nivel"/>
    <x v="8"/>
    <s v="Configuracion Software"/>
    <x v="2"/>
    <s v="Redes y Comunicaciones"/>
    <m/>
    <m/>
    <s v="CANELLA, SOCIEDAD ANONIMA"/>
    <s v="INFORMATICA"/>
    <n v="3157"/>
    <n v="35"/>
    <s v="Mesa Ayuda Infraestructura"/>
    <n v="247813"/>
    <s v="OSCAR RAUL HERNANDEZ REYNA"/>
    <n v="186"/>
    <s v="CANELLA"/>
    <n v="2"/>
    <n v="28"/>
    <m/>
    <m/>
    <n v="1"/>
    <s v="CANELLA"/>
    <n v="186"/>
    <s v="Carlos Carias"/>
    <s v="&lt;p&gt;Revisión de Data Center en 3er Nivel &lt;/p&gt;"/>
    <s v="normal"/>
    <s v="En proceso"/>
    <s v="Revisión de Data Center en 3er Nivel"/>
    <n v="72"/>
    <b v="1"/>
    <s v="[22247]"/>
    <m/>
    <s v="04025@general.tbd"/>
    <n v="22247"/>
    <n v="0"/>
    <n v="186"/>
    <n v="8777"/>
    <s v="Mesa Ayuda Infraestructura"/>
    <n v="151.3175"/>
    <m/>
  </r>
  <r>
    <n v="3251"/>
    <n v="0.5"/>
    <d v="1899-12-30T00:30:00"/>
    <s v="50-Finalizado"/>
    <d v="1900-01-01T00:00:00"/>
    <x v="220"/>
    <d v="2024-07-29T00:00:00"/>
    <d v="2024-07-29T23:36:23"/>
    <x v="40"/>
    <n v="151.45222222222199"/>
    <d v="1900-01-05T07:27:08"/>
    <d v="2024-07-29T00:00:00"/>
    <d v="2024-07-29T23:36:23"/>
    <m/>
    <d v="1899-12-31T00:00:00"/>
    <d v="2024-08-05T07:03:31"/>
    <b v="1"/>
    <d v="2024-08-05T07:03:31"/>
    <d v="2024-08-20T19:15:38"/>
    <d v="2024-08-20T19:15:38"/>
    <m/>
    <m/>
    <d v="2024-07-29T00:00:00"/>
    <s v="Entrega de equipo"/>
    <x v="6"/>
    <s v="Configuracion Hardware"/>
    <x v="2"/>
    <s v="Laptop"/>
    <m/>
    <m/>
    <s v="INVERSIONES QATAR, SOCIEDAD ANONIMA"/>
    <s v="RECURSOS HUMANOS CANELLA"/>
    <n v="3153"/>
    <n v="35"/>
    <s v="Mesa Ayuda Infraestructura"/>
    <n v="246923"/>
    <s v="LILIAN LIZETH DIAZ SALAZAR"/>
    <n v="2766"/>
    <s v="CANELLA"/>
    <n v="1"/>
    <n v="20"/>
    <m/>
    <m/>
    <n v="1"/>
    <s v="CANELLA"/>
    <n v="2766"/>
    <s v="José Julajuj Chumil"/>
    <m/>
    <s v="normal"/>
    <s v="En proceso"/>
    <s v="Entrega de equipo Lilian Diaz"/>
    <n v="72"/>
    <b v="1"/>
    <s v="[22235]"/>
    <m/>
    <s v="06768@general.tbd"/>
    <n v="22235"/>
    <n v="0"/>
    <n v="2766"/>
    <n v="8777"/>
    <s v="Mesa Ayuda Infraestructura"/>
    <n v="151.45222222222199"/>
    <m/>
  </r>
  <r>
    <n v="3241"/>
    <n v="0.5"/>
    <d v="1899-12-30T00:30:00"/>
    <s v="50-Finalizado"/>
    <d v="1900-01-01T00:00:00"/>
    <x v="221"/>
    <d v="2024-07-29T00:00:00"/>
    <d v="2024-07-29T22:00:25"/>
    <x v="40"/>
    <n v="153.05166666666599"/>
    <d v="1900-01-05T09:03:06"/>
    <d v="2024-07-29T00:00:00"/>
    <d v="2024-07-29T22:00:25"/>
    <m/>
    <d v="1899-12-31T00:00:00"/>
    <d v="2024-08-05T07:03:31"/>
    <b v="1"/>
    <d v="2024-08-05T07:03:31"/>
    <d v="2024-08-20T19:15:38"/>
    <d v="2024-08-20T19:15:38"/>
    <m/>
    <m/>
    <d v="2024-07-29T00:00:00"/>
    <s v="Problemas de Visio"/>
    <x v="6"/>
    <s v="Configuracion Software"/>
    <x v="2"/>
    <s v="Laptop"/>
    <m/>
    <m/>
    <s v="CANELLA, SOCIEDAD ANONIMA"/>
    <s v="GERENCIA ADMINISTRATIVA/SERVICIOS TI CORPORATIVOS"/>
    <n v="3143"/>
    <n v="35"/>
    <s v="Mesa Ayuda Infraestructura"/>
    <n v="247471"/>
    <s v="SANDRA MARIAM RODRIGUEZ MOLINA"/>
    <n v="2766"/>
    <s v="CANELLA"/>
    <n v="2"/>
    <n v="20"/>
    <m/>
    <m/>
    <n v="1"/>
    <s v="CANELLA"/>
    <n v="2766"/>
    <s v="José Julajuj Chumil"/>
    <m/>
    <s v="normal"/>
    <s v="En proceso"/>
    <s v="Instalación de Visio"/>
    <n v="72"/>
    <b v="1"/>
    <s v="[22193]"/>
    <m/>
    <s v="05881@general.tbd"/>
    <n v="22193"/>
    <n v="0"/>
    <n v="2766"/>
    <n v="8777"/>
    <s v="Mesa Ayuda Infraestructura"/>
    <n v="153.05166666666599"/>
    <m/>
  </r>
  <r>
    <n v="3223"/>
    <n v="0.25"/>
    <d v="1899-12-30T00:15:00"/>
    <s v="50-Finalizado"/>
    <d v="1900-01-01T00:00:00"/>
    <x v="222"/>
    <d v="2024-08-19T00:00:00"/>
    <d v="2024-07-29T18:20:10"/>
    <x v="21"/>
    <n v="486.67861111111102"/>
    <d v="1900-01-19T06:40:43"/>
    <d v="2024-07-29T00:00:00"/>
    <d v="2024-07-29T18:20:10"/>
    <m/>
    <d v="1899-12-31T00:00:00"/>
    <d v="2024-08-19T01:00:53"/>
    <m/>
    <d v="1899-12-31T00:00:00"/>
    <d v="2024-08-20T19:15:38"/>
    <d v="2024-08-20T19:15:38"/>
    <m/>
    <m/>
    <d v="2024-08-09T00:00:00"/>
    <s v="Solicitud de autorización compra 6 teléfonos a Ing. Hernandez"/>
    <x v="10"/>
    <s v="Configuracion Hardware"/>
    <x v="2"/>
    <s v="Redes y Comunicaciones"/>
    <s v="Telefonia / Datos"/>
    <m/>
    <s v="CANELLA, SOCIEDAD ANONIMA"/>
    <s v="CANAL DIRECTO"/>
    <n v="3125"/>
    <n v="35"/>
    <s v="Mesa Ayuda Infraestructura"/>
    <n v="247759"/>
    <s v="DAVID JOSUE FLORES SEQUEIDA"/>
    <n v="248"/>
    <s v="CANELLA"/>
    <n v="1"/>
    <n v="28"/>
    <n v="25"/>
    <m/>
    <n v="1"/>
    <s v="CANELLA"/>
    <n v="248"/>
    <s v="Juan Carlos Barillas"/>
    <s v="&lt;p&gt;Compra teléfonos IP para extensiones telefónicas nuevas agencias&lt;/p&gt;"/>
    <s v="normal"/>
    <s v="En proceso"/>
    <s v="Compra telefonos IP para extensiones telefónicas nuevas agencias"/>
    <n v="72"/>
    <b v="1"/>
    <s v="[25463, 25022, 24647, 23091, 22142, 22141]"/>
    <m/>
    <s v="04505@general.tbd"/>
    <n v="25463"/>
    <n v="0"/>
    <n v="248"/>
    <n v="8777"/>
    <s v="Mesa Ayuda Infraestructura"/>
    <n v="486.67861111111102"/>
    <m/>
  </r>
  <r>
    <n v="3223"/>
    <n v="0.25"/>
    <d v="1899-12-30T00:15:00"/>
    <s v="50-Finalizado"/>
    <d v="1900-01-01T00:00:00"/>
    <x v="222"/>
    <d v="2024-08-19T00:00:00"/>
    <d v="2024-07-29T18:20:10"/>
    <x v="21"/>
    <n v="486.67861111111102"/>
    <d v="1900-01-19T06:40:43"/>
    <d v="2024-07-29T00:00:00"/>
    <d v="2024-07-29T18:20:10"/>
    <m/>
    <d v="1899-12-31T00:00:00"/>
    <d v="2024-08-19T01:00:53"/>
    <m/>
    <d v="1899-12-31T00:00:00"/>
    <d v="2024-08-20T19:15:38"/>
    <d v="2024-08-20T19:15:38"/>
    <m/>
    <m/>
    <d v="2024-08-07T00:00:00"/>
    <s v="Recordatorio de cotización teléfonos a Eddy"/>
    <x v="10"/>
    <s v="Configuracion Hardware"/>
    <x v="2"/>
    <s v="Redes y Comunicaciones"/>
    <s v="Telefonia / Datos"/>
    <m/>
    <s v="CANELLA, SOCIEDAD ANONIMA"/>
    <s v="CANAL DIRECTO"/>
    <n v="3125"/>
    <n v="35"/>
    <s v="Mesa Ayuda Infraestructura"/>
    <n v="247759"/>
    <s v="DAVID JOSUE FLORES SEQUEIDA"/>
    <n v="248"/>
    <s v="CANELLA"/>
    <n v="1"/>
    <n v="28"/>
    <n v="25"/>
    <m/>
    <n v="1"/>
    <s v="CANELLA"/>
    <n v="248"/>
    <s v="Juan Carlos Barillas"/>
    <s v="&lt;p&gt;Compra teléfonos IP para extensiones telefónicas nuevas agencias&lt;/p&gt;"/>
    <s v="normal"/>
    <s v="En proceso"/>
    <s v="Compra telefonos IP para extensiones telefónicas nuevas agencias"/>
    <n v="72"/>
    <b v="1"/>
    <s v="[25463, 25022, 24647, 23091, 22142, 22141]"/>
    <m/>
    <s v="04505@general.tbd"/>
    <n v="25022"/>
    <n v="0"/>
    <n v="248"/>
    <n v="8777"/>
    <s v="Mesa Ayuda Infraestructura"/>
    <n v="486.67861111111102"/>
    <m/>
  </r>
  <r>
    <n v="3223"/>
    <n v="1.25"/>
    <d v="1899-12-30T01:15:00"/>
    <s v="50-Finalizado"/>
    <d v="1900-01-01T00:00:00"/>
    <x v="222"/>
    <d v="2024-08-19T00:00:00"/>
    <d v="2024-07-29T18:20:10"/>
    <x v="21"/>
    <n v="486.67861111111102"/>
    <d v="1900-01-19T06:40:43"/>
    <d v="2024-07-29T00:00:00"/>
    <d v="2024-07-29T18:20:10"/>
    <m/>
    <d v="1899-12-31T00:00:00"/>
    <d v="2024-08-19T01:00:53"/>
    <m/>
    <d v="1899-12-31T00:00:00"/>
    <d v="2024-08-20T19:15:38"/>
    <d v="2024-08-20T19:15:38"/>
    <m/>
    <m/>
    <d v="2024-08-06T00:00:00"/>
    <s v="Reunión con Eddy Alcatel para evaluar conectividad forti-alcatel y compra de telefonos"/>
    <x v="10"/>
    <s v="Configuracion Hardware"/>
    <x v="2"/>
    <s v="Redes y Comunicaciones"/>
    <s v="Telefonia / Datos"/>
    <m/>
    <s v="CANELLA, SOCIEDAD ANONIMA"/>
    <s v="CANAL DIRECTO"/>
    <n v="3125"/>
    <n v="35"/>
    <s v="Mesa Ayuda Infraestructura"/>
    <n v="247759"/>
    <s v="DAVID JOSUE FLORES SEQUEIDA"/>
    <n v="248"/>
    <s v="CANELLA"/>
    <n v="1"/>
    <n v="28"/>
    <n v="25"/>
    <m/>
    <n v="1"/>
    <s v="CANELLA"/>
    <n v="248"/>
    <s v="Juan Carlos Barillas"/>
    <s v="&lt;p&gt;Compra teléfonos IP para extensiones telefónicas nuevas agencias&lt;/p&gt;"/>
    <s v="normal"/>
    <s v="En proceso"/>
    <s v="Compra telefonos IP para extensiones telefónicas nuevas agencias"/>
    <n v="72"/>
    <b v="1"/>
    <s v="[25463, 25022, 24647, 23091, 22142, 22141]"/>
    <m/>
    <s v="04505@general.tbd"/>
    <n v="24647"/>
    <n v="0"/>
    <n v="248"/>
    <n v="8777"/>
    <s v="Mesa Ayuda Infraestructura"/>
    <n v="486.67861111111102"/>
    <m/>
  </r>
  <r>
    <n v="3223"/>
    <n v="0.33333333333333298"/>
    <d v="1899-12-30T00:20:00"/>
    <s v="50-Finalizado"/>
    <d v="1900-01-01T00:00:00"/>
    <x v="222"/>
    <d v="2024-08-19T00:00:00"/>
    <d v="2024-07-29T18:20:10"/>
    <x v="21"/>
    <n v="486.67861111111102"/>
    <d v="1900-01-19T06:40:43"/>
    <d v="2024-07-29T00:00:00"/>
    <d v="2024-07-29T18:20:10"/>
    <m/>
    <d v="1899-12-31T00:00:00"/>
    <d v="2024-08-19T01:00:53"/>
    <m/>
    <d v="1899-12-31T00:00:00"/>
    <d v="2024-08-20T19:15:38"/>
    <d v="2024-08-20T19:15:38"/>
    <m/>
    <m/>
    <d v="2024-08-01T00:00:00"/>
    <s v="Se está negociando con proveedor precios ya que están muy elevados"/>
    <x v="10"/>
    <s v="Configuracion Hardware"/>
    <x v="2"/>
    <s v="Redes y Comunicaciones"/>
    <s v="Telefonia / Datos"/>
    <m/>
    <s v="CANELLA, SOCIEDAD ANONIMA"/>
    <s v="CANAL DIRECTO"/>
    <n v="3125"/>
    <n v="35"/>
    <s v="Mesa Ayuda Infraestructura"/>
    <n v="247759"/>
    <s v="DAVID JOSUE FLORES SEQUEIDA"/>
    <n v="248"/>
    <s v="CANELLA"/>
    <n v="1"/>
    <n v="28"/>
    <n v="25"/>
    <m/>
    <n v="1"/>
    <s v="CANELLA"/>
    <n v="248"/>
    <s v="Juan Carlos Barillas"/>
    <s v="&lt;p&gt;Compra teléfonos IP para extensiones telefónicas nuevas agencias&lt;/p&gt;"/>
    <s v="normal"/>
    <s v="En proceso"/>
    <s v="Compra telefonos IP para extensiones telefónicas nuevas agencias"/>
    <n v="72"/>
    <b v="1"/>
    <s v="[25463, 25022, 24647, 23091, 22142, 22141]"/>
    <m/>
    <s v="04505@general.tbd"/>
    <n v="23091"/>
    <n v="0"/>
    <n v="248"/>
    <n v="8777"/>
    <s v="Mesa Ayuda Infraestructura"/>
    <n v="486.67861111111102"/>
    <m/>
  </r>
  <r>
    <n v="3223"/>
    <n v="0"/>
    <d v="1899-12-30T00:00:00"/>
    <s v="50-Finalizado"/>
    <d v="1900-01-01T00:00:00"/>
    <x v="222"/>
    <d v="2024-08-19T00:00:00"/>
    <d v="2024-07-29T18:20:10"/>
    <x v="21"/>
    <n v="486.67861111111102"/>
    <d v="1900-01-19T06:40:43"/>
    <d v="2024-07-29T00:00:00"/>
    <d v="2024-07-29T18:20:10"/>
    <m/>
    <d v="1899-12-31T00:00:00"/>
    <d v="2024-08-19T01:00:53"/>
    <m/>
    <d v="1899-12-31T00:00:00"/>
    <d v="2024-08-20T19:15:38"/>
    <d v="2024-08-20T19:15:38"/>
    <m/>
    <m/>
    <d v="2024-07-29T00:00:00"/>
    <s v="/"/>
    <x v="10"/>
    <s v="Configuracion Hardware"/>
    <x v="2"/>
    <s v="Redes y Comunicaciones"/>
    <s v="Telefonia / Datos"/>
    <m/>
    <s v="CANELLA, SOCIEDAD ANONIMA"/>
    <s v="CANAL DIRECTO"/>
    <n v="3125"/>
    <n v="35"/>
    <s v="Mesa Ayuda Infraestructura"/>
    <n v="247759"/>
    <s v="DAVID JOSUE FLORES SEQUEIDA"/>
    <n v="248"/>
    <s v="CANELLA"/>
    <n v="1"/>
    <n v="28"/>
    <n v="25"/>
    <m/>
    <n v="1"/>
    <s v="CANELLA"/>
    <n v="248"/>
    <s v="Juan Carlos Barillas"/>
    <s v="&lt;p&gt;Compra teléfonos IP para extensiones telefónicas nuevas agencias&lt;/p&gt;"/>
    <s v="normal"/>
    <s v="En proceso"/>
    <s v="Compra telefonos IP para extensiones telefónicas nuevas agencias"/>
    <n v="72"/>
    <b v="1"/>
    <s v="[25463, 25022, 24647, 23091, 22142, 22141]"/>
    <m/>
    <s v="04505@general.tbd"/>
    <n v="22142"/>
    <n v="0"/>
    <n v="248"/>
    <n v="8777"/>
    <s v="Mesa Ayuda Infraestructura"/>
    <n v="486.67861111111102"/>
    <m/>
  </r>
  <r>
    <n v="3223"/>
    <n v="0.25"/>
    <d v="1899-12-30T00:15:00"/>
    <s v="50-Finalizado"/>
    <d v="1900-01-01T00:00:00"/>
    <x v="222"/>
    <d v="2024-08-19T00:00:00"/>
    <d v="2024-07-29T18:20:10"/>
    <x v="21"/>
    <n v="486.67861111111102"/>
    <d v="1900-01-19T06:40:43"/>
    <d v="2024-07-29T00:00:00"/>
    <d v="2024-07-29T18:20:10"/>
    <m/>
    <d v="1899-12-31T00:00:00"/>
    <d v="2024-08-19T01:00:53"/>
    <m/>
    <d v="1899-12-31T00:00:00"/>
    <d v="2024-08-20T19:15:38"/>
    <d v="2024-08-20T19:15:38"/>
    <m/>
    <m/>
    <d v="2024-07-29T00:00:00"/>
    <s v="Compra de extensiones para agencias"/>
    <x v="10"/>
    <s v="Configuracion Hardware"/>
    <x v="2"/>
    <s v="Redes y Comunicaciones"/>
    <s v="Telefonia / Datos"/>
    <m/>
    <s v="CANELLA, SOCIEDAD ANONIMA"/>
    <s v="CANAL DIRECTO"/>
    <n v="3125"/>
    <n v="35"/>
    <s v="Mesa Ayuda Infraestructura"/>
    <n v="247759"/>
    <s v="DAVID JOSUE FLORES SEQUEIDA"/>
    <n v="248"/>
    <s v="CANELLA"/>
    <n v="1"/>
    <n v="28"/>
    <n v="25"/>
    <m/>
    <n v="1"/>
    <s v="CANELLA"/>
    <n v="248"/>
    <s v="Juan Carlos Barillas"/>
    <s v="&lt;p&gt;Compra teléfonos IP para extensiones telefónicas nuevas agencias&lt;/p&gt;"/>
    <s v="normal"/>
    <s v="En proceso"/>
    <s v="Compra telefonos IP para extensiones telefónicas nuevas agencias"/>
    <n v="72"/>
    <b v="1"/>
    <s v="[25463, 25022, 24647, 23091, 22142, 22141]"/>
    <m/>
    <s v="04505@general.tbd"/>
    <n v="22141"/>
    <n v="0"/>
    <n v="248"/>
    <n v="8777"/>
    <s v="Mesa Ayuda Infraestructura"/>
    <n v="486.67861111111102"/>
    <m/>
  </r>
  <r>
    <n v="3200"/>
    <n v="0.5"/>
    <d v="1899-12-30T00:30:00"/>
    <s v="50-Finalizado"/>
    <d v="1900-01-01T00:00:00"/>
    <x v="223"/>
    <d v="2024-07-29T00:00:00"/>
    <d v="2024-07-29T15:45:51"/>
    <x v="40"/>
    <n v="159.294444444444"/>
    <d v="1900-01-05T15:17:40"/>
    <d v="2024-07-29T00:00:00"/>
    <d v="2024-07-29T15:45:51"/>
    <m/>
    <d v="1899-12-31T00:00:00"/>
    <d v="2024-08-05T07:03:31"/>
    <b v="1"/>
    <d v="2024-08-05T07:03:31"/>
    <d v="2024-08-20T19:15:38"/>
    <d v="2024-08-20T19:15:38"/>
    <m/>
    <m/>
    <d v="2024-07-29T00:00:00"/>
    <s v="Revision de Laptop por fallos de red"/>
    <x v="6"/>
    <s v="Configuracion Software"/>
    <x v="2"/>
    <s v="Laptop"/>
    <m/>
    <m/>
    <s v="CANELLA, SOCIEDAD ANONIMA"/>
    <s v="ADMINISTRACION"/>
    <n v="3102"/>
    <n v="35"/>
    <s v="Mesa Ayuda Infraestructura"/>
    <n v="247375"/>
    <s v="FRANCISCO ALEXANDER BRENES HERNANDEZ"/>
    <n v="2766"/>
    <s v="CANELLA"/>
    <n v="2"/>
    <n v="20"/>
    <m/>
    <m/>
    <n v="1"/>
    <s v="CANELLA"/>
    <n v="2766"/>
    <s v="José Julajuj Chumil"/>
    <m/>
    <s v="normal"/>
    <s v="En proceso"/>
    <s v="Soporte por problemas de red -Alexander Brenes-"/>
    <n v="72"/>
    <b v="1"/>
    <s v="[22084]"/>
    <m/>
    <s v="06068@general.tbd"/>
    <n v="22084"/>
    <n v="0"/>
    <n v="2766"/>
    <n v="8777"/>
    <s v="Mesa Ayuda Infraestructura"/>
    <n v="159.294444444444"/>
    <m/>
  </r>
  <r>
    <n v="3199"/>
    <n v="0.5"/>
    <d v="1899-12-30T00:30:00"/>
    <s v="50-Finalizado"/>
    <d v="1900-01-01T00:00:00"/>
    <x v="224"/>
    <d v="2024-07-29T00:00:00"/>
    <d v="2024-07-29T15:42:44"/>
    <x v="40"/>
    <n v="159.34638888888799"/>
    <d v="1900-01-05T15:20:47"/>
    <d v="2024-07-29T00:00:00"/>
    <d v="2024-07-29T15:42:44"/>
    <m/>
    <d v="1899-12-31T00:00:00"/>
    <d v="2024-08-05T07:03:31"/>
    <b v="1"/>
    <d v="2024-08-05T07:03:31"/>
    <d v="2024-08-20T19:15:38"/>
    <d v="2024-08-20T19:15:38"/>
    <m/>
    <m/>
    <d v="2024-07-29T00:00:00"/>
    <s v="Se procede a la compra de 3 resmas de papel para uso del departamento de informática."/>
    <x v="3"/>
    <m/>
    <x v="2"/>
    <m/>
    <m/>
    <m/>
    <s v="CANELLA, SOCIEDAD ANONIMA"/>
    <s v="INFORMATICA"/>
    <n v="3101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Compra de papel"/>
    <n v="72"/>
    <b v="1"/>
    <s v="[22082]"/>
    <m/>
    <s v="04025@general.tbd"/>
    <n v="22082"/>
    <n v="0"/>
    <n v="299"/>
    <n v="8777"/>
    <s v="Mesa Ayuda Infraestructura"/>
    <n v="159.34638888888799"/>
    <m/>
  </r>
  <r>
    <n v="3197"/>
    <n v="3"/>
    <d v="1899-12-30T03:00:00"/>
    <s v="50-Finalizado"/>
    <d v="1900-01-01T00:00:00"/>
    <x v="225"/>
    <d v="2024-07-29T00:00:00"/>
    <d v="2024-07-29T15:37:10"/>
    <x v="40"/>
    <n v="159.43916666666601"/>
    <d v="1900-01-05T15:26:21"/>
    <d v="2024-07-29T00:00:00"/>
    <d v="2024-07-29T15:37:10"/>
    <m/>
    <d v="1899-12-31T00:00:00"/>
    <d v="2024-08-05T07:03:31"/>
    <b v="1"/>
    <d v="2024-08-05T07:03:31"/>
    <d v="2024-08-20T19:15:38"/>
    <d v="2024-08-20T19:15:38"/>
    <m/>
    <m/>
    <d v="2024-07-29T00:00:00"/>
    <s v="Revisión de bandeja de correos en Outlook y dar respuestas"/>
    <x v="8"/>
    <s v="Configuracion Software"/>
    <x v="2"/>
    <s v="Redes y Comunicaciones"/>
    <m/>
    <m/>
    <s v="CANELLA, SOCIEDAD ANONIMA"/>
    <s v="INFORMATICA"/>
    <n v="3099"/>
    <n v="35"/>
    <s v="Mesa Ayuda Infraestructura"/>
    <n v="247813"/>
    <s v="OSCAR RAUL HERNANDEZ REYNA"/>
    <n v="186"/>
    <s v="CANELLA"/>
    <n v="2"/>
    <n v="28"/>
    <m/>
    <m/>
    <n v="1"/>
    <s v="CANELLA"/>
    <n v="186"/>
    <s v="Carlos Carias"/>
    <s v="&lt;p&gt;Revisión de bandeja de correos en Outlook y dar respuestas &lt;/p&gt;"/>
    <s v="normal"/>
    <s v="En proceso"/>
    <s v="Revisión de bandeja de correos en Outlook y dar respuestas"/>
    <n v="72"/>
    <b v="1"/>
    <s v="[22099]"/>
    <m/>
    <s v="04025@general.tbd"/>
    <n v="22099"/>
    <n v="0"/>
    <n v="186"/>
    <n v="8777"/>
    <s v="Mesa Ayuda Infraestructura"/>
    <n v="159.43916666666601"/>
    <m/>
  </r>
  <r>
    <n v="3190"/>
    <n v="0.25"/>
    <d v="1899-12-30T00:15:00"/>
    <s v="50-Finalizado"/>
    <d v="1900-01-01T00:00:00"/>
    <x v="226"/>
    <d v="2024-07-29T00:00:00"/>
    <d v="2024-07-29T14:57:26"/>
    <x v="40"/>
    <n v="160.10138888888801"/>
    <d v="1900-01-05T16:06:05"/>
    <d v="2024-07-29T00:00:00"/>
    <d v="2024-07-29T14:57:26"/>
    <m/>
    <d v="1899-12-31T00:00:00"/>
    <d v="2024-08-05T07:03:31"/>
    <b v="1"/>
    <d v="2024-08-05T07:03:31"/>
    <d v="2024-08-20T19:15:38"/>
    <d v="2024-08-20T19:15:38"/>
    <m/>
    <m/>
    <d v="2024-07-29T00:00:00"/>
    <s v="Soporte por fallo de acceso a usuario"/>
    <x v="6"/>
    <s v="Configuracion Hardware"/>
    <x v="2"/>
    <s v="Desktop"/>
    <m/>
    <m/>
    <s v="CANELLA, SOCIEDAD ANONIMA"/>
    <s v="YAMAHA VILLA NUEVA"/>
    <n v="3092"/>
    <n v="35"/>
    <s v="Mesa Ayuda Infraestructura"/>
    <n v="247454"/>
    <s v="WENDY ELIZABETH MEDINA CARDENAS de VELASQUEZ"/>
    <n v="2766"/>
    <s v="CANELLA"/>
    <n v="1"/>
    <n v="21"/>
    <m/>
    <m/>
    <n v="1"/>
    <s v="CANELLA"/>
    <n v="2766"/>
    <s v="José Julajuj Chumil"/>
    <m/>
    <s v="normal"/>
    <s v="En proceso"/>
    <s v="Problema de acceso a usuario -Wendy Medina-"/>
    <n v="72"/>
    <b v="1"/>
    <s v="[22070]"/>
    <m/>
    <s v="05927@general.tbd"/>
    <n v="22070"/>
    <n v="0"/>
    <n v="2766"/>
    <n v="8777"/>
    <s v="Mesa Ayuda Infraestructura"/>
    <n v="160.10138888888801"/>
    <m/>
  </r>
  <r>
    <n v="3178"/>
    <n v="0.25"/>
    <d v="1899-12-30T00:15:00"/>
    <s v="50-Finalizado"/>
    <d v="1900-01-01T00:00:00"/>
    <x v="227"/>
    <d v="2024-07-27T00:00:00"/>
    <d v="2024-07-27T17:18:29"/>
    <x v="40"/>
    <n v="205.750555555555"/>
    <d v="1900-01-07T13:45:02"/>
    <d v="2024-07-27T00:00:00"/>
    <d v="2024-07-27T17:18:29"/>
    <m/>
    <d v="1899-12-31T00:00:00"/>
    <d v="2024-08-05T07:03:31"/>
    <b v="1"/>
    <d v="2024-08-05T07:03:31"/>
    <d v="2024-08-20T19:15:38"/>
    <d v="2024-08-20T19:15:38"/>
    <m/>
    <m/>
    <d v="2024-07-27T00:00:00"/>
    <s v="Configuración de Correo"/>
    <x v="6"/>
    <s v="Configuracion Software"/>
    <x v="2"/>
    <s v="Laptop"/>
    <m/>
    <m/>
    <s v="Partner sin user_id"/>
    <s v="Partner sin user_id"/>
    <n v="3080"/>
    <n v="35"/>
    <s v="Mesa Ayuda Infraestructura"/>
    <n v="251168"/>
    <s v="CRISTIAN ARMANDO LOPEZ SANTAY"/>
    <n v="2766"/>
    <s v="CANELLA"/>
    <n v="2"/>
    <n v="20"/>
    <m/>
    <m/>
    <n v="1"/>
    <s v="CANELLA"/>
    <n v="2766"/>
    <s v="José Julajuj Chumil"/>
    <m/>
    <s v="normal"/>
    <s v="En proceso"/>
    <s v="Configuracion de correo -Cristian López"/>
    <n v="72"/>
    <b v="1"/>
    <s v="[21946]"/>
    <m/>
    <s v="Partner sin user_id. Partner: 251168"/>
    <n v="21946"/>
    <n v="0"/>
    <n v="2766"/>
    <n v="8777"/>
    <s v="Mesa Ayuda Infraestructura"/>
    <n v="205.750555555555"/>
    <m/>
  </r>
  <r>
    <n v="3171"/>
    <n v="0.16666666666666599"/>
    <d v="1899-12-30T00:10:00"/>
    <s v="50-Finalizado"/>
    <d v="1900-01-01T00:00:00"/>
    <x v="228"/>
    <d v="2024-07-27T00:00:00"/>
    <d v="2024-07-27T15:15:06"/>
    <x v="40"/>
    <n v="207.80694444444401"/>
    <d v="1900-01-07T15:48:25"/>
    <d v="2024-07-27T00:00:00"/>
    <d v="2024-07-27T15:15:06"/>
    <m/>
    <d v="1899-12-31T00:00:00"/>
    <d v="2024-08-05T07:03:31"/>
    <b v="1"/>
    <d v="2024-08-05T07:03:31"/>
    <d v="2024-08-20T19:15:38"/>
    <d v="2024-08-20T19:15:38"/>
    <m/>
    <m/>
    <d v="2024-07-27T00:00:00"/>
    <s v="Restablecimiento de contraseña y correo"/>
    <x v="6"/>
    <s v="Configuracion Software"/>
    <x v="2"/>
    <s v="VPN"/>
    <m/>
    <m/>
    <s v="CANELLA, SOCIEDAD ANONIMA"/>
    <s v="SERVICIO TÉCNICO EQUIPO DIGITAL"/>
    <n v="3073"/>
    <n v="35"/>
    <s v="Mesa Ayuda Infraestructura"/>
    <n v="247489"/>
    <s v="RONY OSWALDO MALDONADO SAM"/>
    <n v="2766"/>
    <s v="CANELLA"/>
    <n v="2"/>
    <n v="19"/>
    <m/>
    <m/>
    <n v="1"/>
    <s v="CANELLA"/>
    <n v="2766"/>
    <s v="José Julajuj Chumil"/>
    <m/>
    <s v="normal"/>
    <s v="En proceso"/>
    <s v="Restablecimiento de contraseña y configuración de correo"/>
    <n v="72"/>
    <b v="1"/>
    <s v="[21938]"/>
    <m/>
    <s v="05844@general.tbd"/>
    <n v="21938"/>
    <n v="0"/>
    <n v="2766"/>
    <n v="8777"/>
    <s v="Mesa Ayuda Infraestructura"/>
    <n v="207.80694444444401"/>
    <m/>
  </r>
  <r>
    <n v="3160"/>
    <n v="0.16666666666666599"/>
    <d v="1899-12-30T00:10:00"/>
    <s v="50-Finalizado"/>
    <d v="1900-01-01T00:00:00"/>
    <x v="229"/>
    <d v="2024-07-26T00:00:00"/>
    <d v="2024-07-26T22:32:26"/>
    <x v="40"/>
    <n v="224.51805555555501"/>
    <d v="1900-01-08T08:31:05"/>
    <d v="2024-07-26T00:00:00"/>
    <d v="2024-07-26T22:32:26"/>
    <m/>
    <d v="1899-12-31T00:00:00"/>
    <d v="2024-08-05T07:03:31"/>
    <b v="1"/>
    <d v="2024-08-05T07:03:31"/>
    <d v="2024-08-20T19:15:38"/>
    <d v="2024-08-20T19:15:38"/>
    <m/>
    <m/>
    <d v="2024-07-26T00:00:00"/>
    <s v="Traída de equipo a bodega"/>
    <x v="6"/>
    <m/>
    <x v="2"/>
    <m/>
    <m/>
    <m/>
    <s v="No Partner"/>
    <s v="No Partner"/>
    <n v="3062"/>
    <n v="35"/>
    <s v="Mesa Ayuda Infraestructura"/>
    <m/>
    <m/>
    <n v="2766"/>
    <s v="CANELLA"/>
    <m/>
    <m/>
    <m/>
    <m/>
    <n v="1"/>
    <s v="CANELLA"/>
    <n v="2766"/>
    <s v="José Julajuj Chumil"/>
    <m/>
    <s v="normal"/>
    <s v="En proceso"/>
    <s v="Bodega"/>
    <n v="72"/>
    <b v="1"/>
    <s v="[21683]"/>
    <m/>
    <s v="No Partner"/>
    <n v="21683"/>
    <n v="0"/>
    <n v="2766"/>
    <n v="8777"/>
    <s v="Mesa Ayuda Infraestructura"/>
    <n v="224.51805555555501"/>
    <m/>
  </r>
  <r>
    <n v="3159"/>
    <n v="0.16666666666666599"/>
    <d v="1899-12-30T00:10:00"/>
    <s v="50-Finalizado"/>
    <d v="1900-01-01T00:00:00"/>
    <x v="230"/>
    <d v="2024-07-26T00:00:00"/>
    <d v="2024-07-26T22:30:53"/>
    <x v="40"/>
    <n v="224.54388888888801"/>
    <d v="1900-01-08T08:32:38"/>
    <d v="2024-07-26T00:00:00"/>
    <d v="2024-07-26T22:30:53"/>
    <m/>
    <d v="1899-12-31T00:00:00"/>
    <d v="2024-08-05T07:03:31"/>
    <b v="1"/>
    <d v="2024-08-05T07:03:31"/>
    <d v="2024-08-20T19:15:38"/>
    <d v="2024-08-20T19:15:38"/>
    <m/>
    <m/>
    <d v="2024-07-29T00:00:00"/>
    <s v="Entrega de factura para capitalización"/>
    <x v="3"/>
    <s v="Orden de compra"/>
    <x v="2"/>
    <m/>
    <m/>
    <m/>
    <s v="CANELLA, SOCIEDAD ANONIMA"/>
    <s v="INFORMATICA"/>
    <n v="3061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m/>
    <s v="normal"/>
    <s v="En proceso"/>
    <s v="Entrega de facturas"/>
    <n v="72"/>
    <b v="1"/>
    <n v="21805"/>
    <m/>
    <s v="04025@general.tbd"/>
    <n v="22098"/>
    <n v="0"/>
    <n v="299"/>
    <n v="8777"/>
    <s v="Mesa Ayuda Infraestructura"/>
    <n v="224.54388888888801"/>
    <m/>
  </r>
  <r>
    <n v="3159"/>
    <n v="0.75"/>
    <d v="1899-12-30T00:45:00"/>
    <s v="50-Finalizado"/>
    <d v="1900-01-01T00:00:00"/>
    <x v="230"/>
    <d v="2024-07-26T00:00:00"/>
    <d v="2024-07-26T22:30:53"/>
    <x v="40"/>
    <n v="224.54388888888801"/>
    <d v="1900-01-08T08:32:38"/>
    <d v="2024-07-26T00:00:00"/>
    <d v="2024-07-26T22:30:53"/>
    <m/>
    <d v="1899-12-31T00:00:00"/>
    <d v="2024-08-05T07:03:31"/>
    <b v="1"/>
    <d v="2024-08-05T07:03:31"/>
    <d v="2024-08-20T19:15:38"/>
    <d v="2024-08-20T19:15:38"/>
    <m/>
    <m/>
    <d v="2024-07-26T00:00:00"/>
    <s v="Se procede a la autorización de facturas  y al traslado de las mismas a contabilidad para el pago correspondiente."/>
    <x v="3"/>
    <s v="Orden de compra"/>
    <x v="2"/>
    <m/>
    <m/>
    <m/>
    <s v="CANELLA, SOCIEDAD ANONIMA"/>
    <s v="INFORMATICA"/>
    <n v="3061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m/>
    <s v="normal"/>
    <s v="En proceso"/>
    <s v="Entrega de facturas"/>
    <n v="72"/>
    <b v="1"/>
    <n v="21805"/>
    <m/>
    <s v="04025@general.tbd"/>
    <n v="21805"/>
    <n v="0"/>
    <n v="299"/>
    <n v="8777"/>
    <s v="Mesa Ayuda Infraestructura"/>
    <n v="224.54388888888801"/>
    <m/>
  </r>
  <r>
    <n v="3151"/>
    <m/>
    <m/>
    <s v="50-Finalizado"/>
    <d v="1900-01-01T00:00:00"/>
    <x v="231"/>
    <d v="2024-07-26T00:00:00"/>
    <d v="2024-07-26T21:05:46"/>
    <x v="40"/>
    <n v="225.96250000000001"/>
    <d v="1900-01-08T09:57:45"/>
    <d v="2024-07-26T00:00:00"/>
    <d v="2024-07-26T21:05:46"/>
    <m/>
    <d v="1899-12-31T00:00:00"/>
    <d v="2024-08-05T07:03:31"/>
    <b v="1"/>
    <d v="2024-08-05T07:03:31"/>
    <d v="2024-08-20T19:15:38"/>
    <d v="2024-08-20T19:15:38"/>
    <m/>
    <m/>
    <m/>
    <m/>
    <x v="3"/>
    <m/>
    <x v="2"/>
    <m/>
    <m/>
    <m/>
    <s v="CANELLA, SOCIEDAD ANONIMA"/>
    <s v="INFORMATICA"/>
    <n v="305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Capitalización de equipos"/>
    <n v="72"/>
    <b v="1"/>
    <s v="[]"/>
    <m/>
    <s v="04025@general.tbd"/>
    <m/>
    <m/>
    <m/>
    <m/>
    <m/>
    <n v="0"/>
    <m/>
  </r>
  <r>
    <n v="3147"/>
    <n v="0.5"/>
    <d v="1899-12-30T00:30:00"/>
    <s v="50-Finalizado"/>
    <d v="1900-01-01T00:00:00"/>
    <x v="232"/>
    <d v="2024-07-26T00:00:00"/>
    <d v="2024-07-26T20:34:43"/>
    <x v="40"/>
    <n v="226.48"/>
    <d v="1900-01-08T10:28:48"/>
    <d v="2024-07-26T00:00:00"/>
    <d v="2024-07-26T20:34:43"/>
    <m/>
    <d v="1899-12-31T00:00:00"/>
    <d v="2024-08-05T07:03:31"/>
    <b v="1"/>
    <d v="2024-08-05T07:03:31"/>
    <d v="2024-08-20T19:15:38"/>
    <d v="2024-08-20T19:15:38"/>
    <m/>
    <m/>
    <d v="2024-07-27T00:00:00"/>
    <s v="Modelos y serie de equipo"/>
    <x v="6"/>
    <s v="Configuracion Software"/>
    <x v="2"/>
    <s v="Desktop"/>
    <m/>
    <m/>
    <s v="No Partner"/>
    <s v="No Partner"/>
    <n v="3049"/>
    <n v="35"/>
    <s v="Mesa Ayuda Infraestructura"/>
    <m/>
    <m/>
    <n v="2766"/>
    <s v="CANELLA"/>
    <n v="2"/>
    <n v="21"/>
    <m/>
    <m/>
    <n v="1"/>
    <s v="CANELLA"/>
    <n v="2766"/>
    <s v="José Julajuj Chumil"/>
    <m/>
    <s v="normal"/>
    <s v="En proceso"/>
    <s v="Yamaha Petapolis"/>
    <n v="72"/>
    <b v="1"/>
    <s v="[21937, 21700, 21539]"/>
    <m/>
    <s v="No Partner"/>
    <n v="21937"/>
    <n v="0"/>
    <n v="2766"/>
    <n v="8777"/>
    <s v="Mesa Ayuda Infraestructura"/>
    <n v="226.48"/>
    <m/>
  </r>
  <r>
    <n v="3147"/>
    <n v="0.83333333333333304"/>
    <d v="1899-12-30T00:50:00"/>
    <s v="50-Finalizado"/>
    <d v="1900-01-01T00:00:00"/>
    <x v="232"/>
    <d v="2024-07-26T00:00:00"/>
    <d v="2024-07-26T20:34:43"/>
    <x v="40"/>
    <n v="226.48"/>
    <d v="1900-01-08T10:28:48"/>
    <d v="2024-07-26T00:00:00"/>
    <d v="2024-07-26T20:34:43"/>
    <m/>
    <d v="1899-12-31T00:00:00"/>
    <d v="2024-08-05T07:03:31"/>
    <b v="1"/>
    <d v="2024-08-05T07:03:31"/>
    <d v="2024-08-20T19:15:38"/>
    <d v="2024-08-20T19:15:38"/>
    <m/>
    <m/>
    <d v="2024-07-26T00:00:00"/>
    <s v="Configuración de usuarios"/>
    <x v="6"/>
    <s v="Configuracion Software"/>
    <x v="2"/>
    <s v="Desktop"/>
    <m/>
    <m/>
    <s v="No Partner"/>
    <s v="No Partner"/>
    <n v="3049"/>
    <n v="35"/>
    <s v="Mesa Ayuda Infraestructura"/>
    <m/>
    <m/>
    <n v="2766"/>
    <s v="CANELLA"/>
    <n v="2"/>
    <n v="21"/>
    <m/>
    <m/>
    <n v="1"/>
    <s v="CANELLA"/>
    <n v="2766"/>
    <s v="José Julajuj Chumil"/>
    <m/>
    <s v="normal"/>
    <s v="En proceso"/>
    <s v="Yamaha Petapolis"/>
    <n v="72"/>
    <b v="1"/>
    <s v="[21937, 21700, 21539]"/>
    <m/>
    <s v="No Partner"/>
    <n v="21700"/>
    <n v="0"/>
    <n v="2766"/>
    <n v="8777"/>
    <s v="Mesa Ayuda Infraestructura"/>
    <n v="226.48"/>
    <m/>
  </r>
  <r>
    <n v="3147"/>
    <n v="2.1666666666666599"/>
    <d v="1899-12-30T02:10:00"/>
    <s v="50-Finalizado"/>
    <d v="1900-01-01T00:00:00"/>
    <x v="232"/>
    <d v="2024-07-26T00:00:00"/>
    <d v="2024-07-26T20:34:43"/>
    <x v="40"/>
    <n v="226.48"/>
    <d v="1900-01-08T10:28:48"/>
    <d v="2024-07-26T00:00:00"/>
    <d v="2024-07-26T20:34:43"/>
    <m/>
    <d v="1899-12-31T00:00:00"/>
    <d v="2024-08-05T07:03:31"/>
    <b v="1"/>
    <d v="2024-08-05T07:03:31"/>
    <d v="2024-08-20T19:15:38"/>
    <d v="2024-08-20T19:15:38"/>
    <m/>
    <m/>
    <d v="2024-07-26T00:00:00"/>
    <s v="Configuración de equipo"/>
    <x v="6"/>
    <s v="Configuracion Software"/>
    <x v="2"/>
    <s v="Desktop"/>
    <m/>
    <m/>
    <s v="No Partner"/>
    <s v="No Partner"/>
    <n v="3049"/>
    <n v="35"/>
    <s v="Mesa Ayuda Infraestructura"/>
    <m/>
    <m/>
    <n v="2766"/>
    <s v="CANELLA"/>
    <n v="2"/>
    <n v="21"/>
    <m/>
    <m/>
    <n v="1"/>
    <s v="CANELLA"/>
    <n v="2766"/>
    <s v="José Julajuj Chumil"/>
    <m/>
    <s v="normal"/>
    <s v="En proceso"/>
    <s v="Yamaha Petapolis"/>
    <n v="72"/>
    <b v="1"/>
    <s v="[21937, 21700, 21539]"/>
    <m/>
    <s v="No Partner"/>
    <n v="21539"/>
    <n v="0"/>
    <n v="2766"/>
    <n v="8777"/>
    <s v="Mesa Ayuda Infraestructura"/>
    <n v="226.48"/>
    <m/>
  </r>
  <r>
    <n v="3137"/>
    <n v="0.33333333333333298"/>
    <d v="1899-12-30T00:20:00"/>
    <s v="50-Finalizado"/>
    <d v="1900-01-01T00:00:00"/>
    <x v="233"/>
    <d v="2024-07-26T00:00:00"/>
    <d v="2024-07-26T18:07:19"/>
    <x v="40"/>
    <n v="228.93666666666601"/>
    <d v="1900-01-08T12:56:12"/>
    <d v="2024-07-26T00:00:00"/>
    <d v="2024-07-26T18:07:19"/>
    <m/>
    <d v="1899-12-31T00:00:00"/>
    <d v="2024-08-05T07:03:31"/>
    <b v="1"/>
    <d v="2024-08-05T07:03:31"/>
    <d v="2024-08-20T19:15:38"/>
    <d v="2024-08-20T19:15:38"/>
    <m/>
    <m/>
    <d v="2024-07-27T00:00:00"/>
    <s v="Recoger equipo en diagnostico técnico"/>
    <x v="6"/>
    <s v="Configuracion Hardware"/>
    <x v="2"/>
    <s v="Laptop"/>
    <m/>
    <m/>
    <s v="INVERSIONES QATAR, SOCIEDAD ANONIMA"/>
    <s v="GERENCIA GENERAL INVERSIONES QATAR, SOCIEDAD ANONIMA"/>
    <n v="3039"/>
    <n v="35"/>
    <s v="Mesa Ayuda Infraestructura"/>
    <n v="246991"/>
    <s v="ROBERT DONOVAN MARROQUIN MAKEPEACE"/>
    <n v="2766"/>
    <s v="CANELLA"/>
    <n v="1"/>
    <n v="20"/>
    <m/>
    <m/>
    <n v="1"/>
    <s v="CANELLA"/>
    <n v="2766"/>
    <s v="José Julajuj Chumil"/>
    <m/>
    <s v="normal"/>
    <s v="En proceso"/>
    <s v="Diagnóstico de equipo -Robert Marroquin-"/>
    <n v="72"/>
    <b v="1"/>
    <n v="21446"/>
    <m/>
    <s v="06692@general.tbd"/>
    <n v="21943"/>
    <n v="0"/>
    <n v="2766"/>
    <n v="8777"/>
    <s v="Mesa Ayuda Infraestructura"/>
    <n v="228.93666666666601"/>
    <m/>
  </r>
  <r>
    <n v="3137"/>
    <n v="0.61666666666666603"/>
    <d v="1899-12-30T00:37:00"/>
    <s v="50-Finalizado"/>
    <d v="1900-01-01T00:00:00"/>
    <x v="233"/>
    <d v="2024-07-26T00:00:00"/>
    <d v="2024-07-26T18:07:19"/>
    <x v="40"/>
    <n v="228.93666666666601"/>
    <d v="1900-01-08T12:56:12"/>
    <d v="2024-07-26T00:00:00"/>
    <d v="2024-07-26T18:07:19"/>
    <m/>
    <d v="1899-12-31T00:00:00"/>
    <d v="2024-08-05T07:03:31"/>
    <b v="1"/>
    <d v="2024-08-05T07:03:31"/>
    <d v="2024-08-20T19:15:38"/>
    <d v="2024-08-20T19:15:38"/>
    <m/>
    <m/>
    <d v="2024-07-26T00:00:00"/>
    <s v="Llevar equipo a diagnostico"/>
    <x v="6"/>
    <s v="Configuracion Hardware"/>
    <x v="2"/>
    <s v="Laptop"/>
    <m/>
    <m/>
    <s v="INVERSIONES QATAR, SOCIEDAD ANONIMA"/>
    <s v="GERENCIA GENERAL INVERSIONES QATAR, SOCIEDAD ANONIMA"/>
    <n v="3039"/>
    <n v="35"/>
    <s v="Mesa Ayuda Infraestructura"/>
    <n v="246991"/>
    <s v="ROBERT DONOVAN MARROQUIN MAKEPEACE"/>
    <n v="2766"/>
    <s v="CANELLA"/>
    <n v="1"/>
    <n v="20"/>
    <m/>
    <m/>
    <n v="1"/>
    <s v="CANELLA"/>
    <n v="2766"/>
    <s v="José Julajuj Chumil"/>
    <m/>
    <s v="normal"/>
    <s v="En proceso"/>
    <s v="Diagnóstico de equipo -Robert Marroquin-"/>
    <n v="72"/>
    <b v="1"/>
    <n v="21446"/>
    <m/>
    <s v="06692@general.tbd"/>
    <n v="21446"/>
    <n v="0"/>
    <n v="2766"/>
    <n v="8777"/>
    <s v="Mesa Ayuda Infraestructura"/>
    <n v="228.93666666666601"/>
    <m/>
  </r>
  <r>
    <n v="3131"/>
    <n v="0.33333333333333298"/>
    <d v="1899-12-30T00:20:00"/>
    <s v="50-Finalizado"/>
    <d v="1900-01-01T00:00:00"/>
    <x v="234"/>
    <d v="2024-07-26T00:00:00"/>
    <d v="2024-07-26T17:44:13"/>
    <x v="40"/>
    <n v="229.321666666666"/>
    <d v="1900-01-08T13:19:18"/>
    <d v="2024-07-26T00:00:00"/>
    <d v="2024-07-26T17:44:13"/>
    <m/>
    <d v="1899-12-31T00:00:00"/>
    <d v="2024-08-05T07:03:31"/>
    <b v="1"/>
    <d v="2024-08-05T07:03:31"/>
    <d v="2024-08-20T19:15:38"/>
    <d v="2024-08-20T19:15:38"/>
    <m/>
    <m/>
    <d v="2024-07-26T00:00:00"/>
    <s v="Se procede a brindar adaptadores, cables necesarios (poder, VGA, HDMI) para instalación de monitor en zona 13"/>
    <x v="3"/>
    <m/>
    <x v="2"/>
    <m/>
    <m/>
    <m/>
    <s v="CANELLA, SOCIEDAD ANONIMA"/>
    <s v="INVENTARIOS/DIVISION AUTOMOTRIZ"/>
    <n v="3033"/>
    <n v="35"/>
    <s v="Mesa Ayuda Infraestructura"/>
    <n v="247422"/>
    <s v="OSCAR DAMIAN SISIMIT SAMOL"/>
    <n v="299"/>
    <s v="CANELLA"/>
    <m/>
    <m/>
    <m/>
    <m/>
    <n v="1"/>
    <s v="CANELLA"/>
    <n v="299"/>
    <s v="Rosario Lic"/>
    <m/>
    <s v="normal"/>
    <s v="En proceso"/>
    <s v="Preparación de artículos necesarios para instalación"/>
    <n v="72"/>
    <b v="1"/>
    <s v="[21429]"/>
    <m/>
    <s v="05989@general.tbd"/>
    <n v="21429"/>
    <n v="0"/>
    <n v="299"/>
    <n v="8777"/>
    <s v="Mesa Ayuda Infraestructura"/>
    <n v="229.321666666666"/>
    <m/>
  </r>
  <r>
    <n v="3106"/>
    <n v="8.3333333333333301E-2"/>
    <d v="1899-12-30T00:05:00"/>
    <s v="50-Finalizado"/>
    <d v="1900-01-01T00:00:00"/>
    <x v="235"/>
    <d v="2024-07-26T00:00:00"/>
    <d v="2024-07-26T15:14:23"/>
    <x v="40"/>
    <n v="231.81888888888801"/>
    <d v="1900-01-08T15:49:08"/>
    <d v="2024-07-26T00:00:00"/>
    <d v="2024-07-26T15:14:23"/>
    <m/>
    <d v="1899-12-31T00:00:00"/>
    <d v="2024-08-05T07:03:31"/>
    <b v="1"/>
    <d v="2024-08-05T07:03:31"/>
    <d v="2024-08-20T19:15:38"/>
    <d v="2024-08-20T19:15:38"/>
    <m/>
    <m/>
    <d v="2024-07-26T00:00:00"/>
    <s v="Entrega a Andrés de león para instalación"/>
    <x v="6"/>
    <s v="Funcional"/>
    <x v="2"/>
    <m/>
    <m/>
    <m/>
    <s v="CANELLA, SOCIEDAD ANONIMA"/>
    <s v="INFORMATICA"/>
    <n v="3008"/>
    <n v="35"/>
    <s v="Mesa Ayuda Infraestructura"/>
    <n v="247552"/>
    <s v="YOSSELYN ANETT IGNACIO PASCUAL"/>
    <n v="2766"/>
    <s v="CANELLA"/>
    <n v="3"/>
    <m/>
    <m/>
    <m/>
    <n v="1"/>
    <s v="CANELLA"/>
    <n v="2766"/>
    <s v="José Julajuj Chumil"/>
    <m/>
    <s v="normal"/>
    <s v="En proceso"/>
    <s v="Almacenamiento y bodega"/>
    <n v="72"/>
    <b v="1"/>
    <n v="21278"/>
    <m/>
    <s v="05681@general.tbd"/>
    <n v="21281"/>
    <n v="0"/>
    <n v="2766"/>
    <n v="8777"/>
    <s v="Mesa Ayuda Infraestructura"/>
    <n v="231.81888888888801"/>
    <m/>
  </r>
  <r>
    <n v="3106"/>
    <n v="8.3333333333333301E-2"/>
    <d v="1899-12-30T00:05:00"/>
    <s v="50-Finalizado"/>
    <d v="1900-01-01T00:00:00"/>
    <x v="235"/>
    <d v="2024-07-26T00:00:00"/>
    <d v="2024-07-26T15:14:23"/>
    <x v="40"/>
    <n v="231.81888888888801"/>
    <d v="1900-01-08T15:49:08"/>
    <d v="2024-07-26T00:00:00"/>
    <d v="2024-07-26T15:14:23"/>
    <m/>
    <d v="1899-12-31T00:00:00"/>
    <d v="2024-08-05T07:03:31"/>
    <b v="1"/>
    <d v="2024-08-05T07:03:31"/>
    <d v="2024-08-20T19:15:38"/>
    <d v="2024-08-20T19:15:38"/>
    <m/>
    <m/>
    <d v="2024-07-26T00:00:00"/>
    <s v="Retiro de Monitor"/>
    <x v="6"/>
    <s v="Funcional"/>
    <x v="2"/>
    <m/>
    <m/>
    <m/>
    <s v="CANELLA, SOCIEDAD ANONIMA"/>
    <s v="INFORMATICA"/>
    <n v="3008"/>
    <n v="35"/>
    <s v="Mesa Ayuda Infraestructura"/>
    <n v="247552"/>
    <s v="YOSSELYN ANETT IGNACIO PASCUAL"/>
    <n v="2766"/>
    <s v="CANELLA"/>
    <n v="3"/>
    <m/>
    <m/>
    <m/>
    <n v="1"/>
    <s v="CANELLA"/>
    <n v="2766"/>
    <s v="José Julajuj Chumil"/>
    <m/>
    <s v="normal"/>
    <s v="En proceso"/>
    <s v="Almacenamiento y bodega"/>
    <n v="72"/>
    <b v="1"/>
    <n v="21278"/>
    <m/>
    <s v="05681@general.tbd"/>
    <n v="21278"/>
    <n v="0"/>
    <n v="2766"/>
    <n v="8777"/>
    <s v="Mesa Ayuda Infraestructura"/>
    <n v="231.81888888888801"/>
    <m/>
  </r>
  <r>
    <n v="3105"/>
    <n v="8.3333333333333301E-2"/>
    <d v="1899-12-30T00:05:00"/>
    <s v="50-Finalizado"/>
    <d v="1900-01-01T00:00:00"/>
    <x v="236"/>
    <d v="2024-07-26T00:00:00"/>
    <d v="2024-07-26T15:11:23"/>
    <x v="40"/>
    <n v="231.86888888888799"/>
    <d v="1900-01-08T15:52:08"/>
    <d v="2024-07-26T00:00:00"/>
    <d v="2024-07-26T15:11:23"/>
    <m/>
    <d v="1899-12-31T00:00:00"/>
    <d v="2024-08-05T07:03:31"/>
    <b v="1"/>
    <d v="2024-08-05T07:03:31"/>
    <d v="2024-08-20T19:15:38"/>
    <d v="2024-08-20T19:15:38"/>
    <m/>
    <m/>
    <d v="2024-07-26T00:00:00"/>
    <s v="Verificar contraseña"/>
    <x v="6"/>
    <s v="Configuracion Software"/>
    <x v="2"/>
    <m/>
    <m/>
    <m/>
    <s v="CANELLA, SOCIEDAD ANONIMA"/>
    <s v="GERENCIA DE DESARROLLO/SERVICIOS TI CORPORATIVOS"/>
    <n v="3007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Verificación de Problema"/>
    <n v="72"/>
    <b v="1"/>
    <n v="21276"/>
    <m/>
    <s v="05860@general.tbd"/>
    <n v="21277"/>
    <n v="0"/>
    <n v="2766"/>
    <n v="8777"/>
    <s v="Mesa Ayuda Infraestructura"/>
    <n v="231.86888888888799"/>
    <m/>
  </r>
  <r>
    <n v="3105"/>
    <n v="8.3333333333333301E-2"/>
    <d v="1899-12-30T00:05:00"/>
    <s v="50-Finalizado"/>
    <d v="1900-01-01T00:00:00"/>
    <x v="236"/>
    <d v="2024-07-26T00:00:00"/>
    <d v="2024-07-26T15:11:23"/>
    <x v="40"/>
    <n v="231.86888888888799"/>
    <d v="1900-01-08T15:52:08"/>
    <d v="2024-07-26T00:00:00"/>
    <d v="2024-07-26T15:11:23"/>
    <m/>
    <d v="1899-12-31T00:00:00"/>
    <d v="2024-08-05T07:03:31"/>
    <b v="1"/>
    <d v="2024-08-05T07:03:31"/>
    <d v="2024-08-20T19:15:38"/>
    <d v="2024-08-20T19:15:38"/>
    <m/>
    <m/>
    <d v="2024-07-26T00:00:00"/>
    <s v="Verificación de probelma"/>
    <x v="6"/>
    <s v="Configuracion Software"/>
    <x v="2"/>
    <m/>
    <m/>
    <m/>
    <s v="CANELLA, SOCIEDAD ANONIMA"/>
    <s v="GERENCIA DE DESARROLLO/SERVICIOS TI CORPORATIVOS"/>
    <n v="3007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Verificación de Problema"/>
    <n v="72"/>
    <b v="1"/>
    <n v="21276"/>
    <m/>
    <s v="05860@general.tbd"/>
    <n v="21276"/>
    <n v="0"/>
    <n v="2766"/>
    <n v="8777"/>
    <s v="Mesa Ayuda Infraestructura"/>
    <n v="231.86888888888799"/>
    <m/>
  </r>
  <r>
    <n v="3091"/>
    <n v="0.1"/>
    <d v="1899-12-30T00:06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9T00:00:00"/>
    <s v="Desinstalación de ESET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2071"/>
    <n v="0"/>
    <n v="2766"/>
    <n v="8777"/>
    <s v="Mesa Ayuda Infraestructura"/>
    <n v="248.03611111111101"/>
    <m/>
  </r>
  <r>
    <n v="3091"/>
    <n v="1.6666666666666601E-2"/>
    <d v="1899-12-30T00:01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9T00:00:00"/>
    <s v="Llamada a usuari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2068"/>
    <n v="0"/>
    <n v="2766"/>
    <n v="8777"/>
    <s v="Mesa Ayuda Infraestructura"/>
    <n v="248.03611111111101"/>
    <m/>
  </r>
  <r>
    <n v="3091"/>
    <n v="0.05"/>
    <d v="1899-12-30T00:03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Correo para verificar numeros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466"/>
    <n v="0"/>
    <n v="2766"/>
    <n v="8777"/>
    <s v="Mesa Ayuda Infraestructura"/>
    <n v="248.03611111111101"/>
    <m/>
  </r>
  <r>
    <n v="3091"/>
    <n v="0.1"/>
    <d v="1899-12-30T00:06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 y desinstalación de ESET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438"/>
    <n v="0"/>
    <n v="2766"/>
    <n v="8777"/>
    <s v="Mesa Ayuda Infraestructura"/>
    <n v="248.03611111111101"/>
    <m/>
  </r>
  <r>
    <n v="3091"/>
    <n v="0.116666666666666"/>
    <d v="1899-12-30T00:07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 y desinstalación de ESET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431"/>
    <n v="0"/>
    <n v="2766"/>
    <n v="8777"/>
    <s v="Mesa Ayuda Infraestructura"/>
    <n v="248.03611111111101"/>
    <m/>
  </r>
  <r>
    <n v="3091"/>
    <n v="0.05"/>
    <d v="1899-12-30T00:03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para confirmación de desinstalación de ESET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428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Desinstalación de ESET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420"/>
    <n v="0"/>
    <n v="2766"/>
    <n v="8777"/>
    <s v="Mesa Ayuda Infraestructura"/>
    <n v="248.03611111111101"/>
    <m/>
  </r>
  <r>
    <n v="3091"/>
    <n v="1.6666666666666601E-2"/>
    <d v="1899-12-30T00:01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405"/>
    <n v="0"/>
    <n v="2766"/>
    <n v="8777"/>
    <s v="Mesa Ayuda Infraestructura"/>
    <n v="248.03611111111101"/>
    <m/>
  </r>
  <r>
    <n v="3091"/>
    <n v="1.6666666666666601E-2"/>
    <d v="1899-12-30T00:01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401"/>
    <n v="0"/>
    <n v="2766"/>
    <n v="8777"/>
    <s v="Mesa Ayuda Infraestructura"/>
    <n v="248.03611111111101"/>
    <m/>
  </r>
  <r>
    <n v="3091"/>
    <n v="1.6666666666666601E-2"/>
    <d v="1899-12-30T00:01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400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Desinstalación de ESET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94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93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92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Desinstalación de ESET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79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78"/>
    <n v="0"/>
    <n v="2766"/>
    <n v="8777"/>
    <s v="Mesa Ayuda Infraestructura"/>
    <n v="248.03611111111101"/>
    <m/>
  </r>
  <r>
    <n v="3091"/>
    <n v="1.6666666666666601E-2"/>
    <d v="1899-12-30T00:01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Verificación de ESET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77"/>
    <n v="0"/>
    <n v="2766"/>
    <n v="8777"/>
    <s v="Mesa Ayuda Infraestructura"/>
    <n v="248.03611111111101"/>
    <m/>
  </r>
  <r>
    <n v="3091"/>
    <n v="0.05"/>
    <d v="1899-12-30T00:03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76"/>
    <n v="0"/>
    <n v="2766"/>
    <n v="8777"/>
    <s v="Mesa Ayuda Infraestructura"/>
    <n v="248.03611111111101"/>
    <m/>
  </r>
  <r>
    <n v="3091"/>
    <n v="1.6666666666666601E-2"/>
    <d v="1899-12-30T00:01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72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Desinstalación de ESET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62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61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Desinstalación de ESET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60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59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Correo para verificación de numeros telefónicos corporativos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33"/>
    <n v="0"/>
    <n v="2766"/>
    <n v="8777"/>
    <s v="Mesa Ayuda Infraestructura"/>
    <n v="248.03611111111101"/>
    <m/>
  </r>
  <r>
    <n v="3070"/>
    <n v="0.133333333333333"/>
    <d v="1899-12-30T00:08:00"/>
    <s v="50-Finalizado"/>
    <d v="1900-01-01T00:00:00"/>
    <x v="238"/>
    <d v="2024-07-25T00:00:00"/>
    <d v="2024-07-25T17:54:54"/>
    <x v="40"/>
    <n v="253.143611111111"/>
    <d v="1900-01-09T13:08:37"/>
    <d v="2024-07-25T00:00:00"/>
    <d v="2024-07-25T17:54:54"/>
    <m/>
    <d v="1899-12-31T00:00:00"/>
    <d v="2024-08-05T07:03:31"/>
    <b v="1"/>
    <d v="2024-08-05T07:03:31"/>
    <d v="2024-08-20T19:15:38"/>
    <d v="2024-08-20T19:15:38"/>
    <m/>
    <m/>
    <d v="2024-07-26T00:00:00"/>
    <s v="Envío de información a José Juarez"/>
    <x v="10"/>
    <s v="Configuracion Software"/>
    <x v="2"/>
    <s v="Ciberseguridad"/>
    <m/>
    <m/>
    <s v="CANELLA, SOCIEDAD ANONIMA"/>
    <s v="REPUESTOS ISUZU/VENTAS"/>
    <n v="2972"/>
    <n v="35"/>
    <s v="Mesa Ayuda Infraestructura"/>
    <n v="247728"/>
    <s v="JOSE ANTONIO JUAREZ MANCILLA"/>
    <n v="248"/>
    <s v="CANELLA"/>
    <n v="2"/>
    <n v="29"/>
    <m/>
    <m/>
    <n v="1"/>
    <s v="CANELLA"/>
    <n v="248"/>
    <s v="Juan Carlos Barillas"/>
    <s v="&lt;p&gt;Información Protección de Información Reps Isuzu&lt;/p&gt;"/>
    <s v="normal"/>
    <s v="En proceso"/>
    <s v="Información Protección de Información Reps Isuzu"/>
    <n v="72"/>
    <b v="1"/>
    <s v="[21830, 21570, 20986]"/>
    <m/>
    <s v="04729@general.tbd"/>
    <n v="21830"/>
    <n v="0"/>
    <n v="248"/>
    <n v="8777"/>
    <s v="Mesa Ayuda Infraestructura"/>
    <n v="253.143611111111"/>
    <m/>
  </r>
  <r>
    <n v="3070"/>
    <n v="0.75"/>
    <d v="1899-12-30T00:45:00"/>
    <s v="50-Finalizado"/>
    <d v="1900-01-01T00:00:00"/>
    <x v="238"/>
    <d v="2024-07-25T00:00:00"/>
    <d v="2024-07-25T17:54:54"/>
    <x v="40"/>
    <n v="253.143611111111"/>
    <d v="1900-01-09T13:08:37"/>
    <d v="2024-07-25T00:00:00"/>
    <d v="2024-07-25T17:54:54"/>
    <m/>
    <d v="1899-12-31T00:00:00"/>
    <d v="2024-08-05T07:03:31"/>
    <b v="1"/>
    <d v="2024-08-05T07:03:31"/>
    <d v="2024-08-20T19:15:38"/>
    <d v="2024-08-20T19:15:38"/>
    <m/>
    <m/>
    <d v="2024-07-26T00:00:00"/>
    <s v="Información Protección de Información Reps Isuzu"/>
    <x v="10"/>
    <s v="Configuracion Software"/>
    <x v="2"/>
    <s v="Ciberseguridad"/>
    <m/>
    <m/>
    <s v="CANELLA, SOCIEDAD ANONIMA"/>
    <s v="REPUESTOS ISUZU/VENTAS"/>
    <n v="2972"/>
    <n v="35"/>
    <s v="Mesa Ayuda Infraestructura"/>
    <n v="247728"/>
    <s v="JOSE ANTONIO JUAREZ MANCILLA"/>
    <n v="248"/>
    <s v="CANELLA"/>
    <n v="2"/>
    <n v="29"/>
    <m/>
    <m/>
    <n v="1"/>
    <s v="CANELLA"/>
    <n v="248"/>
    <s v="Juan Carlos Barillas"/>
    <s v="&lt;p&gt;Información Protección de Información Reps Isuzu&lt;/p&gt;"/>
    <s v="normal"/>
    <s v="En proceso"/>
    <s v="Información Protección de Información Reps Isuzu"/>
    <n v="72"/>
    <b v="1"/>
    <s v="[21830, 21570, 20986]"/>
    <m/>
    <s v="04729@general.tbd"/>
    <n v="21570"/>
    <n v="0"/>
    <n v="248"/>
    <n v="8777"/>
    <s v="Mesa Ayuda Infraestructura"/>
    <n v="253.143611111111"/>
    <m/>
  </r>
  <r>
    <n v="3070"/>
    <n v="0"/>
    <d v="1899-12-30T00:00:00"/>
    <s v="50-Finalizado"/>
    <d v="1900-01-01T00:00:00"/>
    <x v="238"/>
    <d v="2024-07-25T00:00:00"/>
    <d v="2024-07-25T17:54:54"/>
    <x v="40"/>
    <n v="253.143611111111"/>
    <d v="1900-01-09T13:08:37"/>
    <d v="2024-07-25T00:00:00"/>
    <d v="2024-07-25T17:54:54"/>
    <m/>
    <d v="1899-12-31T00:00:00"/>
    <d v="2024-08-05T07:03:31"/>
    <b v="1"/>
    <d v="2024-08-05T07:03:31"/>
    <d v="2024-08-20T19:15:38"/>
    <d v="2024-08-20T19:15:38"/>
    <m/>
    <m/>
    <d v="2024-07-25T00:00:00"/>
    <s v="Información Protección de Información Reps Isuzu"/>
    <x v="10"/>
    <s v="Configuracion Software"/>
    <x v="2"/>
    <s v="Ciberseguridad"/>
    <m/>
    <m/>
    <s v="CANELLA, SOCIEDAD ANONIMA"/>
    <s v="REPUESTOS ISUZU/VENTAS"/>
    <n v="2972"/>
    <n v="35"/>
    <s v="Mesa Ayuda Infraestructura"/>
    <n v="247728"/>
    <s v="JOSE ANTONIO JUAREZ MANCILLA"/>
    <n v="248"/>
    <s v="CANELLA"/>
    <n v="2"/>
    <n v="29"/>
    <m/>
    <m/>
    <n v="1"/>
    <s v="CANELLA"/>
    <n v="248"/>
    <s v="Juan Carlos Barillas"/>
    <s v="&lt;p&gt;Información Protección de Información Reps Isuzu&lt;/p&gt;"/>
    <s v="normal"/>
    <s v="En proceso"/>
    <s v="Información Protección de Información Reps Isuzu"/>
    <n v="72"/>
    <b v="1"/>
    <s v="[21830, 21570, 20986]"/>
    <m/>
    <s v="04729@general.tbd"/>
    <n v="20986"/>
    <n v="0"/>
    <n v="248"/>
    <n v="8777"/>
    <s v="Mesa Ayuda Infraestructura"/>
    <n v="253.143611111111"/>
    <m/>
  </r>
  <r>
    <n v="3065"/>
    <n v="0.16666666666666599"/>
    <d v="1899-12-30T00:10:00"/>
    <s v="50-Finalizado"/>
    <d v="1900-01-01T00:00:00"/>
    <x v="239"/>
    <d v="2024-07-25T00:00:00"/>
    <d v="2024-07-25T17:21:13"/>
    <x v="40"/>
    <n v="253.70499999999899"/>
    <d v="1900-01-09T13:42:18"/>
    <d v="2024-07-25T00:00:00"/>
    <d v="2024-07-25T17:21:13"/>
    <m/>
    <d v="1899-12-31T00:00:00"/>
    <d v="2024-08-05T07:03:31"/>
    <b v="1"/>
    <d v="2024-08-05T07:03:31"/>
    <d v="2024-08-20T19:15:38"/>
    <d v="2024-08-20T19:15:38"/>
    <m/>
    <m/>
    <d v="2024-07-25T00:00:00"/>
    <s v="Configuración Correcta"/>
    <x v="6"/>
    <s v="Configuracion Software"/>
    <x v="2"/>
    <m/>
    <m/>
    <m/>
    <s v="CANELLA, SOCIEDAD ANONIMA"/>
    <s v="RECURSOS HUMANOS"/>
    <n v="2967"/>
    <n v="35"/>
    <s v="Mesa Ayuda Infraestructura"/>
    <n v="247292"/>
    <s v="MELFIN OBDULIO BARRIOS AGUSTIN"/>
    <n v="2766"/>
    <s v="CANELLA"/>
    <n v="2"/>
    <m/>
    <m/>
    <m/>
    <n v="1"/>
    <s v="CANELLA"/>
    <n v="2766"/>
    <s v="José Julajuj Chumil"/>
    <m/>
    <s v="normal"/>
    <s v="En proceso"/>
    <s v="Configuración de impresión"/>
    <n v="72"/>
    <b v="1"/>
    <s v="[20965, 20964, 20963]"/>
    <m/>
    <s v="06247@general.tbd"/>
    <n v="20965"/>
    <n v="0"/>
    <n v="2766"/>
    <n v="8777"/>
    <s v="Mesa Ayuda Infraestructura"/>
    <n v="253.70499999999899"/>
    <m/>
  </r>
  <r>
    <n v="3065"/>
    <n v="0.33333333333333298"/>
    <d v="1899-12-30T00:20:00"/>
    <s v="50-Finalizado"/>
    <d v="1900-01-01T00:00:00"/>
    <x v="239"/>
    <d v="2024-07-25T00:00:00"/>
    <d v="2024-07-25T17:21:13"/>
    <x v="40"/>
    <n v="253.70499999999899"/>
    <d v="1900-01-09T13:42:18"/>
    <d v="2024-07-25T00:00:00"/>
    <d v="2024-07-25T17:21:13"/>
    <m/>
    <d v="1899-12-31T00:00:00"/>
    <d v="2024-08-05T07:03:31"/>
    <b v="1"/>
    <d v="2024-08-05T07:03:31"/>
    <d v="2024-08-20T19:15:38"/>
    <d v="2024-08-20T19:15:38"/>
    <m/>
    <m/>
    <d v="2024-07-25T00:00:00"/>
    <s v="Pruebas de configuración"/>
    <x v="6"/>
    <s v="Configuracion Software"/>
    <x v="2"/>
    <m/>
    <m/>
    <m/>
    <s v="CANELLA, SOCIEDAD ANONIMA"/>
    <s v="RECURSOS HUMANOS"/>
    <n v="2967"/>
    <n v="35"/>
    <s v="Mesa Ayuda Infraestructura"/>
    <n v="247292"/>
    <s v="MELFIN OBDULIO BARRIOS AGUSTIN"/>
    <n v="2766"/>
    <s v="CANELLA"/>
    <n v="2"/>
    <m/>
    <m/>
    <m/>
    <n v="1"/>
    <s v="CANELLA"/>
    <n v="2766"/>
    <s v="José Julajuj Chumil"/>
    <m/>
    <s v="normal"/>
    <s v="En proceso"/>
    <s v="Configuración de impresión"/>
    <n v="72"/>
    <b v="1"/>
    <s v="[20965, 20964, 20963]"/>
    <m/>
    <s v="06247@general.tbd"/>
    <n v="20964"/>
    <n v="0"/>
    <n v="2766"/>
    <n v="8777"/>
    <s v="Mesa Ayuda Infraestructura"/>
    <n v="253.70499999999899"/>
    <m/>
  </r>
  <r>
    <n v="3065"/>
    <n v="0.16666666666666599"/>
    <d v="1899-12-30T00:10:00"/>
    <s v="50-Finalizado"/>
    <d v="1900-01-01T00:00:00"/>
    <x v="239"/>
    <d v="2024-07-25T00:00:00"/>
    <d v="2024-07-25T17:21:13"/>
    <x v="40"/>
    <n v="253.70499999999899"/>
    <d v="1900-01-09T13:42:18"/>
    <d v="2024-07-25T00:00:00"/>
    <d v="2024-07-25T17:21:13"/>
    <m/>
    <d v="1899-12-31T00:00:00"/>
    <d v="2024-08-05T07:03:31"/>
    <b v="1"/>
    <d v="2024-08-05T07:03:31"/>
    <d v="2024-08-20T19:15:38"/>
    <d v="2024-08-20T19:15:38"/>
    <m/>
    <m/>
    <d v="2024-07-25T00:00:00"/>
    <s v="Resolución del problema"/>
    <x v="6"/>
    <s v="Configuracion Software"/>
    <x v="2"/>
    <m/>
    <m/>
    <m/>
    <s v="CANELLA, SOCIEDAD ANONIMA"/>
    <s v="RECURSOS HUMANOS"/>
    <n v="2967"/>
    <n v="35"/>
    <s v="Mesa Ayuda Infraestructura"/>
    <n v="247292"/>
    <s v="MELFIN OBDULIO BARRIOS AGUSTIN"/>
    <n v="2766"/>
    <s v="CANELLA"/>
    <n v="2"/>
    <m/>
    <m/>
    <m/>
    <n v="1"/>
    <s v="CANELLA"/>
    <n v="2766"/>
    <s v="José Julajuj Chumil"/>
    <m/>
    <s v="normal"/>
    <s v="En proceso"/>
    <s v="Configuración de impresión"/>
    <n v="72"/>
    <b v="1"/>
    <s v="[20965, 20964, 20963]"/>
    <m/>
    <s v="06247@general.tbd"/>
    <n v="20963"/>
    <n v="0"/>
    <n v="2766"/>
    <n v="8777"/>
    <s v="Mesa Ayuda Infraestructura"/>
    <n v="253.70499999999899"/>
    <m/>
  </r>
  <r>
    <n v="3056"/>
    <n v="2.3333333333333299"/>
    <d v="1899-12-30T02:20:00"/>
    <s v="50-Finalizado"/>
    <d v="1900-01-01T00:00:00"/>
    <x v="240"/>
    <d v="2024-07-25T00:00:00"/>
    <d v="2024-07-25T16:09:25"/>
    <x v="40"/>
    <n v="254.90166666666599"/>
    <d v="1900-01-09T14:54:06"/>
    <d v="2024-07-25T00:00:00"/>
    <d v="2024-07-25T16:09:25"/>
    <m/>
    <d v="1899-12-31T00:00:00"/>
    <d v="2024-08-05T07:03:31"/>
    <b v="1"/>
    <d v="2024-08-05T07:03:31"/>
    <d v="2024-08-20T19:15:38"/>
    <d v="2024-08-20T19:15:38"/>
    <m/>
    <m/>
    <d v="2024-07-25T00:00:00"/>
    <s v="Se procede a preparar cargador, y baterías de repuesto para uso en zona 13"/>
    <x v="3"/>
    <m/>
    <x v="2"/>
    <m/>
    <m/>
    <m/>
    <s v="CANELLA, SOCIEDAD ANONIMA"/>
    <s v="PROYECTOS Y ORGANIZACION Y METODOS"/>
    <n v="2958"/>
    <n v="35"/>
    <s v="Mesa Ayuda Infraestructura"/>
    <n v="247393"/>
    <s v="MIGUEL EDUARDO PEREZ LOPEZ"/>
    <n v="299"/>
    <s v="CANELLA"/>
    <m/>
    <m/>
    <m/>
    <m/>
    <n v="1"/>
    <s v="CANELLA"/>
    <n v="299"/>
    <s v="Rosario Lic"/>
    <m/>
    <s v="normal"/>
    <s v="En proceso"/>
    <s v="Equipo para proyecto de WMS"/>
    <n v="72"/>
    <b v="1"/>
    <s v="[20947]"/>
    <m/>
    <s v="06031@general.tbd"/>
    <n v="20947"/>
    <n v="0"/>
    <n v="299"/>
    <n v="8777"/>
    <s v="Mesa Ayuda Infraestructura"/>
    <n v="254.90166666666599"/>
    <m/>
  </r>
  <r>
    <n v="3026"/>
    <n v="0.38333333333333303"/>
    <d v="1899-12-30T00:23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8-06T00:00:00"/>
    <s v="Verificación con bodega, como podríamos solventar la partición de 1 entrega en varios traslados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4785"/>
    <n v="0"/>
    <n v="299"/>
    <n v="8777"/>
    <s v="Mesa Ayuda Infraestructura"/>
    <n v="438.45583333333298"/>
    <m/>
  </r>
  <r>
    <n v="3026"/>
    <n v="0.91666666666666596"/>
    <d v="1899-12-30T00:55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8-06T00:00:00"/>
    <s v="Se encontró en SAP que la entrega faltante tiene mas artículos de lo esperado y se debe verificar si los artículos en la entrega ya han sido facturados y la ubicación de los mismos, si no se han entregado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4708"/>
    <n v="0"/>
    <n v="299"/>
    <n v="8777"/>
    <s v="Mesa Ayuda Infraestructura"/>
    <n v="438.45583333333298"/>
    <m/>
  </r>
  <r>
    <n v="3026"/>
    <n v="0.7"/>
    <d v="1899-12-30T00:42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8-06T00:00:00"/>
    <s v="Se Mantuvo una conversación vía telefónica con Alejandra Gómez indicando falta un traslado de los 11 combos y se le brindó una breve explicación del proceso de facturación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4642"/>
    <n v="0"/>
    <n v="299"/>
    <n v="8777"/>
    <s v="Mesa Ayuda Infraestructura"/>
    <n v="438.45583333333298"/>
    <m/>
  </r>
  <r>
    <n v="3026"/>
    <n v="0.36666666666666597"/>
    <d v="1899-12-30T00:22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8-06T00:00:00"/>
    <s v="Se verificó el listado de accesorios en el cual se encontró 11 teclados inalámbricos que no están dentro de los traslados anteriores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4641"/>
    <n v="0"/>
    <n v="299"/>
    <n v="8777"/>
    <s v="Mesa Ayuda Infraestructura"/>
    <n v="438.45583333333298"/>
    <m/>
  </r>
  <r>
    <n v="3026"/>
    <n v="0.45"/>
    <d v="1899-12-30T00:27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8-06T00:00:00"/>
    <s v="Verificación de listado de excel enviado por corporativo rectificar cantidades, series en SAP cantidad de UPS Forza AB-PRO1000T (19) series / traslado / OC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4640"/>
    <n v="0"/>
    <n v="299"/>
    <n v="8777"/>
    <s v="Mesa Ayuda Infraestructura"/>
    <n v="438.45583333333298"/>
    <m/>
  </r>
  <r>
    <n v="3026"/>
    <n v="0.8"/>
    <d v="1899-12-30T00:48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8-06T00:00:00"/>
    <s v="Verificación de cantidad de UPS Forza NT-751 (28) series / traslado / OC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4639"/>
    <n v="0"/>
    <n v="299"/>
    <n v="8777"/>
    <s v="Mesa Ayuda Infraestructura"/>
    <n v="438.45583333333298"/>
    <m/>
  </r>
  <r>
    <n v="3026"/>
    <n v="0.6"/>
    <d v="1899-12-30T00:36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8-06T00:00:00"/>
    <s v="Verificación de listado de accesorios con traslados enviados por bodega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4638"/>
    <n v="0"/>
    <n v="299"/>
    <n v="8777"/>
    <s v="Mesa Ayuda Infraestructura"/>
    <n v="438.45583333333298"/>
    <m/>
  </r>
  <r>
    <n v="3026"/>
    <n v="0.28333333333333299"/>
    <d v="1899-12-30T00:17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8-02T00:00:00"/>
    <s v="Reunión para verificación de información para culminar proceso de facturación.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3519"/>
    <n v="0"/>
    <n v="299"/>
    <n v="8777"/>
    <s v="Mesa Ayuda Infraestructura"/>
    <n v="438.45583333333298"/>
    <m/>
  </r>
  <r>
    <n v="3026"/>
    <n v="0.16666666666666599"/>
    <d v="1899-12-30T00:10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7-31T00:00:00"/>
    <s v="Se brinda seguimiento para facturación de ordenes de compra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2684"/>
    <n v="0"/>
    <n v="299"/>
    <n v="8777"/>
    <s v="Mesa Ayuda Infraestructura"/>
    <n v="438.45583333333298"/>
    <m/>
  </r>
  <r>
    <n v="3026"/>
    <n v="3"/>
    <d v="1899-12-30T03:00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7-30T00:00:00"/>
    <s v="Se procede a realizar ordenes de compra y ordenes de entrega para facturacion.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2541"/>
    <n v="0"/>
    <n v="299"/>
    <n v="8777"/>
    <s v="Mesa Ayuda Infraestructura"/>
    <n v="438.45583333333298"/>
    <m/>
  </r>
  <r>
    <n v="3026"/>
    <n v="2"/>
    <d v="1899-12-30T02:00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7-29T00:00:00"/>
    <s v="Verificación de listado de activos (concordancia con el reporte y los traslados)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2203"/>
    <n v="0"/>
    <n v="299"/>
    <n v="8777"/>
    <s v="Mesa Ayuda Infraestructura"/>
    <n v="438.45583333333298"/>
    <m/>
  </r>
  <r>
    <n v="3026"/>
    <n v="2"/>
    <d v="1899-12-30T02:00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7-29T00:00:00"/>
    <s v="Se procede a realizar traslado de bodegas de PM018 y orden de entrega de los activos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2154"/>
    <n v="0"/>
    <n v="299"/>
    <n v="8777"/>
    <s v="Mesa Ayuda Infraestructura"/>
    <n v="438.45583333333298"/>
    <m/>
  </r>
  <r>
    <n v="3000"/>
    <n v="0.16666666666666599"/>
    <d v="1899-12-30T00:10:00"/>
    <s v="50-Finalizado"/>
    <d v="1900-01-01T00:00:00"/>
    <x v="242"/>
    <d v="2024-07-23T00:00:00"/>
    <d v="2024-07-23T23:21:33"/>
    <x v="40"/>
    <n v="295.699444444444"/>
    <d v="1900-01-11T07:41:58"/>
    <d v="2024-07-23T00:00:00"/>
    <d v="2024-07-23T23:21:33"/>
    <m/>
    <d v="1899-12-31T00:00:00"/>
    <d v="2024-08-05T07:03:31"/>
    <b v="1"/>
    <d v="2024-08-05T07:03:31"/>
    <d v="2024-08-20T19:15:38"/>
    <d v="2024-08-20T19:15:38"/>
    <m/>
    <m/>
    <d v="2024-07-24T00:00:00"/>
    <s v="Instalación de Office 2016"/>
    <x v="6"/>
    <s v="Configuracion Software"/>
    <x v="2"/>
    <m/>
    <m/>
    <m/>
    <s v="CANELLA, SOCIEDAD ANONIMA"/>
    <s v="INFORMATICA"/>
    <n v="2902"/>
    <n v="35"/>
    <s v="Mesa Ayuda Infraestructura"/>
    <n v="247552"/>
    <s v="YOSSELYN ANETT IGNACIO PASCUAL"/>
    <n v="2766"/>
    <s v="CANELLA"/>
    <n v="2"/>
    <m/>
    <m/>
    <m/>
    <n v="1"/>
    <s v="CANELLA"/>
    <n v="2766"/>
    <s v="José Julajuj Chumil"/>
    <m/>
    <s v="normal"/>
    <s v="En proceso"/>
    <s v="CHECKLIST CPU"/>
    <n v="72"/>
    <b v="1"/>
    <s v="[20683, 20671, 20670, 20587, 20585, 20574]"/>
    <m/>
    <s v="05681@general.tbd"/>
    <n v="20683"/>
    <n v="0"/>
    <n v="2766"/>
    <n v="8777"/>
    <s v="Mesa Ayuda Infraestructura"/>
    <n v="295.699444444444"/>
    <m/>
  </r>
  <r>
    <n v="3000"/>
    <n v="0.41666666666666602"/>
    <d v="1899-12-30T00:25:00"/>
    <s v="50-Finalizado"/>
    <d v="1900-01-01T00:00:00"/>
    <x v="242"/>
    <d v="2024-07-23T00:00:00"/>
    <d v="2024-07-23T23:21:33"/>
    <x v="40"/>
    <n v="295.699444444444"/>
    <d v="1900-01-11T07:41:58"/>
    <d v="2024-07-23T00:00:00"/>
    <d v="2024-07-23T23:21:33"/>
    <m/>
    <d v="1899-12-31T00:00:00"/>
    <d v="2024-08-05T07:03:31"/>
    <b v="1"/>
    <d v="2024-08-05T07:03:31"/>
    <d v="2024-08-20T19:15:38"/>
    <d v="2024-08-20T19:15:38"/>
    <m/>
    <m/>
    <d v="2024-07-24T00:00:00"/>
    <s v="Eliminación de licencia de Anydesk"/>
    <x v="6"/>
    <s v="Configuracion Software"/>
    <x v="2"/>
    <m/>
    <m/>
    <m/>
    <s v="CANELLA, SOCIEDAD ANONIMA"/>
    <s v="INFORMATICA"/>
    <n v="2902"/>
    <n v="35"/>
    <s v="Mesa Ayuda Infraestructura"/>
    <n v="247552"/>
    <s v="YOSSELYN ANETT IGNACIO PASCUAL"/>
    <n v="2766"/>
    <s v="CANELLA"/>
    <n v="2"/>
    <m/>
    <m/>
    <m/>
    <n v="1"/>
    <s v="CANELLA"/>
    <n v="2766"/>
    <s v="José Julajuj Chumil"/>
    <m/>
    <s v="normal"/>
    <s v="En proceso"/>
    <s v="CHECKLIST CPU"/>
    <n v="72"/>
    <b v="1"/>
    <s v="[20683, 20671, 20670, 20587, 20585, 20574]"/>
    <m/>
    <s v="05681@general.tbd"/>
    <n v="20671"/>
    <n v="0"/>
    <n v="2766"/>
    <n v="8777"/>
    <s v="Mesa Ayuda Infraestructura"/>
    <n v="295.699444444444"/>
    <m/>
  </r>
  <r>
    <n v="3000"/>
    <n v="0.16666666666666599"/>
    <d v="1899-12-30T00:10:00"/>
    <s v="50-Finalizado"/>
    <d v="1900-01-01T00:00:00"/>
    <x v="242"/>
    <d v="2024-07-23T00:00:00"/>
    <d v="2024-07-23T23:21:33"/>
    <x v="40"/>
    <n v="295.699444444444"/>
    <d v="1900-01-11T07:41:58"/>
    <d v="2024-07-23T00:00:00"/>
    <d v="2024-07-23T23:21:33"/>
    <m/>
    <d v="1899-12-31T00:00:00"/>
    <d v="2024-08-05T07:03:31"/>
    <b v="1"/>
    <d v="2024-08-05T07:03:31"/>
    <d v="2024-08-20T19:15:38"/>
    <d v="2024-08-20T19:15:38"/>
    <m/>
    <m/>
    <d v="2024-07-24T00:00:00"/>
    <s v="Activación de VNC"/>
    <x v="6"/>
    <s v="Configuracion Software"/>
    <x v="2"/>
    <m/>
    <m/>
    <m/>
    <s v="CANELLA, SOCIEDAD ANONIMA"/>
    <s v="INFORMATICA"/>
    <n v="2902"/>
    <n v="35"/>
    <s v="Mesa Ayuda Infraestructura"/>
    <n v="247552"/>
    <s v="YOSSELYN ANETT IGNACIO PASCUAL"/>
    <n v="2766"/>
    <s v="CANELLA"/>
    <n v="2"/>
    <m/>
    <m/>
    <m/>
    <n v="1"/>
    <s v="CANELLA"/>
    <n v="2766"/>
    <s v="José Julajuj Chumil"/>
    <m/>
    <s v="normal"/>
    <s v="En proceso"/>
    <s v="CHECKLIST CPU"/>
    <n v="72"/>
    <b v="1"/>
    <s v="[20683, 20671, 20670, 20587, 20585, 20574]"/>
    <m/>
    <s v="05681@general.tbd"/>
    <n v="20670"/>
    <n v="0"/>
    <n v="2766"/>
    <n v="8777"/>
    <s v="Mesa Ayuda Infraestructura"/>
    <n v="295.699444444444"/>
    <m/>
  </r>
  <r>
    <n v="3000"/>
    <n v="0.25"/>
    <d v="1899-12-30T00:15:00"/>
    <s v="50-Finalizado"/>
    <d v="1900-01-01T00:00:00"/>
    <x v="242"/>
    <d v="2024-07-23T00:00:00"/>
    <d v="2024-07-23T23:21:33"/>
    <x v="40"/>
    <n v="295.699444444444"/>
    <d v="1900-01-11T07:41:58"/>
    <d v="2024-07-23T00:00:00"/>
    <d v="2024-07-23T23:21:33"/>
    <m/>
    <d v="1899-12-31T00:00:00"/>
    <d v="2024-08-05T07:03:31"/>
    <b v="1"/>
    <d v="2024-08-05T07:03:31"/>
    <d v="2024-08-20T19:15:38"/>
    <d v="2024-08-20T19:15:38"/>
    <m/>
    <m/>
    <d v="2024-07-23T00:00:00"/>
    <s v="Actualizaciones de Windows"/>
    <x v="6"/>
    <s v="Configuracion Software"/>
    <x v="2"/>
    <m/>
    <m/>
    <m/>
    <s v="CANELLA, SOCIEDAD ANONIMA"/>
    <s v="INFORMATICA"/>
    <n v="2902"/>
    <n v="35"/>
    <s v="Mesa Ayuda Infraestructura"/>
    <n v="247552"/>
    <s v="YOSSELYN ANETT IGNACIO PASCUAL"/>
    <n v="2766"/>
    <s v="CANELLA"/>
    <n v="2"/>
    <m/>
    <m/>
    <m/>
    <n v="1"/>
    <s v="CANELLA"/>
    <n v="2766"/>
    <s v="José Julajuj Chumil"/>
    <m/>
    <s v="normal"/>
    <s v="En proceso"/>
    <s v="CHECKLIST CPU"/>
    <n v="72"/>
    <b v="1"/>
    <s v="[20683, 20671, 20670, 20587, 20585, 20574]"/>
    <m/>
    <s v="05681@general.tbd"/>
    <n v="20587"/>
    <n v="0"/>
    <n v="2766"/>
    <n v="8777"/>
    <s v="Mesa Ayuda Infraestructura"/>
    <n v="295.699444444444"/>
    <m/>
  </r>
  <r>
    <n v="3000"/>
    <n v="8.3333333333333301E-2"/>
    <d v="1899-12-30T00:05:00"/>
    <s v="50-Finalizado"/>
    <d v="1900-01-01T00:00:00"/>
    <x v="242"/>
    <d v="2024-07-23T00:00:00"/>
    <d v="2024-07-23T23:21:33"/>
    <x v="40"/>
    <n v="295.699444444444"/>
    <d v="1900-01-11T07:41:58"/>
    <d v="2024-07-23T00:00:00"/>
    <d v="2024-07-23T23:21:33"/>
    <m/>
    <d v="1899-12-31T00:00:00"/>
    <d v="2024-08-05T07:03:31"/>
    <b v="1"/>
    <d v="2024-08-05T07:03:31"/>
    <d v="2024-08-20T19:15:38"/>
    <d v="2024-08-20T19:15:38"/>
    <m/>
    <m/>
    <d v="2024-07-23T00:00:00"/>
    <s v="Desactivación se segurity boot"/>
    <x v="6"/>
    <s v="Configuracion Software"/>
    <x v="2"/>
    <m/>
    <m/>
    <m/>
    <s v="CANELLA, SOCIEDAD ANONIMA"/>
    <s v="INFORMATICA"/>
    <n v="2902"/>
    <n v="35"/>
    <s v="Mesa Ayuda Infraestructura"/>
    <n v="247552"/>
    <s v="YOSSELYN ANETT IGNACIO PASCUAL"/>
    <n v="2766"/>
    <s v="CANELLA"/>
    <n v="2"/>
    <m/>
    <m/>
    <m/>
    <n v="1"/>
    <s v="CANELLA"/>
    <n v="2766"/>
    <s v="José Julajuj Chumil"/>
    <m/>
    <s v="normal"/>
    <s v="En proceso"/>
    <s v="CHECKLIST CPU"/>
    <n v="72"/>
    <b v="1"/>
    <s v="[20683, 20671, 20670, 20587, 20585, 20574]"/>
    <m/>
    <s v="05681@general.tbd"/>
    <n v="20585"/>
    <n v="0"/>
    <n v="2766"/>
    <n v="8777"/>
    <s v="Mesa Ayuda Infraestructura"/>
    <n v="295.699444444444"/>
    <m/>
  </r>
  <r>
    <n v="3000"/>
    <n v="0.5"/>
    <d v="1899-12-30T00:30:00"/>
    <s v="50-Finalizado"/>
    <d v="1900-01-01T00:00:00"/>
    <x v="242"/>
    <d v="2024-07-23T00:00:00"/>
    <d v="2024-07-23T23:21:33"/>
    <x v="40"/>
    <n v="295.699444444444"/>
    <d v="1900-01-11T07:41:58"/>
    <d v="2024-07-23T00:00:00"/>
    <d v="2024-07-23T23:21:33"/>
    <m/>
    <d v="1899-12-31T00:00:00"/>
    <d v="2024-08-05T07:03:31"/>
    <b v="1"/>
    <d v="2024-08-05T07:03:31"/>
    <d v="2024-08-20T19:15:38"/>
    <d v="2024-08-20T19:15:38"/>
    <m/>
    <m/>
    <d v="2024-07-23T00:00:00"/>
    <s v="Instalación de Windows 10"/>
    <x v="6"/>
    <s v="Configuracion Software"/>
    <x v="2"/>
    <m/>
    <m/>
    <m/>
    <s v="CANELLA, SOCIEDAD ANONIMA"/>
    <s v="INFORMATICA"/>
    <n v="2902"/>
    <n v="35"/>
    <s v="Mesa Ayuda Infraestructura"/>
    <n v="247552"/>
    <s v="YOSSELYN ANETT IGNACIO PASCUAL"/>
    <n v="2766"/>
    <s v="CANELLA"/>
    <n v="2"/>
    <m/>
    <m/>
    <m/>
    <n v="1"/>
    <s v="CANELLA"/>
    <n v="2766"/>
    <s v="José Julajuj Chumil"/>
    <m/>
    <s v="normal"/>
    <s v="En proceso"/>
    <s v="CHECKLIST CPU"/>
    <n v="72"/>
    <b v="1"/>
    <s v="[20683, 20671, 20670, 20587, 20585, 20574]"/>
    <m/>
    <s v="05681@general.tbd"/>
    <n v="20574"/>
    <n v="0"/>
    <n v="2766"/>
    <n v="8777"/>
    <s v="Mesa Ayuda Infraestructura"/>
    <n v="295.699444444444"/>
    <m/>
  </r>
  <r>
    <n v="2998"/>
    <n v="0.5"/>
    <d v="1899-12-30T00:30:00"/>
    <s v="50-Finalizado"/>
    <d v="1900-01-01T00:00:00"/>
    <x v="243"/>
    <d v="2024-07-23T00:00:00"/>
    <d v="2024-07-23T23:05:48"/>
    <x v="40"/>
    <n v="295.96194444444399"/>
    <d v="1900-01-11T07:57:43"/>
    <d v="2024-07-23T00:00:00"/>
    <d v="2024-07-23T23:05:48"/>
    <m/>
    <d v="1899-12-31T00:00:00"/>
    <d v="2024-08-05T07:03:31"/>
    <b v="1"/>
    <d v="2024-08-05T07:03:31"/>
    <d v="2024-08-20T19:15:38"/>
    <d v="2024-08-20T19:15:38"/>
    <m/>
    <m/>
    <d v="2024-07-23T00:00:00"/>
    <s v="Se procede a brindar seguimiento para comprobación de información para creación de orden de compra."/>
    <x v="3"/>
    <m/>
    <x v="2"/>
    <m/>
    <m/>
    <m/>
    <s v="CANELLA, SOCIEDAD ANONIMA"/>
    <s v="CENTRO DE COBRO"/>
    <n v="2900"/>
    <n v="35"/>
    <s v="Mesa Ayuda Infraestructura"/>
    <n v="246933"/>
    <s v="EDWARD ANTONY GARCIA ALVARADO"/>
    <n v="299"/>
    <s v="CANELLA"/>
    <m/>
    <m/>
    <m/>
    <m/>
    <n v="1"/>
    <s v="CANELLA"/>
    <n v="299"/>
    <s v="Rosario Lic"/>
    <m/>
    <s v="normal"/>
    <s v="En proceso"/>
    <s v="Cotización Stage de Pruebas"/>
    <n v="72"/>
    <b v="1"/>
    <s v="[20560]"/>
    <m/>
    <s v="06757@general.tbd"/>
    <n v="20560"/>
    <n v="0"/>
    <n v="299"/>
    <n v="8777"/>
    <s v="Mesa Ayuda Infraestructura"/>
    <n v="295.96194444444399"/>
    <m/>
  </r>
  <r>
    <n v="2995"/>
    <n v="0.5"/>
    <d v="1899-12-30T00:30:00"/>
    <s v="50-Finalizado"/>
    <d v="1900-01-01T00:00:00"/>
    <x v="244"/>
    <d v="2024-07-23T00:00:00"/>
    <d v="2024-07-23T22:29:57"/>
    <x v="40"/>
    <n v="296.55944444444401"/>
    <d v="1900-01-11T08:33:34"/>
    <d v="2024-07-23T00:00:00"/>
    <d v="2024-07-23T22:29:57"/>
    <m/>
    <d v="1899-12-31T00:00:00"/>
    <d v="2024-08-05T07:03:31"/>
    <b v="1"/>
    <d v="2024-08-05T07:03:31"/>
    <d v="2024-08-20T19:15:38"/>
    <d v="2024-08-20T19:15:38"/>
    <m/>
    <m/>
    <d v="2024-07-23T00:00:00"/>
    <s v="Se procede a indicar a Administrativo la cancelación de orden de compra por cambio en el nombre."/>
    <x v="3"/>
    <s v="Orden de compra"/>
    <x v="2"/>
    <m/>
    <m/>
    <m/>
    <s v="CANELLA, SOCIEDAD ANONIMA"/>
    <s v="UNIDAD DE SOLUCIONES DIGITALES"/>
    <n v="2897"/>
    <n v="35"/>
    <s v="Mesa Ayuda Infraestructura"/>
    <n v="247751"/>
    <s v="ABRAHAN HENRY FRANCISCO ESTRADA CIFUENTES"/>
    <n v="299"/>
    <s v="CANELLA"/>
    <n v="6"/>
    <m/>
    <m/>
    <m/>
    <n v="1"/>
    <s v="CANELLA"/>
    <n v="299"/>
    <s v="Rosario Lic"/>
    <m/>
    <s v="normal"/>
    <s v="En proceso"/>
    <s v="Dominio Cancelado de Laserfiche"/>
    <n v="72"/>
    <b v="1"/>
    <s v="[20547]"/>
    <m/>
    <s v="04545@general.tbd"/>
    <n v="20547"/>
    <n v="0"/>
    <n v="299"/>
    <n v="8777"/>
    <s v="Mesa Ayuda Infraestructura"/>
    <n v="296.55944444444401"/>
    <m/>
  </r>
  <r>
    <n v="2978"/>
    <n v="8.3333333333333301E-2"/>
    <d v="1899-12-30T00:05:00"/>
    <s v="50-Finalizado"/>
    <d v="1900-01-01T00:00:00"/>
    <x v="245"/>
    <d v="2024-07-23T00:00:00"/>
    <d v="2024-07-23T18:08:48"/>
    <x v="40"/>
    <n v="300.91194444444398"/>
    <d v="1900-01-11T12:54:43"/>
    <d v="2024-07-23T00:00:00"/>
    <d v="2024-07-23T18:08:48"/>
    <m/>
    <d v="1899-12-31T00:00:00"/>
    <d v="2024-08-05T07:03:31"/>
    <b v="1"/>
    <d v="2024-08-05T07:03:31"/>
    <d v="2024-08-20T19:15:38"/>
    <d v="2024-08-20T19:15:38"/>
    <m/>
    <m/>
    <d v="2024-07-23T00:00:00"/>
    <s v="Llamada para comunicación y indicaciones"/>
    <x v="6"/>
    <s v="Configuracion Hardware"/>
    <x v="2"/>
    <m/>
    <m/>
    <m/>
    <s v="CANELLA, SOCIEDAD ANONIMA"/>
    <s v="UNIDAD DE SOLUCIONES DIGITALES"/>
    <n v="2880"/>
    <n v="35"/>
    <s v="Mesa Ayuda Infraestructura"/>
    <n v="247923"/>
    <s v="NORMA ELIZABETH GARCIA VASQUEZ"/>
    <n v="2766"/>
    <s v="CANELLA"/>
    <n v="1"/>
    <m/>
    <m/>
    <m/>
    <n v="1"/>
    <s v="CANELLA"/>
    <n v="2766"/>
    <s v="José Julajuj Chumil"/>
    <m/>
    <s v="normal"/>
    <s v="En proceso"/>
    <s v="Bloqueo de Linea"/>
    <n v="72"/>
    <b v="1"/>
    <s v="[20469, 20468, 20467]"/>
    <m/>
    <s v="00123@general.tbd"/>
    <n v="20469"/>
    <n v="0"/>
    <n v="2766"/>
    <n v="8777"/>
    <s v="Mesa Ayuda Infraestructura"/>
    <n v="300.91194444444398"/>
    <m/>
  </r>
  <r>
    <n v="2978"/>
    <n v="8.3333333333333301E-2"/>
    <d v="1899-12-30T00:05:00"/>
    <s v="50-Finalizado"/>
    <d v="1900-01-01T00:00:00"/>
    <x v="245"/>
    <d v="2024-07-23T00:00:00"/>
    <d v="2024-07-23T18:08:48"/>
    <x v="40"/>
    <n v="300.91194444444398"/>
    <d v="1900-01-11T12:54:43"/>
    <d v="2024-07-23T00:00:00"/>
    <d v="2024-07-23T18:08:48"/>
    <m/>
    <d v="1899-12-31T00:00:00"/>
    <d v="2024-08-05T07:03:31"/>
    <b v="1"/>
    <d v="2024-08-05T07:03:31"/>
    <d v="2024-08-20T19:15:38"/>
    <d v="2024-08-20T19:15:38"/>
    <m/>
    <m/>
    <d v="2024-07-23T00:00:00"/>
    <s v="Verificación de datos de línea bloqueada"/>
    <x v="6"/>
    <s v="Configuracion Hardware"/>
    <x v="2"/>
    <m/>
    <m/>
    <m/>
    <s v="CANELLA, SOCIEDAD ANONIMA"/>
    <s v="UNIDAD DE SOLUCIONES DIGITALES"/>
    <n v="2880"/>
    <n v="35"/>
    <s v="Mesa Ayuda Infraestructura"/>
    <n v="247923"/>
    <s v="NORMA ELIZABETH GARCIA VASQUEZ"/>
    <n v="2766"/>
    <s v="CANELLA"/>
    <n v="1"/>
    <m/>
    <m/>
    <m/>
    <n v="1"/>
    <s v="CANELLA"/>
    <n v="2766"/>
    <s v="José Julajuj Chumil"/>
    <m/>
    <s v="normal"/>
    <s v="En proceso"/>
    <s v="Bloqueo de Linea"/>
    <n v="72"/>
    <b v="1"/>
    <s v="[20469, 20468, 20467]"/>
    <m/>
    <s v="00123@general.tbd"/>
    <n v="20468"/>
    <n v="0"/>
    <n v="2766"/>
    <n v="8777"/>
    <s v="Mesa Ayuda Infraestructura"/>
    <n v="300.91194444444398"/>
    <m/>
  </r>
  <r>
    <n v="2978"/>
    <n v="8.3333333333333301E-2"/>
    <d v="1899-12-30T00:05:00"/>
    <s v="50-Finalizado"/>
    <d v="1900-01-01T00:00:00"/>
    <x v="245"/>
    <d v="2024-07-23T00:00:00"/>
    <d v="2024-07-23T18:08:48"/>
    <x v="40"/>
    <n v="300.91194444444398"/>
    <d v="1900-01-11T12:54:43"/>
    <d v="2024-07-23T00:00:00"/>
    <d v="2024-07-23T18:08:48"/>
    <m/>
    <d v="1899-12-31T00:00:00"/>
    <d v="2024-08-05T07:03:31"/>
    <b v="1"/>
    <d v="2024-08-05T07:03:31"/>
    <d v="2024-08-20T19:15:38"/>
    <d v="2024-08-20T19:15:38"/>
    <m/>
    <m/>
    <d v="2024-07-23T00:00:00"/>
    <s v="Resolución de problema"/>
    <x v="6"/>
    <s v="Configuracion Hardware"/>
    <x v="2"/>
    <m/>
    <m/>
    <m/>
    <s v="CANELLA, SOCIEDAD ANONIMA"/>
    <s v="UNIDAD DE SOLUCIONES DIGITALES"/>
    <n v="2880"/>
    <n v="35"/>
    <s v="Mesa Ayuda Infraestructura"/>
    <n v="247923"/>
    <s v="NORMA ELIZABETH GARCIA VASQUEZ"/>
    <n v="2766"/>
    <s v="CANELLA"/>
    <n v="1"/>
    <m/>
    <m/>
    <m/>
    <n v="1"/>
    <s v="CANELLA"/>
    <n v="2766"/>
    <s v="José Julajuj Chumil"/>
    <m/>
    <s v="normal"/>
    <s v="En proceso"/>
    <s v="Bloqueo de Linea"/>
    <n v="72"/>
    <b v="1"/>
    <s v="[20469, 20468, 20467]"/>
    <m/>
    <s v="00123@general.tbd"/>
    <n v="20467"/>
    <n v="0"/>
    <n v="2766"/>
    <n v="8777"/>
    <s v="Mesa Ayuda Infraestructura"/>
    <n v="300.91194444444398"/>
    <m/>
  </r>
  <r>
    <n v="2968"/>
    <n v="0.41666666666666602"/>
    <d v="1899-12-30T00:25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instalación y entrega de monitor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564"/>
    <n v="0"/>
    <n v="2766"/>
    <n v="8777"/>
    <s v="Mesa Ayuda Infraestructura"/>
    <n v="302.58444444444399"/>
    <m/>
  </r>
  <r>
    <n v="2968"/>
    <n v="0.33333333333333298"/>
    <d v="1899-12-30T00:20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Instalación de cambio de monitor 2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563"/>
    <n v="0"/>
    <n v="2766"/>
    <n v="8777"/>
    <s v="Mesa Ayuda Infraestructura"/>
    <n v="302.58444444444399"/>
    <m/>
  </r>
  <r>
    <n v="2968"/>
    <n v="0.33333333333333298"/>
    <d v="1899-12-30T00:20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Instalación de cambio de monitor 1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562"/>
    <n v="0"/>
    <n v="2766"/>
    <n v="8777"/>
    <s v="Mesa Ayuda Infraestructura"/>
    <n v="302.58444444444399"/>
    <m/>
  </r>
  <r>
    <n v="2968"/>
    <n v="0.5"/>
    <d v="1899-12-30T00:30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Creación de memos para cambio y entrega de equipos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483"/>
    <n v="0"/>
    <n v="2766"/>
    <n v="8777"/>
    <s v="Mesa Ayuda Infraestructura"/>
    <n v="302.58444444444399"/>
    <m/>
  </r>
  <r>
    <n v="2968"/>
    <n v="0.33333333333333298"/>
    <d v="1899-12-30T00:20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Cambio de datos de usuario, de cambio de monitor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480"/>
    <n v="0"/>
    <n v="2766"/>
    <n v="8777"/>
    <s v="Mesa Ayuda Infraestructura"/>
    <n v="302.58444444444399"/>
    <m/>
  </r>
  <r>
    <n v="2968"/>
    <n v="0.33333333333333298"/>
    <d v="1899-12-30T00:20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Verificación de CPU puertos de monitor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478"/>
    <n v="0"/>
    <n v="2766"/>
    <n v="8777"/>
    <s v="Mesa Ayuda Infraestructura"/>
    <n v="302.58444444444399"/>
    <m/>
  </r>
  <r>
    <n v="2968"/>
    <n v="0.41666666666666602"/>
    <d v="1899-12-30T00:25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Apunte de series y modelos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456"/>
    <n v="0"/>
    <n v="2766"/>
    <n v="8777"/>
    <s v="Mesa Ayuda Infraestructura"/>
    <n v="302.58444444444399"/>
    <m/>
  </r>
  <r>
    <n v="2968"/>
    <n v="0.66666666666666596"/>
    <d v="1899-12-30T00:40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Tomando datos de equipo de cambio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454"/>
    <n v="0"/>
    <n v="2766"/>
    <n v="8777"/>
    <s v="Mesa Ayuda Infraestructura"/>
    <n v="302.58444444444399"/>
    <m/>
  </r>
  <r>
    <n v="2968"/>
    <n v="0.5"/>
    <d v="1899-12-30T00:30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Verificación de entradas de cambio de equipo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453"/>
    <n v="0"/>
    <n v="2766"/>
    <n v="8777"/>
    <s v="Mesa Ayuda Infraestructura"/>
    <n v="302.58444444444399"/>
    <m/>
  </r>
  <r>
    <n v="2968"/>
    <n v="0.25"/>
    <d v="1899-12-30T00:15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Armado de monitores en caja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420"/>
    <n v="0"/>
    <n v="2766"/>
    <n v="8777"/>
    <s v="Mesa Ayuda Infraestructura"/>
    <n v="302.58444444444399"/>
    <m/>
  </r>
  <r>
    <n v="2968"/>
    <n v="0.33333333333333298"/>
    <d v="1899-12-30T00:20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Verificación de monitores usados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419"/>
    <n v="0"/>
    <n v="2766"/>
    <n v="8777"/>
    <s v="Mesa Ayuda Infraestructura"/>
    <n v="302.58444444444399"/>
    <m/>
  </r>
  <r>
    <n v="2968"/>
    <n v="0.25"/>
    <d v="1899-12-30T00:15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Ir a bodega por monitores para instalación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418"/>
    <n v="0"/>
    <n v="2766"/>
    <n v="8777"/>
    <s v="Mesa Ayuda Infraestructura"/>
    <n v="302.58444444444399"/>
    <m/>
  </r>
  <r>
    <n v="2957"/>
    <n v="0.33333333333333298"/>
    <d v="1899-12-30T00:20:00"/>
    <s v="50-Finalizado"/>
    <d v="1900-01-01T00:00:00"/>
    <x v="247"/>
    <d v="2024-07-23T00:00:00"/>
    <d v="2024-07-23T15:08:04"/>
    <x v="40"/>
    <n v="303.924166666666"/>
    <d v="1900-01-11T15:55:27"/>
    <d v="2024-07-23T00:00:00"/>
    <d v="2024-07-23T15:08:04"/>
    <m/>
    <d v="1899-12-31T00:00:00"/>
    <d v="2024-08-05T07:03:31"/>
    <b v="1"/>
    <d v="2024-08-05T07:03:31"/>
    <d v="2024-08-20T19:15:38"/>
    <d v="2024-08-20T19:15:38"/>
    <m/>
    <m/>
    <d v="2024-07-25T00:00:00"/>
    <s v="Firma y envío de orden de compra"/>
    <x v="3"/>
    <s v="Orden de compra"/>
    <x v="2"/>
    <m/>
    <m/>
    <m/>
    <s v="CANELLA, SOCIEDAD ANONIMA"/>
    <s v="GRAFIPRONTO"/>
    <n v="2859"/>
    <n v="35"/>
    <s v="Mesa Ayuda Infraestructura"/>
    <n v="247729"/>
    <s v="OLGA MARIA DE LA CRUZ VALLADARES GUILLEN de OVALLE"/>
    <n v="299"/>
    <s v="CANELLA"/>
    <n v="6"/>
    <m/>
    <m/>
    <m/>
    <n v="1"/>
    <s v="CANELLA"/>
    <n v="299"/>
    <s v="Rosario Lic"/>
    <m/>
    <s v="normal"/>
    <s v="En proceso"/>
    <s v="OC - Accesorios Tablet"/>
    <n v="72"/>
    <b v="1"/>
    <s v="[21090, 20736, 20384, 20383]"/>
    <m/>
    <s v="04720@general.tbd"/>
    <n v="21090"/>
    <n v="0"/>
    <n v="299"/>
    <n v="8777"/>
    <s v="Mesa Ayuda Infraestructura"/>
    <n v="303.924166666666"/>
    <m/>
  </r>
  <r>
    <n v="2957"/>
    <n v="0.5"/>
    <d v="1899-12-30T00:30:00"/>
    <s v="50-Finalizado"/>
    <d v="1900-01-01T00:00:00"/>
    <x v="247"/>
    <d v="2024-07-23T00:00:00"/>
    <d v="2024-07-23T15:08:04"/>
    <x v="40"/>
    <n v="303.924166666666"/>
    <d v="1900-01-11T15:55:27"/>
    <d v="2024-07-23T00:00:00"/>
    <d v="2024-07-23T15:08:04"/>
    <m/>
    <d v="1899-12-31T00:00:00"/>
    <d v="2024-08-05T07:03:31"/>
    <b v="1"/>
    <d v="2024-08-05T07:03:31"/>
    <d v="2024-08-20T19:15:38"/>
    <d v="2024-08-20T19:15:38"/>
    <m/>
    <m/>
    <d v="2024-07-24T00:00:00"/>
    <s v="Se procede a verificar el centro de costo el cual sera cargado el gasto"/>
    <x v="3"/>
    <s v="Orden de compra"/>
    <x v="2"/>
    <m/>
    <m/>
    <m/>
    <s v="CANELLA, SOCIEDAD ANONIMA"/>
    <s v="GRAFIPRONTO"/>
    <n v="2859"/>
    <n v="35"/>
    <s v="Mesa Ayuda Infraestructura"/>
    <n v="247729"/>
    <s v="OLGA MARIA DE LA CRUZ VALLADARES GUILLEN de OVALLE"/>
    <n v="299"/>
    <s v="CANELLA"/>
    <n v="6"/>
    <m/>
    <m/>
    <m/>
    <n v="1"/>
    <s v="CANELLA"/>
    <n v="299"/>
    <s v="Rosario Lic"/>
    <m/>
    <s v="normal"/>
    <s v="En proceso"/>
    <s v="OC - Accesorios Tablet"/>
    <n v="72"/>
    <b v="1"/>
    <s v="[21090, 20736, 20384, 20383]"/>
    <m/>
    <s v="04720@general.tbd"/>
    <n v="20736"/>
    <n v="0"/>
    <n v="299"/>
    <n v="8777"/>
    <s v="Mesa Ayuda Infraestructura"/>
    <n v="303.924166666666"/>
    <m/>
  </r>
  <r>
    <n v="2957"/>
    <n v="0.5"/>
    <d v="1899-12-30T00:30:00"/>
    <s v="50-Finalizado"/>
    <d v="1900-01-01T00:00:00"/>
    <x v="247"/>
    <d v="2024-07-23T00:00:00"/>
    <d v="2024-07-23T15:08:04"/>
    <x v="40"/>
    <n v="303.924166666666"/>
    <d v="1900-01-11T15:55:27"/>
    <d v="2024-07-23T00:00:00"/>
    <d v="2024-07-23T15:08:04"/>
    <m/>
    <d v="1899-12-31T00:00:00"/>
    <d v="2024-08-05T07:03:31"/>
    <b v="1"/>
    <d v="2024-08-05T07:03:31"/>
    <d v="2024-08-20T19:15:38"/>
    <d v="2024-08-20T19:15:38"/>
    <m/>
    <m/>
    <d v="2024-07-23T00:00:00"/>
    <s v="Se procede a verificar el centro de costo el cual sera cargado el gasto"/>
    <x v="3"/>
    <s v="Orden de compra"/>
    <x v="2"/>
    <m/>
    <m/>
    <m/>
    <s v="CANELLA, SOCIEDAD ANONIMA"/>
    <s v="GRAFIPRONTO"/>
    <n v="2859"/>
    <n v="35"/>
    <s v="Mesa Ayuda Infraestructura"/>
    <n v="247729"/>
    <s v="OLGA MARIA DE LA CRUZ VALLADARES GUILLEN de OVALLE"/>
    <n v="299"/>
    <s v="CANELLA"/>
    <n v="6"/>
    <m/>
    <m/>
    <m/>
    <n v="1"/>
    <s v="CANELLA"/>
    <n v="299"/>
    <s v="Rosario Lic"/>
    <m/>
    <s v="normal"/>
    <s v="En proceso"/>
    <s v="OC - Accesorios Tablet"/>
    <n v="72"/>
    <b v="1"/>
    <s v="[21090, 20736, 20384, 20383]"/>
    <m/>
    <s v="04720@general.tbd"/>
    <n v="20384"/>
    <n v="0"/>
    <n v="299"/>
    <n v="8777"/>
    <s v="Mesa Ayuda Infraestructura"/>
    <n v="303.924166666666"/>
    <m/>
  </r>
  <r>
    <n v="2957"/>
    <n v="0.16666666666666599"/>
    <d v="1899-12-30T00:10:00"/>
    <s v="50-Finalizado"/>
    <d v="1900-01-01T00:00:00"/>
    <x v="247"/>
    <d v="2024-07-23T00:00:00"/>
    <d v="2024-07-23T15:08:04"/>
    <x v="40"/>
    <n v="303.924166666666"/>
    <d v="1900-01-11T15:55:27"/>
    <d v="2024-07-23T00:00:00"/>
    <d v="2024-07-23T15:08:04"/>
    <m/>
    <d v="1899-12-31T00:00:00"/>
    <d v="2024-08-05T07:03:31"/>
    <b v="1"/>
    <d v="2024-08-05T07:03:31"/>
    <d v="2024-08-20T19:15:38"/>
    <d v="2024-08-20T19:15:38"/>
    <m/>
    <m/>
    <d v="2024-07-23T00:00:00"/>
    <s v="Se procede a verificar información para la creación de orden de compra por accesorios de tablet para sala de reuniones grande."/>
    <x v="3"/>
    <s v="Orden de compra"/>
    <x v="2"/>
    <m/>
    <m/>
    <m/>
    <s v="CANELLA, SOCIEDAD ANONIMA"/>
    <s v="GRAFIPRONTO"/>
    <n v="2859"/>
    <n v="35"/>
    <s v="Mesa Ayuda Infraestructura"/>
    <n v="247729"/>
    <s v="OLGA MARIA DE LA CRUZ VALLADARES GUILLEN de OVALLE"/>
    <n v="299"/>
    <s v="CANELLA"/>
    <n v="6"/>
    <m/>
    <m/>
    <m/>
    <n v="1"/>
    <s v="CANELLA"/>
    <n v="299"/>
    <s v="Rosario Lic"/>
    <m/>
    <s v="normal"/>
    <s v="En proceso"/>
    <s v="OC - Accesorios Tablet"/>
    <n v="72"/>
    <b v="1"/>
    <s v="[21090, 20736, 20384, 20383]"/>
    <m/>
    <s v="04720@general.tbd"/>
    <n v="20383"/>
    <n v="0"/>
    <n v="299"/>
    <n v="8777"/>
    <s v="Mesa Ayuda Infraestructura"/>
    <n v="303.924166666666"/>
    <m/>
  </r>
  <r>
    <n v="2950"/>
    <n v="0.25"/>
    <d v="1899-12-30T00:15:00"/>
    <s v="50-Finalizado"/>
    <d v="1900-01-01T00:00:00"/>
    <x v="248"/>
    <d v="2024-07-22T00:00:00"/>
    <d v="2024-07-22T23:56:44"/>
    <x v="40"/>
    <n v="319.11305555555498"/>
    <d v="1900-01-12T07:06:47"/>
    <d v="2024-07-22T00:00:00"/>
    <d v="2024-07-22T23:56:44"/>
    <m/>
    <d v="1899-12-31T00:00:00"/>
    <d v="2024-08-05T07:03:31"/>
    <b v="1"/>
    <d v="2024-08-05T07:03:31"/>
    <d v="2024-08-20T19:15:38"/>
    <d v="2024-08-20T19:15:38"/>
    <m/>
    <m/>
    <d v="2024-07-22T00:00:00"/>
    <s v="Desmantelación de CPU, teclado y mouse"/>
    <x v="6"/>
    <s v="Configuracion Software"/>
    <x v="2"/>
    <m/>
    <m/>
    <m/>
    <s v="CANELLA, SOCIEDAD ANONIMA"/>
    <s v="INFORMATICA"/>
    <n v="2852"/>
    <n v="35"/>
    <s v="Mesa Ayuda Infraestructura"/>
    <n v="247215"/>
    <s v="NERY OMAR IXCOT SANTIZO"/>
    <n v="2766"/>
    <s v="CANELLA"/>
    <n v="2"/>
    <m/>
    <m/>
    <m/>
    <n v="1"/>
    <s v="CANELLA"/>
    <n v="2766"/>
    <s v="José Julajuj Chumil"/>
    <m/>
    <s v="normal"/>
    <s v="En proceso"/>
    <s v="Instalación de driver de escáner y desmantelamiento de CPU"/>
    <n v="72"/>
    <b v="1"/>
    <s v="[20311, 20309, 20308]"/>
    <m/>
    <s v="06367@general.tbd"/>
    <n v="20311"/>
    <n v="0"/>
    <n v="2766"/>
    <n v="8777"/>
    <s v="Mesa Ayuda Infraestructura"/>
    <n v="319.11305555555498"/>
    <m/>
  </r>
  <r>
    <n v="2950"/>
    <n v="0.16666666666666599"/>
    <d v="1899-12-30T00:10:00"/>
    <s v="50-Finalizado"/>
    <d v="1900-01-01T00:00:00"/>
    <x v="248"/>
    <d v="2024-07-22T00:00:00"/>
    <d v="2024-07-22T23:56:44"/>
    <x v="40"/>
    <n v="319.11305555555498"/>
    <d v="1900-01-12T07:06:47"/>
    <d v="2024-07-22T00:00:00"/>
    <d v="2024-07-22T23:56:44"/>
    <m/>
    <d v="1899-12-31T00:00:00"/>
    <d v="2024-08-05T07:03:31"/>
    <b v="1"/>
    <d v="2024-08-05T07:03:31"/>
    <d v="2024-08-20T19:15:38"/>
    <d v="2024-08-20T19:15:38"/>
    <m/>
    <m/>
    <d v="2024-07-22T00:00:00"/>
    <s v="Instalación de driver"/>
    <x v="6"/>
    <s v="Configuracion Software"/>
    <x v="2"/>
    <m/>
    <m/>
    <m/>
    <s v="CANELLA, SOCIEDAD ANONIMA"/>
    <s v="INFORMATICA"/>
    <n v="2852"/>
    <n v="35"/>
    <s v="Mesa Ayuda Infraestructura"/>
    <n v="247215"/>
    <s v="NERY OMAR IXCOT SANTIZO"/>
    <n v="2766"/>
    <s v="CANELLA"/>
    <n v="2"/>
    <m/>
    <m/>
    <m/>
    <n v="1"/>
    <s v="CANELLA"/>
    <n v="2766"/>
    <s v="José Julajuj Chumil"/>
    <m/>
    <s v="normal"/>
    <s v="En proceso"/>
    <s v="Instalación de driver de escáner y desmantelamiento de CPU"/>
    <n v="72"/>
    <b v="1"/>
    <s v="[20311, 20309, 20308]"/>
    <m/>
    <s v="06367@general.tbd"/>
    <n v="20309"/>
    <n v="0"/>
    <n v="2766"/>
    <n v="8777"/>
    <s v="Mesa Ayuda Infraestructura"/>
    <n v="319.11305555555498"/>
    <m/>
  </r>
  <r>
    <n v="2950"/>
    <n v="0.2"/>
    <d v="1899-12-30T00:12:00"/>
    <s v="50-Finalizado"/>
    <d v="1900-01-01T00:00:00"/>
    <x v="248"/>
    <d v="2024-07-22T00:00:00"/>
    <d v="2024-07-22T23:56:44"/>
    <x v="40"/>
    <n v="319.11305555555498"/>
    <d v="1900-01-12T07:06:47"/>
    <d v="2024-07-22T00:00:00"/>
    <d v="2024-07-22T23:56:44"/>
    <m/>
    <d v="1899-12-31T00:00:00"/>
    <d v="2024-08-05T07:03:31"/>
    <b v="1"/>
    <d v="2024-08-05T07:03:31"/>
    <d v="2024-08-20T19:15:38"/>
    <d v="2024-08-20T19:15:38"/>
    <m/>
    <m/>
    <d v="2024-07-22T00:00:00"/>
    <s v="Instalación de aplicación de escáner"/>
    <x v="6"/>
    <s v="Configuracion Software"/>
    <x v="2"/>
    <m/>
    <m/>
    <m/>
    <s v="CANELLA, SOCIEDAD ANONIMA"/>
    <s v="INFORMATICA"/>
    <n v="2852"/>
    <n v="35"/>
    <s v="Mesa Ayuda Infraestructura"/>
    <n v="247215"/>
    <s v="NERY OMAR IXCOT SANTIZO"/>
    <n v="2766"/>
    <s v="CANELLA"/>
    <n v="2"/>
    <m/>
    <m/>
    <m/>
    <n v="1"/>
    <s v="CANELLA"/>
    <n v="2766"/>
    <s v="José Julajuj Chumil"/>
    <m/>
    <s v="normal"/>
    <s v="En proceso"/>
    <s v="Instalación de driver de escáner y desmantelamiento de CPU"/>
    <n v="72"/>
    <b v="1"/>
    <s v="[20311, 20309, 20308]"/>
    <m/>
    <s v="06367@general.tbd"/>
    <n v="20308"/>
    <n v="0"/>
    <n v="2766"/>
    <n v="8777"/>
    <s v="Mesa Ayuda Infraestructura"/>
    <n v="319.11305555555498"/>
    <m/>
  </r>
  <r>
    <n v="2943"/>
    <n v="0.25"/>
    <d v="1899-12-30T00:15:00"/>
    <s v="50-Finalizado"/>
    <d v="1900-01-01T00:00:00"/>
    <x v="249"/>
    <d v="2024-07-22T00:00:00"/>
    <d v="2024-07-22T23:14:08"/>
    <x v="40"/>
    <n v="319.82305555555502"/>
    <d v="1900-01-12T07:49:23"/>
    <d v="2024-07-22T00:00:00"/>
    <d v="2024-07-22T23:14:08"/>
    <m/>
    <d v="1899-12-31T00:00:00"/>
    <d v="2024-08-05T07:03:31"/>
    <b v="1"/>
    <d v="2024-08-05T07:03:31"/>
    <d v="2024-08-20T19:15:38"/>
    <d v="2024-08-20T19:15:38"/>
    <m/>
    <m/>
    <d v="2024-07-22T00:00:00"/>
    <s v="Prueba de aplicación"/>
    <x v="6"/>
    <s v="Configuracion Software"/>
    <x v="2"/>
    <m/>
    <m/>
    <m/>
    <s v="Partner sin user_id"/>
    <s v="Partner sin user_id"/>
    <n v="2845"/>
    <n v="35"/>
    <s v="Mesa Ayuda Infraestructura"/>
    <n v="249644"/>
    <s v="CARLOS EDUARDO RODRIGUEZ RODRIGUEZ"/>
    <n v="2766"/>
    <s v="CANELLA"/>
    <n v="2"/>
    <m/>
    <m/>
    <m/>
    <n v="1"/>
    <s v="CANELLA"/>
    <n v="2766"/>
    <s v="José Julajuj Chumil"/>
    <m/>
    <s v="normal"/>
    <s v="En proceso"/>
    <s v="Instalación de Proyect"/>
    <n v="72"/>
    <b v="1"/>
    <s v="[20280, 20276, 20275, 20274]"/>
    <m/>
    <s v="Partner sin user_id. Partner: 249644"/>
    <n v="20280"/>
    <n v="0"/>
    <n v="2766"/>
    <n v="8777"/>
    <s v="Mesa Ayuda Infraestructura"/>
    <n v="319.82305555555502"/>
    <m/>
  </r>
  <r>
    <n v="2943"/>
    <n v="0.16666666666666599"/>
    <d v="1899-12-30T00:10:00"/>
    <s v="50-Finalizado"/>
    <d v="1900-01-01T00:00:00"/>
    <x v="249"/>
    <d v="2024-07-22T00:00:00"/>
    <d v="2024-07-22T23:14:08"/>
    <x v="40"/>
    <n v="319.82305555555502"/>
    <d v="1900-01-12T07:49:23"/>
    <d v="2024-07-22T00:00:00"/>
    <d v="2024-07-22T23:14:08"/>
    <m/>
    <d v="1899-12-31T00:00:00"/>
    <d v="2024-08-05T07:03:31"/>
    <b v="1"/>
    <d v="2024-08-05T07:03:31"/>
    <d v="2024-08-20T19:15:38"/>
    <d v="2024-08-20T19:15:38"/>
    <m/>
    <m/>
    <d v="2024-07-22T00:00:00"/>
    <s v="Reinicio de equipo para actualización"/>
    <x v="6"/>
    <s v="Configuracion Software"/>
    <x v="2"/>
    <m/>
    <m/>
    <m/>
    <s v="Partner sin user_id"/>
    <s v="Partner sin user_id"/>
    <n v="2845"/>
    <n v="35"/>
    <s v="Mesa Ayuda Infraestructura"/>
    <n v="249644"/>
    <s v="CARLOS EDUARDO RODRIGUEZ RODRIGUEZ"/>
    <n v="2766"/>
    <s v="CANELLA"/>
    <n v="2"/>
    <m/>
    <m/>
    <m/>
    <n v="1"/>
    <s v="CANELLA"/>
    <n v="2766"/>
    <s v="José Julajuj Chumil"/>
    <m/>
    <s v="normal"/>
    <s v="En proceso"/>
    <s v="Instalación de Proyect"/>
    <n v="72"/>
    <b v="1"/>
    <s v="[20280, 20276, 20275, 20274]"/>
    <m/>
    <s v="Partner sin user_id. Partner: 249644"/>
    <n v="20276"/>
    <n v="0"/>
    <n v="2766"/>
    <n v="8777"/>
    <s v="Mesa Ayuda Infraestructura"/>
    <n v="319.82305555555502"/>
    <m/>
  </r>
  <r>
    <n v="2943"/>
    <n v="0.41666666666666602"/>
    <d v="1899-12-30T00:25:00"/>
    <s v="50-Finalizado"/>
    <d v="1900-01-01T00:00:00"/>
    <x v="249"/>
    <d v="2024-07-22T00:00:00"/>
    <d v="2024-07-22T23:14:08"/>
    <x v="40"/>
    <n v="319.82305555555502"/>
    <d v="1900-01-12T07:49:23"/>
    <d v="2024-07-22T00:00:00"/>
    <d v="2024-07-22T23:14:08"/>
    <m/>
    <d v="1899-12-31T00:00:00"/>
    <d v="2024-08-05T07:03:31"/>
    <b v="1"/>
    <d v="2024-08-05T07:03:31"/>
    <d v="2024-08-20T19:15:38"/>
    <d v="2024-08-20T19:15:38"/>
    <m/>
    <m/>
    <d v="2024-07-22T00:00:00"/>
    <s v="Ejecucion de exe para instalación"/>
    <x v="6"/>
    <s v="Configuracion Software"/>
    <x v="2"/>
    <m/>
    <m/>
    <m/>
    <s v="Partner sin user_id"/>
    <s v="Partner sin user_id"/>
    <n v="2845"/>
    <n v="35"/>
    <s v="Mesa Ayuda Infraestructura"/>
    <n v="249644"/>
    <s v="CARLOS EDUARDO RODRIGUEZ RODRIGUEZ"/>
    <n v="2766"/>
    <s v="CANELLA"/>
    <n v="2"/>
    <m/>
    <m/>
    <m/>
    <n v="1"/>
    <s v="CANELLA"/>
    <n v="2766"/>
    <s v="José Julajuj Chumil"/>
    <m/>
    <s v="normal"/>
    <s v="En proceso"/>
    <s v="Instalación de Proyect"/>
    <n v="72"/>
    <b v="1"/>
    <s v="[20280, 20276, 20275, 20274]"/>
    <m/>
    <s v="Partner sin user_id. Partner: 249644"/>
    <n v="20275"/>
    <n v="0"/>
    <n v="2766"/>
    <n v="8777"/>
    <s v="Mesa Ayuda Infraestructura"/>
    <n v="319.82305555555502"/>
    <m/>
  </r>
  <r>
    <n v="2943"/>
    <n v="0.16666666666666599"/>
    <d v="1899-12-30T00:10:00"/>
    <s v="50-Finalizado"/>
    <d v="1900-01-01T00:00:00"/>
    <x v="249"/>
    <d v="2024-07-22T00:00:00"/>
    <d v="2024-07-22T23:14:08"/>
    <x v="40"/>
    <n v="319.82305555555502"/>
    <d v="1900-01-12T07:49:23"/>
    <d v="2024-07-22T00:00:00"/>
    <d v="2024-07-22T23:14:08"/>
    <m/>
    <d v="1899-12-31T00:00:00"/>
    <d v="2024-08-05T07:03:31"/>
    <b v="1"/>
    <d v="2024-08-05T07:03:31"/>
    <d v="2024-08-20T19:15:38"/>
    <d v="2024-08-20T19:15:38"/>
    <m/>
    <m/>
    <d v="2024-07-22T00:00:00"/>
    <s v="Descarga de Proyect"/>
    <x v="6"/>
    <s v="Configuracion Software"/>
    <x v="2"/>
    <m/>
    <m/>
    <m/>
    <s v="Partner sin user_id"/>
    <s v="Partner sin user_id"/>
    <n v="2845"/>
    <n v="35"/>
    <s v="Mesa Ayuda Infraestructura"/>
    <n v="249644"/>
    <s v="CARLOS EDUARDO RODRIGUEZ RODRIGUEZ"/>
    <n v="2766"/>
    <s v="CANELLA"/>
    <n v="2"/>
    <m/>
    <m/>
    <m/>
    <n v="1"/>
    <s v="CANELLA"/>
    <n v="2766"/>
    <s v="José Julajuj Chumil"/>
    <m/>
    <s v="normal"/>
    <s v="En proceso"/>
    <s v="Instalación de Proyect"/>
    <n v="72"/>
    <b v="1"/>
    <s v="[20280, 20276, 20275, 20274]"/>
    <m/>
    <s v="Partner sin user_id. Partner: 249644"/>
    <n v="20274"/>
    <n v="0"/>
    <n v="2766"/>
    <n v="8777"/>
    <s v="Mesa Ayuda Infraestructura"/>
    <n v="319.82305555555502"/>
    <m/>
  </r>
  <r>
    <n v="2940"/>
    <n v="0.15"/>
    <d v="1899-12-30T00:09:00"/>
    <s v="50-Finalizado"/>
    <d v="1900-01-01T00:00:00"/>
    <x v="250"/>
    <d v="2024-07-22T00:00:00"/>
    <d v="2024-07-22T22:53:27"/>
    <x v="40"/>
    <n v="320.16777777777702"/>
    <d v="1900-01-12T08:10:04"/>
    <d v="2024-07-22T00:00:00"/>
    <d v="2024-07-22T22:53:27"/>
    <m/>
    <d v="1899-12-31T00:00:00"/>
    <d v="2024-08-05T07:03:31"/>
    <b v="1"/>
    <d v="2024-08-05T07:03:31"/>
    <d v="2024-08-20T19:15:38"/>
    <d v="2024-08-20T19:15:38"/>
    <m/>
    <m/>
    <d v="2024-07-24T00:00:00"/>
    <s v="Envío de correo para agendar visita para el Jueves ya que el martes no se logro realizar la visita"/>
    <x v="10"/>
    <s v="Configuracion Hardware"/>
    <x v="2"/>
    <s v="Redes y Comunicaciones"/>
    <s v="Telefonia / Datos"/>
    <m/>
    <s v="CANELLA, SOCIEDAD ANONIMA"/>
    <s v="YAMAHA PLAZA MEDICA DEL NORTE ZONA 18"/>
    <n v="2842"/>
    <n v="35"/>
    <s v="Mesa Ayuda Infraestructura"/>
    <n v="247501"/>
    <s v="NOE ALEXANDER VIANA GUZMAN"/>
    <n v="248"/>
    <s v="CANELLA"/>
    <n v="1"/>
    <n v="28"/>
    <n v="25"/>
    <m/>
    <n v="1"/>
    <s v="CANELLA"/>
    <n v="248"/>
    <s v="Juan Carlos Barillas"/>
    <s v="&lt;p&gt;Revisión spliter para POS y creación de 2 puntos de red&lt;/p&gt;&lt;p&gt;se enviará a proveedor para la revisión del spliter y que realice&amp;nbsp;&lt;/p&gt;&lt;p&gt;cableado de 2 puntos de red para POS de red.&amp;nbsp;&lt;/p&gt;"/>
    <s v="normal"/>
    <s v="En proceso"/>
    <s v="Revisión spliter para POS y creación de 2 puntos de red"/>
    <n v="72"/>
    <b v="1"/>
    <s v="[20663, 20606, 20256, 20255]"/>
    <m/>
    <s v="05815@general.tbd"/>
    <n v="20663"/>
    <n v="0"/>
    <n v="248"/>
    <n v="8777"/>
    <s v="Mesa Ayuda Infraestructura"/>
    <n v="320.16777777777702"/>
    <m/>
  </r>
  <r>
    <n v="2940"/>
    <n v="0.133333333333333"/>
    <d v="1899-12-30T00:08:00"/>
    <s v="50-Finalizado"/>
    <d v="1900-01-01T00:00:00"/>
    <x v="250"/>
    <d v="2024-07-22T00:00:00"/>
    <d v="2024-07-22T22:53:27"/>
    <x v="40"/>
    <n v="320.16777777777702"/>
    <d v="1900-01-12T08:10:04"/>
    <d v="2024-07-22T00:00:00"/>
    <d v="2024-07-22T22:53:27"/>
    <m/>
    <d v="1899-12-31T00:00:00"/>
    <d v="2024-08-05T07:03:31"/>
    <b v="1"/>
    <d v="2024-08-05T07:03:31"/>
    <d v="2024-08-20T19:15:38"/>
    <d v="2024-08-20T19:15:38"/>
    <m/>
    <m/>
    <d v="2024-07-23T00:00:00"/>
    <s v="Cordinar con Denis la visita a agencia"/>
    <x v="10"/>
    <s v="Configuracion Hardware"/>
    <x v="2"/>
    <s v="Redes y Comunicaciones"/>
    <s v="Telefonia / Datos"/>
    <m/>
    <s v="CANELLA, SOCIEDAD ANONIMA"/>
    <s v="YAMAHA PLAZA MEDICA DEL NORTE ZONA 18"/>
    <n v="2842"/>
    <n v="35"/>
    <s v="Mesa Ayuda Infraestructura"/>
    <n v="247501"/>
    <s v="NOE ALEXANDER VIANA GUZMAN"/>
    <n v="248"/>
    <s v="CANELLA"/>
    <n v="1"/>
    <n v="28"/>
    <n v="25"/>
    <m/>
    <n v="1"/>
    <s v="CANELLA"/>
    <n v="248"/>
    <s v="Juan Carlos Barillas"/>
    <s v="&lt;p&gt;Revisión spliter para POS y creación de 2 puntos de red&lt;/p&gt;&lt;p&gt;se enviará a proveedor para la revisión del spliter y que realice&amp;nbsp;&lt;/p&gt;&lt;p&gt;cableado de 2 puntos de red para POS de red.&amp;nbsp;&lt;/p&gt;"/>
    <s v="normal"/>
    <s v="En proceso"/>
    <s v="Revisión spliter para POS y creación de 2 puntos de red"/>
    <n v="72"/>
    <b v="1"/>
    <s v="[20663, 20606, 20256, 20255]"/>
    <m/>
    <s v="05815@general.tbd"/>
    <n v="20606"/>
    <n v="0"/>
    <n v="248"/>
    <n v="8777"/>
    <s v="Mesa Ayuda Infraestructura"/>
    <n v="320.16777777777702"/>
    <m/>
  </r>
  <r>
    <n v="2940"/>
    <n v="0.33333333333333298"/>
    <d v="1899-12-30T00:20:00"/>
    <s v="50-Finalizado"/>
    <d v="1900-01-01T00:00:00"/>
    <x v="250"/>
    <d v="2024-07-22T00:00:00"/>
    <d v="2024-07-22T22:53:27"/>
    <x v="40"/>
    <n v="320.16777777777702"/>
    <d v="1900-01-12T08:10:04"/>
    <d v="2024-07-22T00:00:00"/>
    <d v="2024-07-22T22:53:27"/>
    <m/>
    <d v="1899-12-31T00:00:00"/>
    <d v="2024-08-05T07:03:31"/>
    <b v="1"/>
    <d v="2024-08-05T07:03:31"/>
    <d v="2024-08-20T19:15:38"/>
    <d v="2024-08-20T19:15:38"/>
    <m/>
    <m/>
    <d v="2024-07-22T00:00:00"/>
    <s v="Cordinar proveedor para revisión de linesas y creación de cableado de 2 puntos de red."/>
    <x v="10"/>
    <s v="Configuracion Hardware"/>
    <x v="2"/>
    <s v="Redes y Comunicaciones"/>
    <s v="Telefonia / Datos"/>
    <m/>
    <s v="CANELLA, SOCIEDAD ANONIMA"/>
    <s v="YAMAHA PLAZA MEDICA DEL NORTE ZONA 18"/>
    <n v="2842"/>
    <n v="35"/>
    <s v="Mesa Ayuda Infraestructura"/>
    <n v="247501"/>
    <s v="NOE ALEXANDER VIANA GUZMAN"/>
    <n v="248"/>
    <s v="CANELLA"/>
    <n v="1"/>
    <n v="28"/>
    <n v="25"/>
    <m/>
    <n v="1"/>
    <s v="CANELLA"/>
    <n v="248"/>
    <s v="Juan Carlos Barillas"/>
    <s v="&lt;p&gt;Revisión spliter para POS y creación de 2 puntos de red&lt;/p&gt;&lt;p&gt;se enviará a proveedor para la revisión del spliter y que realice&amp;nbsp;&lt;/p&gt;&lt;p&gt;cableado de 2 puntos de red para POS de red.&amp;nbsp;&lt;/p&gt;"/>
    <s v="normal"/>
    <s v="En proceso"/>
    <s v="Revisión spliter para POS y creación de 2 puntos de red"/>
    <n v="72"/>
    <b v="1"/>
    <s v="[20663, 20606, 20256, 20255]"/>
    <m/>
    <s v="05815@general.tbd"/>
    <n v="20256"/>
    <n v="0"/>
    <n v="248"/>
    <n v="8777"/>
    <s v="Mesa Ayuda Infraestructura"/>
    <n v="320.16777777777702"/>
    <m/>
  </r>
  <r>
    <n v="2940"/>
    <n v="0.133333333333333"/>
    <d v="1899-12-30T00:08:00"/>
    <s v="50-Finalizado"/>
    <d v="1900-01-01T00:00:00"/>
    <x v="250"/>
    <d v="2024-07-22T00:00:00"/>
    <d v="2024-07-22T22:53:27"/>
    <x v="40"/>
    <n v="320.16777777777702"/>
    <d v="1900-01-12T08:10:04"/>
    <d v="2024-07-22T00:00:00"/>
    <d v="2024-07-22T22:53:27"/>
    <m/>
    <d v="1899-12-31T00:00:00"/>
    <d v="2024-08-05T07:03:31"/>
    <b v="1"/>
    <d v="2024-08-05T07:03:31"/>
    <d v="2024-08-20T19:15:38"/>
    <d v="2024-08-20T19:15:38"/>
    <m/>
    <m/>
    <d v="2024-07-22T00:00:00"/>
    <s v="Revisión spliter para POS y creación de 2 puntos de red"/>
    <x v="10"/>
    <s v="Configuracion Hardware"/>
    <x v="2"/>
    <s v="Redes y Comunicaciones"/>
    <s v="Telefonia / Datos"/>
    <m/>
    <s v="CANELLA, SOCIEDAD ANONIMA"/>
    <s v="YAMAHA PLAZA MEDICA DEL NORTE ZONA 18"/>
    <n v="2842"/>
    <n v="35"/>
    <s v="Mesa Ayuda Infraestructura"/>
    <n v="247501"/>
    <s v="NOE ALEXANDER VIANA GUZMAN"/>
    <n v="248"/>
    <s v="CANELLA"/>
    <n v="1"/>
    <n v="28"/>
    <n v="25"/>
    <m/>
    <n v="1"/>
    <s v="CANELLA"/>
    <n v="248"/>
    <s v="Juan Carlos Barillas"/>
    <s v="&lt;p&gt;Revisión spliter para POS y creación de 2 puntos de red&lt;/p&gt;&lt;p&gt;se enviará a proveedor para la revisión del spliter y que realice&amp;nbsp;&lt;/p&gt;&lt;p&gt;cableado de 2 puntos de red para POS de red.&amp;nbsp;&lt;/p&gt;"/>
    <s v="normal"/>
    <s v="En proceso"/>
    <s v="Revisión spliter para POS y creación de 2 puntos de red"/>
    <n v="72"/>
    <b v="1"/>
    <s v="[20663, 20606, 20256, 20255]"/>
    <m/>
    <s v="05815@general.tbd"/>
    <n v="20255"/>
    <n v="0"/>
    <n v="248"/>
    <n v="8777"/>
    <s v="Mesa Ayuda Infraestructura"/>
    <n v="320.16777777777702"/>
    <m/>
  </r>
  <r>
    <n v="2938"/>
    <n v="0.16666666666666599"/>
    <d v="1899-12-30T00:10:00"/>
    <s v="50-Finalizado"/>
    <d v="1900-01-01T00:00:00"/>
    <x v="251"/>
    <d v="2024-07-22T00:00:00"/>
    <d v="2024-07-22T22:49:45"/>
    <x v="40"/>
    <n v="320.22944444444403"/>
    <d v="1900-01-12T08:13:46"/>
    <d v="2024-07-22T00:00:00"/>
    <d v="2024-07-22T22:49:45"/>
    <m/>
    <d v="1899-12-31T00:00:00"/>
    <d v="2024-08-05T07:03:31"/>
    <b v="1"/>
    <d v="2024-08-05T07:03:31"/>
    <d v="2024-08-20T19:15:38"/>
    <d v="2024-08-20T19:15:38"/>
    <m/>
    <m/>
    <d v="2024-07-22T00:00:00"/>
    <s v="Orden de compra por adquisición de 3 resmas de papel para departamento de Informática."/>
    <x v="3"/>
    <m/>
    <x v="2"/>
    <m/>
    <m/>
    <m/>
    <s v="CANELLA, SOCIEDAD ANONIMA"/>
    <s v="INFORMATICA"/>
    <n v="2840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por adquisición de papel para departamento"/>
    <n v="72"/>
    <b v="1"/>
    <s v="[20259]"/>
    <m/>
    <s v="04025@general.tbd"/>
    <n v="20259"/>
    <n v="0"/>
    <n v="299"/>
    <n v="8777"/>
    <s v="Mesa Ayuda Infraestructura"/>
    <n v="320.22944444444403"/>
    <m/>
  </r>
  <r>
    <n v="2937"/>
    <n v="0.33333333333333298"/>
    <d v="1899-12-30T00:20:00"/>
    <s v="50-Finalizado"/>
    <d v="1900-01-01T00:00:00"/>
    <x v="252"/>
    <d v="2024-07-22T00:00:00"/>
    <d v="2024-07-22T22:48:58"/>
    <x v="40"/>
    <n v="320.24250000000001"/>
    <d v="1900-01-12T08:14:33"/>
    <d v="2024-07-22T00:00:00"/>
    <d v="2024-07-22T22:48:58"/>
    <m/>
    <d v="1899-12-31T00:00:00"/>
    <d v="2024-08-05T07:03:31"/>
    <b v="1"/>
    <d v="2024-08-05T07:03:31"/>
    <d v="2024-08-20T19:15:38"/>
    <d v="2024-08-20T19:15:38"/>
    <m/>
    <m/>
    <d v="2024-07-22T00:00:00"/>
    <s v="Se procede a brindar apoyo por pantalla congelada, se procede a realizar diagnóstico para solventar el inconveniente."/>
    <x v="3"/>
    <m/>
    <x v="2"/>
    <m/>
    <m/>
    <m/>
    <s v="CANELLA, SOCIEDAD ANONIMA"/>
    <s v="SERVICIO AL CLIENTE DIVISION AUTOMOTRIZ"/>
    <n v="2839"/>
    <n v="35"/>
    <s v="Mesa Ayuda Infraestructura"/>
    <n v="247648"/>
    <s v="WALTER GABRIEL CARDOZA GIRON"/>
    <n v="299"/>
    <s v="CANELLA"/>
    <m/>
    <m/>
    <m/>
    <m/>
    <n v="1"/>
    <s v="CANELLA"/>
    <n v="299"/>
    <s v="Rosario Lic"/>
    <m/>
    <s v="normal"/>
    <s v="En proceso"/>
    <s v="Apoyo, diagnóstico de equipo"/>
    <n v="72"/>
    <b v="1"/>
    <s v="[20284]"/>
    <m/>
    <s v="05242@general.tbd"/>
    <n v="20284"/>
    <n v="0"/>
    <n v="299"/>
    <n v="8777"/>
    <s v="Mesa Ayuda Infraestructura"/>
    <n v="320.24250000000001"/>
    <m/>
  </r>
  <r>
    <n v="2936"/>
    <n v="0.5"/>
    <d v="1899-12-30T00:30:00"/>
    <s v="50-Finalizado"/>
    <d v="1900-01-01T00:00:00"/>
    <x v="253"/>
    <d v="2024-07-22T00:00:00"/>
    <d v="2024-07-22T22:44:41"/>
    <x v="40"/>
    <n v="320.31388888888802"/>
    <d v="1900-01-12T08:18:50"/>
    <d v="2024-07-22T00:00:00"/>
    <d v="2024-07-22T22:44:41"/>
    <m/>
    <d v="1899-12-31T00:00:00"/>
    <d v="2024-08-05T07:03:31"/>
    <b v="1"/>
    <d v="2024-08-05T07:03:31"/>
    <d v="2024-08-20T19:15:38"/>
    <d v="2024-08-20T19:15:38"/>
    <m/>
    <m/>
    <d v="2024-07-25T00:00:00"/>
    <s v="Se procede a solicitar desayuno y a la recepción del mismo"/>
    <x v="3"/>
    <s v="Reuniones"/>
    <x v="2"/>
    <m/>
    <m/>
    <m/>
    <s v="CANELLA, SOCIEDAD ANONIMA"/>
    <s v="INFORMATICA"/>
    <n v="2838"/>
    <n v="35"/>
    <s v="Mesa Ayuda Infraestructura"/>
    <n v="247014"/>
    <s v="JORGE ARMANDO SOLIS MIRANDA"/>
    <n v="299"/>
    <s v="CANELLA"/>
    <n v="5"/>
    <m/>
    <m/>
    <m/>
    <n v="1"/>
    <s v="CANELLA"/>
    <n v="299"/>
    <s v="Rosario Lic"/>
    <m/>
    <s v="normal"/>
    <s v="En proceso"/>
    <s v="Desayuno por Reunión de avances de Area Tecnica"/>
    <n v="72"/>
    <b v="1"/>
    <s v="[20945, 20403, 20400, 20293]"/>
    <m/>
    <s v="06665@general.tbd"/>
    <n v="20945"/>
    <n v="0"/>
    <n v="299"/>
    <n v="8777"/>
    <s v="Mesa Ayuda Infraestructura"/>
    <n v="320.31388888888802"/>
    <m/>
  </r>
  <r>
    <n v="2936"/>
    <n v="0"/>
    <d v="1899-12-30T00:00:00"/>
    <s v="50-Finalizado"/>
    <d v="1900-01-01T00:00:00"/>
    <x v="253"/>
    <d v="2024-07-22T00:00:00"/>
    <d v="2024-07-22T22:44:41"/>
    <x v="40"/>
    <n v="320.31388888888802"/>
    <d v="1900-01-12T08:18:50"/>
    <d v="2024-07-22T00:00:00"/>
    <d v="2024-07-22T22:44:41"/>
    <m/>
    <d v="1899-12-31T00:00:00"/>
    <d v="2024-08-05T07:03:31"/>
    <b v="1"/>
    <d v="2024-08-05T07:03:31"/>
    <d v="2024-08-20T19:15:38"/>
    <d v="2024-08-20T19:15:38"/>
    <m/>
    <m/>
    <d v="2024-07-23T00:00:00"/>
    <s v="Solicitud de vale de Desayuno"/>
    <x v="3"/>
    <s v="Reuniones"/>
    <x v="2"/>
    <m/>
    <m/>
    <m/>
    <s v="CANELLA, SOCIEDAD ANONIMA"/>
    <s v="INFORMATICA"/>
    <n v="2838"/>
    <n v="35"/>
    <s v="Mesa Ayuda Infraestructura"/>
    <n v="247014"/>
    <s v="JORGE ARMANDO SOLIS MIRANDA"/>
    <n v="299"/>
    <s v="CANELLA"/>
    <n v="5"/>
    <m/>
    <m/>
    <m/>
    <n v="1"/>
    <s v="CANELLA"/>
    <n v="299"/>
    <s v="Rosario Lic"/>
    <m/>
    <s v="normal"/>
    <s v="En proceso"/>
    <s v="Desayuno por Reunión de avances de Area Tecnica"/>
    <n v="72"/>
    <b v="1"/>
    <s v="[20945, 20403, 20400, 20293]"/>
    <m/>
    <s v="06665@general.tbd"/>
    <n v="20403"/>
    <n v="0"/>
    <n v="299"/>
    <n v="8777"/>
    <s v="Mesa Ayuda Infraestructura"/>
    <n v="320.31388888888802"/>
    <m/>
  </r>
  <r>
    <n v="2936"/>
    <n v="8.3333333333333301E-2"/>
    <d v="1899-12-30T00:05:00"/>
    <s v="50-Finalizado"/>
    <d v="1900-01-01T00:00:00"/>
    <x v="253"/>
    <d v="2024-07-22T00:00:00"/>
    <d v="2024-07-22T22:44:41"/>
    <x v="40"/>
    <n v="320.31388888888802"/>
    <d v="1900-01-12T08:18:50"/>
    <d v="2024-07-22T00:00:00"/>
    <d v="2024-07-22T22:44:41"/>
    <m/>
    <d v="1899-12-31T00:00:00"/>
    <d v="2024-08-05T07:03:31"/>
    <b v="1"/>
    <d v="2024-08-05T07:03:31"/>
    <d v="2024-08-20T19:15:38"/>
    <d v="2024-08-20T19:15:38"/>
    <m/>
    <m/>
    <d v="2024-07-23T00:00:00"/>
    <s v="Se procede a realizar la reserva de sala grande para reunión"/>
    <x v="3"/>
    <s v="Reuniones"/>
    <x v="2"/>
    <m/>
    <m/>
    <m/>
    <s v="CANELLA, SOCIEDAD ANONIMA"/>
    <s v="INFORMATICA"/>
    <n v="2838"/>
    <n v="35"/>
    <s v="Mesa Ayuda Infraestructura"/>
    <n v="247014"/>
    <s v="JORGE ARMANDO SOLIS MIRANDA"/>
    <n v="299"/>
    <s v="CANELLA"/>
    <n v="5"/>
    <m/>
    <m/>
    <m/>
    <n v="1"/>
    <s v="CANELLA"/>
    <n v="299"/>
    <s v="Rosario Lic"/>
    <m/>
    <s v="normal"/>
    <s v="En proceso"/>
    <s v="Desayuno por Reunión de avances de Area Tecnica"/>
    <n v="72"/>
    <b v="1"/>
    <s v="[20945, 20403, 20400, 20293]"/>
    <m/>
    <s v="06665@general.tbd"/>
    <n v="20400"/>
    <n v="0"/>
    <n v="299"/>
    <n v="8777"/>
    <s v="Mesa Ayuda Infraestructura"/>
    <n v="320.31388888888802"/>
    <m/>
  </r>
  <r>
    <n v="2936"/>
    <n v="0.5"/>
    <d v="1899-12-30T00:30:00"/>
    <s v="50-Finalizado"/>
    <d v="1900-01-01T00:00:00"/>
    <x v="253"/>
    <d v="2024-07-22T00:00:00"/>
    <d v="2024-07-22T22:44:41"/>
    <x v="40"/>
    <n v="320.31388888888802"/>
    <d v="1900-01-12T08:18:50"/>
    <d v="2024-07-22T00:00:00"/>
    <d v="2024-07-22T22:44:41"/>
    <m/>
    <d v="1899-12-31T00:00:00"/>
    <d v="2024-08-05T07:03:31"/>
    <b v="1"/>
    <d v="2024-08-05T07:03:31"/>
    <d v="2024-08-20T19:15:38"/>
    <d v="2024-08-20T19:15:38"/>
    <m/>
    <m/>
    <d v="2024-07-22T00:00:00"/>
    <s v="Se procedió a verificar opciones de desayuno y a la reserva de la sala grande para reunión."/>
    <x v="3"/>
    <s v="Reuniones"/>
    <x v="2"/>
    <m/>
    <m/>
    <m/>
    <s v="CANELLA, SOCIEDAD ANONIMA"/>
    <s v="INFORMATICA"/>
    <n v="2838"/>
    <n v="35"/>
    <s v="Mesa Ayuda Infraestructura"/>
    <n v="247014"/>
    <s v="JORGE ARMANDO SOLIS MIRANDA"/>
    <n v="299"/>
    <s v="CANELLA"/>
    <n v="5"/>
    <m/>
    <m/>
    <m/>
    <n v="1"/>
    <s v="CANELLA"/>
    <n v="299"/>
    <s v="Rosario Lic"/>
    <m/>
    <s v="normal"/>
    <s v="En proceso"/>
    <s v="Desayuno por Reunión de avances de Area Tecnica"/>
    <n v="72"/>
    <b v="1"/>
    <s v="[20945, 20403, 20400, 20293]"/>
    <m/>
    <s v="06665@general.tbd"/>
    <n v="20293"/>
    <n v="0"/>
    <n v="299"/>
    <n v="8777"/>
    <s v="Mesa Ayuda Infraestructura"/>
    <n v="320.31388888888802"/>
    <m/>
  </r>
  <r>
    <n v="2917"/>
    <n v="0.25"/>
    <d v="1899-12-30T00:15:00"/>
    <s v="50-Finalizado"/>
    <d v="1900-01-01T00:00:00"/>
    <x v="254"/>
    <d v="2024-07-22T00:00:00"/>
    <d v="2024-07-22T20:10:30"/>
    <x v="40"/>
    <n v="322.88361111111101"/>
    <d v="1900-01-12T10:53:01"/>
    <d v="2024-07-22T00:00:00"/>
    <d v="2024-07-22T20:10:30"/>
    <m/>
    <d v="1899-12-31T00:00:00"/>
    <d v="2024-08-05T07:03:31"/>
    <b v="1"/>
    <d v="2024-08-05T07:03:31"/>
    <d v="2024-08-20T19:15:38"/>
    <d v="2024-08-20T19:15:38"/>
    <m/>
    <m/>
    <d v="2024-07-22T00:00:00"/>
    <s v="Creación de acceso para carpeta compartida"/>
    <x v="6"/>
    <s v="Configuracion Software"/>
    <x v="2"/>
    <m/>
    <m/>
    <m/>
    <s v="SOLUCIONES EN COLOCACION Y RECUPERACION, S.A."/>
    <s v="SUBGERENCIA DE OPERACIONES"/>
    <n v="2819"/>
    <n v="35"/>
    <s v="Mesa Ayuda Infraestructura"/>
    <n v="247156"/>
    <s v="CRISTIAN ALEJANDRO GARCIA MONTUFAR"/>
    <n v="2766"/>
    <s v="CANELLA"/>
    <n v="2"/>
    <m/>
    <m/>
    <m/>
    <n v="1"/>
    <s v="CANELLA"/>
    <n v="2766"/>
    <s v="José Julajuj Chumil"/>
    <m/>
    <s v="normal"/>
    <s v="En proceso"/>
    <s v="Creación de acceso directo"/>
    <n v="72"/>
    <b v="1"/>
    <s v="[20184, 20183, 20182]"/>
    <m/>
    <s v="06463@general.tbd"/>
    <n v="20184"/>
    <n v="0"/>
    <n v="2766"/>
    <n v="8777"/>
    <s v="Mesa Ayuda Infraestructura"/>
    <n v="322.88361111111101"/>
    <m/>
  </r>
  <r>
    <n v="2917"/>
    <n v="8.3333333333333301E-2"/>
    <d v="1899-12-30T00:05:00"/>
    <s v="50-Finalizado"/>
    <d v="1900-01-01T00:00:00"/>
    <x v="254"/>
    <d v="2024-07-22T00:00:00"/>
    <d v="2024-07-22T20:10:30"/>
    <x v="40"/>
    <n v="322.88361111111101"/>
    <d v="1900-01-12T10:53:01"/>
    <d v="2024-07-22T00:00:00"/>
    <d v="2024-07-22T20:10:30"/>
    <m/>
    <d v="1899-12-31T00:00:00"/>
    <d v="2024-08-05T07:03:31"/>
    <b v="1"/>
    <d v="2024-08-05T07:03:31"/>
    <d v="2024-08-20T19:15:38"/>
    <d v="2024-08-20T19:15:38"/>
    <m/>
    <m/>
    <d v="2024-07-22T00:00:00"/>
    <s v="Correo para verificación de carpeta compartida"/>
    <x v="6"/>
    <s v="Configuracion Software"/>
    <x v="2"/>
    <m/>
    <m/>
    <m/>
    <s v="SOLUCIONES EN COLOCACION Y RECUPERACION, S.A."/>
    <s v="SUBGERENCIA DE OPERACIONES"/>
    <n v="2819"/>
    <n v="35"/>
    <s v="Mesa Ayuda Infraestructura"/>
    <n v="247156"/>
    <s v="CRISTIAN ALEJANDRO GARCIA MONTUFAR"/>
    <n v="2766"/>
    <s v="CANELLA"/>
    <n v="2"/>
    <m/>
    <m/>
    <m/>
    <n v="1"/>
    <s v="CANELLA"/>
    <n v="2766"/>
    <s v="José Julajuj Chumil"/>
    <m/>
    <s v="normal"/>
    <s v="En proceso"/>
    <s v="Creación de acceso directo"/>
    <n v="72"/>
    <b v="1"/>
    <s v="[20184, 20183, 20182]"/>
    <m/>
    <s v="06463@general.tbd"/>
    <n v="20183"/>
    <n v="0"/>
    <n v="2766"/>
    <n v="8777"/>
    <s v="Mesa Ayuda Infraestructura"/>
    <n v="322.88361111111101"/>
    <m/>
  </r>
  <r>
    <n v="2917"/>
    <n v="8.3333333333333301E-2"/>
    <d v="1899-12-30T00:05:00"/>
    <s v="50-Finalizado"/>
    <d v="1900-01-01T00:00:00"/>
    <x v="254"/>
    <d v="2024-07-22T00:00:00"/>
    <d v="2024-07-22T20:10:30"/>
    <x v="40"/>
    <n v="322.88361111111101"/>
    <d v="1900-01-12T10:53:01"/>
    <d v="2024-07-22T00:00:00"/>
    <d v="2024-07-22T20:10:30"/>
    <m/>
    <d v="1899-12-31T00:00:00"/>
    <d v="2024-08-05T07:03:31"/>
    <b v="1"/>
    <d v="2024-08-05T07:03:31"/>
    <d v="2024-08-20T19:15:38"/>
    <d v="2024-08-20T19:15:38"/>
    <m/>
    <m/>
    <d v="2024-07-22T00:00:00"/>
    <s v="Llamada para resolución del problema"/>
    <x v="6"/>
    <s v="Configuracion Software"/>
    <x v="2"/>
    <m/>
    <m/>
    <m/>
    <s v="SOLUCIONES EN COLOCACION Y RECUPERACION, S.A."/>
    <s v="SUBGERENCIA DE OPERACIONES"/>
    <n v="2819"/>
    <n v="35"/>
    <s v="Mesa Ayuda Infraestructura"/>
    <n v="247156"/>
    <s v="CRISTIAN ALEJANDRO GARCIA MONTUFAR"/>
    <n v="2766"/>
    <s v="CANELLA"/>
    <n v="2"/>
    <m/>
    <m/>
    <m/>
    <n v="1"/>
    <s v="CANELLA"/>
    <n v="2766"/>
    <s v="José Julajuj Chumil"/>
    <m/>
    <s v="normal"/>
    <s v="En proceso"/>
    <s v="Creación de acceso directo"/>
    <n v="72"/>
    <b v="1"/>
    <s v="[20184, 20183, 20182]"/>
    <m/>
    <s v="06463@general.tbd"/>
    <n v="20182"/>
    <n v="0"/>
    <n v="2766"/>
    <n v="8777"/>
    <s v="Mesa Ayuda Infraestructura"/>
    <n v="322.88361111111101"/>
    <m/>
  </r>
  <r>
    <n v="2875"/>
    <n v="1"/>
    <d v="1899-12-30T01:00:00"/>
    <s v="50-Finalizado"/>
    <d v="1900-01-01T00:00:00"/>
    <x v="255"/>
    <d v="2024-07-19T00:00:00"/>
    <d v="2024-07-19T23:56:19"/>
    <x v="40"/>
    <n v="391.12"/>
    <d v="1900-01-15T07:07:12"/>
    <d v="2024-07-19T00:00:00"/>
    <d v="2024-07-19T23:56:19"/>
    <m/>
    <d v="1899-12-31T00:00:00"/>
    <d v="2024-08-05T07:03:31"/>
    <b v="1"/>
    <d v="2024-08-05T07:03:31"/>
    <d v="2024-08-20T19:15:38"/>
    <d v="2024-08-20T19:15:38"/>
    <m/>
    <m/>
    <d v="2024-07-19T00:00:00"/>
    <s v="Se procede a la procedencia y a la autorización de facturas para traslado a Contabilidad."/>
    <x v="3"/>
    <s v="Orden de compra"/>
    <x v="2"/>
    <m/>
    <m/>
    <m/>
    <s v="No Partner"/>
    <s v="No Partner"/>
    <n v="2777"/>
    <n v="35"/>
    <s v="Mesa Ayuda Infraestructura"/>
    <m/>
    <m/>
    <n v="299"/>
    <s v="CANELLA"/>
    <n v="6"/>
    <m/>
    <m/>
    <m/>
    <n v="1"/>
    <s v="CANELLA"/>
    <n v="299"/>
    <s v="Rosario Lic"/>
    <m/>
    <s v="normal"/>
    <s v="En proceso"/>
    <s v="Verificación de procedencia de Facturas"/>
    <n v="72"/>
    <b v="1"/>
    <s v="[19864]"/>
    <m/>
    <s v="No Partner"/>
    <n v="19864"/>
    <n v="0"/>
    <n v="299"/>
    <n v="8777"/>
    <s v="Mesa Ayuda Infraestructura"/>
    <n v="391.12"/>
    <m/>
  </r>
  <r>
    <n v="2844"/>
    <n v="1"/>
    <d v="1899-12-30T01:00:00"/>
    <s v="50-Finalizado"/>
    <d v="1900-01-01T00:00:00"/>
    <x v="256"/>
    <d v="2024-07-19T00:00:00"/>
    <d v="2024-07-19T20:16:29"/>
    <x v="40"/>
    <n v="394.78388888888799"/>
    <d v="1900-01-15T10:47:02"/>
    <d v="2024-07-19T00:00:00"/>
    <d v="2024-07-19T20:16:29"/>
    <m/>
    <d v="1899-12-31T00:00:00"/>
    <d v="2024-08-05T07:03:31"/>
    <b v="1"/>
    <d v="2024-08-05T07:03:31"/>
    <d v="2024-08-20T19:15:38"/>
    <d v="2024-08-20T19:15:38"/>
    <m/>
    <m/>
    <d v="2024-07-19T00:00:00"/>
    <s v="Validación de funcionalidad en enlace de datos"/>
    <x v="10"/>
    <s v="Configuracion Hardware"/>
    <x v="2"/>
    <s v="Redes y Comunicaciones"/>
    <s v="Enlaces"/>
    <m/>
    <s v="CANELLA, SOCIEDAD ANONIMA"/>
    <s v="GERENCIA COMERCIAL POSVENTA"/>
    <n v="2746"/>
    <n v="35"/>
    <s v="Mesa Ayuda Infraestructura"/>
    <n v="247857"/>
    <s v="ARNALDO RENE COTTO STREMS"/>
    <n v="248"/>
    <s v="CANELLA"/>
    <n v="1"/>
    <n v="28"/>
    <n v="29"/>
    <m/>
    <n v="1"/>
    <s v="CANELLA"/>
    <n v="248"/>
    <s v="Juan Carlos Barillas"/>
    <s v="&lt;p&gt;Validación de funcionalidad en enlace de datos&amp;nbsp;&lt;/p&gt;"/>
    <s v="normal"/>
    <s v="En proceso"/>
    <s v="Pruebas y configuración enlace CD Rio Hondo"/>
    <n v="72"/>
    <b v="1"/>
    <s v="[19447]"/>
    <m/>
    <s v="03552@general.tbd"/>
    <n v="19447"/>
    <n v="0"/>
    <n v="248"/>
    <n v="8777"/>
    <s v="Mesa Ayuda Infraestructura"/>
    <n v="394.78388888888799"/>
    <m/>
  </r>
  <r>
    <n v="2841"/>
    <n v="1"/>
    <d v="1899-12-30T01:00:00"/>
    <s v="50-Finalizado"/>
    <d v="1900-01-01T00:00:00"/>
    <x v="257"/>
    <d v="2024-07-19T00:00:00"/>
    <d v="2024-07-19T18:21:42"/>
    <x v="40"/>
    <n v="396.696944444444"/>
    <d v="1900-01-15T12:41:49"/>
    <d v="2024-07-19T00:00:00"/>
    <d v="2024-07-19T18:21:42"/>
    <m/>
    <d v="1899-12-31T00:00:00"/>
    <d v="2024-08-05T07:03:31"/>
    <b v="1"/>
    <d v="2024-08-05T07:03:31"/>
    <d v="2024-08-20T19:15:38"/>
    <d v="2024-08-20T19:15:38"/>
    <m/>
    <m/>
    <d v="2024-07-19T00:00:00"/>
    <s v="Se procede a realizar pruebas de configuraciones y notificaciones de reserva de salas. Se verifica en correo los mensajes de reservación exitosa o si hubiera otra reunión en la cual el correo debe notificar que ya existe una reunión en el mismo horario.  La reserva se realiza automáticamente y se rechaza de igual forma. Se hicieron distintas pruebas de mensajes de notificación. Pendiente: visto bueno de texto final de  &quot;Sala reservada&quot;"/>
    <x v="3"/>
    <s v="Configuracion Software"/>
    <x v="2"/>
    <m/>
    <m/>
    <m/>
    <s v="CANELLA, SOCIEDAD ANONIMA"/>
    <s v="PROYECTOS Y ORGANIZACION Y METODOS"/>
    <n v="2743"/>
    <n v="35"/>
    <s v="Mesa Ayuda Infraestructura"/>
    <n v="247393"/>
    <s v="MIGUEL EDUARDO PEREZ LOPEZ"/>
    <n v="299"/>
    <s v="CANELLA"/>
    <n v="2"/>
    <m/>
    <m/>
    <m/>
    <n v="1"/>
    <s v="CANELLA"/>
    <n v="299"/>
    <s v="Rosario Lic"/>
    <m/>
    <s v="normal"/>
    <s v="En proceso"/>
    <s v="Se procede a realizar pruebas con grupo de reserva de sala"/>
    <n v="72"/>
    <b v="1"/>
    <s v="[19353]"/>
    <m/>
    <s v="06031@general.tbd"/>
    <n v="19353"/>
    <n v="0"/>
    <n v="299"/>
    <n v="8777"/>
    <s v="Mesa Ayuda Infraestructura"/>
    <n v="396.696944444444"/>
    <m/>
  </r>
  <r>
    <n v="2832"/>
    <n v="1.5833333333333299"/>
    <d v="1899-12-30T01:35:00"/>
    <s v="50-Finalizado"/>
    <d v="1900-01-01T00:00:00"/>
    <x v="258"/>
    <d v="2024-07-19T00:00:00"/>
    <d v="2024-07-19T16:59:22"/>
    <x v="40"/>
    <n v="398.06916666666598"/>
    <d v="1900-01-15T14:04:09"/>
    <d v="2024-07-19T00:00:00"/>
    <d v="2024-07-19T16:59:22"/>
    <m/>
    <d v="1899-12-31T00:00:00"/>
    <d v="2024-08-05T07:03:31"/>
    <b v="1"/>
    <d v="2024-08-05T07:03:31"/>
    <d v="2024-08-20T19:15:38"/>
    <d v="2024-08-20T19:15:38"/>
    <m/>
    <m/>
    <d v="2024-07-19T00:00:00"/>
    <s v="Configuracion de scaner de 3 impresoras con pruebas de funcionamiento."/>
    <x v="7"/>
    <s v="Configuracion Software"/>
    <x v="2"/>
    <m/>
    <m/>
    <m/>
    <s v="CANELLA, SOCIEDAD ANONIMA"/>
    <s v="GRAFIPRONTO"/>
    <n v="2734"/>
    <n v="35"/>
    <s v="Mesa Ayuda Infraestructura"/>
    <n v="247729"/>
    <s v="OLGA MARIA DE LA CRUZ VALLADARES GUILLEN de OVALLE"/>
    <n v="171"/>
    <s v="CANELLA"/>
    <n v="2"/>
    <m/>
    <m/>
    <m/>
    <n v="1"/>
    <s v="CANELLA"/>
    <n v="171"/>
    <s v="Andres de León"/>
    <m/>
    <s v="normal"/>
    <s v="En proceso"/>
    <s v="Configuracion de scaner Eduardo Cifuentes"/>
    <n v="72"/>
    <b v="1"/>
    <s v="[19321]"/>
    <m/>
    <s v="04720@general.tbd"/>
    <n v="19321"/>
    <n v="0"/>
    <n v="171"/>
    <n v="8777"/>
    <s v="Mesa Ayuda Infraestructura"/>
    <n v="398.06916666666598"/>
    <m/>
  </r>
  <r>
    <n v="2815"/>
    <n v="1.0833333333333299"/>
    <d v="1899-12-30T01:05:00"/>
    <s v="50-Finalizado"/>
    <d v="1900-01-01T00:00:00"/>
    <x v="259"/>
    <d v="2024-07-18T00:00:00"/>
    <d v="2024-07-18T23:33:51"/>
    <x v="40"/>
    <n v="415.49444444444401"/>
    <d v="1900-01-16T07:29:40"/>
    <d v="2024-07-18T00:00:00"/>
    <d v="2024-07-18T23:33:51"/>
    <m/>
    <d v="1899-12-31T00:00:00"/>
    <d v="2024-08-05T07:03:31"/>
    <b v="1"/>
    <d v="2024-08-05T07:03:31"/>
    <d v="2024-08-20T19:15:38"/>
    <d v="2024-08-20T19:15:38"/>
    <m/>
    <m/>
    <d v="2024-07-18T00:00:00"/>
    <s v="Acceso a plataforma APM Terminals Quetzal"/>
    <x v="10"/>
    <s v="Configuracion Software"/>
    <x v="2"/>
    <s v="Redes y Comunicaciones"/>
    <s v="Firewall"/>
    <m/>
    <s v="CANELLA, SOCIEDAD ANONIMA"/>
    <s v="CREDITOS Y COBROS"/>
    <n v="2717"/>
    <n v="35"/>
    <s v="Mesa Ayuda Infraestructura"/>
    <n v="247778"/>
    <s v="LUIS ARNOLDO POLANCO"/>
    <n v="248"/>
    <s v="CANELLA"/>
    <n v="2"/>
    <n v="28"/>
    <n v="23"/>
    <m/>
    <n v="1"/>
    <s v="CANELLA"/>
    <n v="248"/>
    <s v="Juan Carlos Barillas"/>
    <s v="&lt;p&gt;Acceso a plataforma APM Terminals Quetzal&lt;/p&gt;&lt;p&gt;da problema al ingresar, despues de investigar se determino que es necesario crear una regla en firewall fotinet para que pueda tener acceso&amp;nbsp;&lt;/p&gt;&lt;p&gt;se creo la regla y se realizaron pruebas siendo exitosas&amp;nbsp;&lt;/p&gt;"/>
    <s v="normal"/>
    <s v="En proceso"/>
    <s v="Acceso a plataforma APM Terminals Quetzal"/>
    <n v="72"/>
    <b v="1"/>
    <s v="[19205]"/>
    <m/>
    <s v="04387@general.tbd"/>
    <n v="19205"/>
    <n v="0"/>
    <n v="248"/>
    <n v="8777"/>
    <s v="Mesa Ayuda Infraestructura"/>
    <n v="415.49444444444401"/>
    <m/>
  </r>
  <r>
    <n v="2813"/>
    <n v="0.25"/>
    <d v="1899-12-30T00:15:00"/>
    <s v="50-Finalizado"/>
    <d v="1900-01-01T00:00:00"/>
    <x v="260"/>
    <d v="2024-07-18T00:00:00"/>
    <d v="2024-07-18T23:14:23"/>
    <x v="40"/>
    <n v="415.81888888888801"/>
    <d v="1900-01-16T07:49:08"/>
    <d v="2024-07-18T00:00:00"/>
    <d v="2024-07-18T23:14:23"/>
    <m/>
    <d v="1899-12-31T00:00:00"/>
    <d v="2024-08-05T07:03:31"/>
    <b v="1"/>
    <d v="2024-08-05T07:03:31"/>
    <d v="2024-08-20T19:15:38"/>
    <d v="2024-08-20T19:15:38"/>
    <m/>
    <m/>
    <d v="2024-07-18T00:00:00"/>
    <s v="Realizar pruebas de reinicio"/>
    <x v="8"/>
    <s v="Configuracion Software"/>
    <x v="2"/>
    <s v="Planta Telefonica"/>
    <m/>
    <m/>
    <s v="CANELLA, SOCIEDAD ANONIMA"/>
    <s v="CANAL DIGITAL"/>
    <n v="2715"/>
    <n v="35"/>
    <s v="Mesa Ayuda Infraestructura"/>
    <n v="247177"/>
    <s v="SAIRA LISBETH HEREDIA CARDENAS"/>
    <n v="186"/>
    <s v="CANELLA"/>
    <n v="2"/>
    <n v="14"/>
    <m/>
    <m/>
    <n v="1"/>
    <s v="CANELLA"/>
    <n v="186"/>
    <s v="Carlos Carias"/>
    <s v="&lt;p&gt;Verificar en la planta si no hay extensión duplicada&lt;/p&gt;&lt;p&gt;Verificar en que puerto está conectada la extensión&lt;/p&gt;&lt;p&gt;Realizar pruebas de reinicio&amp;nbsp;&lt;/p&gt;"/>
    <s v="normal"/>
    <s v="En proceso"/>
    <s v="Verificar extensión 7308 de Call Center ya que no entran ni salen llamadas"/>
    <n v="72"/>
    <b v="1"/>
    <s v="[19180, 19179, 19178]"/>
    <m/>
    <s v="06432@general.tbd"/>
    <n v="19180"/>
    <n v="0"/>
    <n v="186"/>
    <n v="8777"/>
    <s v="Mesa Ayuda Infraestructura"/>
    <n v="415.81888888888801"/>
    <m/>
  </r>
  <r>
    <n v="2813"/>
    <n v="0.16666666666666599"/>
    <d v="1899-12-30T00:10:00"/>
    <s v="50-Finalizado"/>
    <d v="1900-01-01T00:00:00"/>
    <x v="260"/>
    <d v="2024-07-18T00:00:00"/>
    <d v="2024-07-18T23:14:23"/>
    <x v="40"/>
    <n v="415.81888888888801"/>
    <d v="1900-01-16T07:49:08"/>
    <d v="2024-07-18T00:00:00"/>
    <d v="2024-07-18T23:14:23"/>
    <m/>
    <d v="1899-12-31T00:00:00"/>
    <d v="2024-08-05T07:03:31"/>
    <b v="1"/>
    <d v="2024-08-05T07:03:31"/>
    <d v="2024-08-20T19:15:38"/>
    <d v="2024-08-20T19:15:38"/>
    <m/>
    <m/>
    <d v="2024-07-18T00:00:00"/>
    <s v="Verificar en que puerto está conectada la extensión"/>
    <x v="8"/>
    <s v="Configuracion Software"/>
    <x v="2"/>
    <s v="Planta Telefonica"/>
    <m/>
    <m/>
    <s v="CANELLA, SOCIEDAD ANONIMA"/>
    <s v="CANAL DIGITAL"/>
    <n v="2715"/>
    <n v="35"/>
    <s v="Mesa Ayuda Infraestructura"/>
    <n v="247177"/>
    <s v="SAIRA LISBETH HEREDIA CARDENAS"/>
    <n v="186"/>
    <s v="CANELLA"/>
    <n v="2"/>
    <n v="14"/>
    <m/>
    <m/>
    <n v="1"/>
    <s v="CANELLA"/>
    <n v="186"/>
    <s v="Carlos Carias"/>
    <s v="&lt;p&gt;Verificar en la planta si no hay extensión duplicada&lt;/p&gt;&lt;p&gt;Verificar en que puerto está conectada la extensión&lt;/p&gt;&lt;p&gt;Realizar pruebas de reinicio&amp;nbsp;&lt;/p&gt;"/>
    <s v="normal"/>
    <s v="En proceso"/>
    <s v="Verificar extensión 7308 de Call Center ya que no entran ni salen llamadas"/>
    <n v="72"/>
    <b v="1"/>
    <s v="[19180, 19179, 19178]"/>
    <m/>
    <s v="06432@general.tbd"/>
    <n v="19179"/>
    <n v="0"/>
    <n v="186"/>
    <n v="8777"/>
    <s v="Mesa Ayuda Infraestructura"/>
    <n v="415.81888888888801"/>
    <m/>
  </r>
  <r>
    <n v="2813"/>
    <n v="0.16666666666666599"/>
    <d v="1899-12-30T00:10:00"/>
    <s v="50-Finalizado"/>
    <d v="1900-01-01T00:00:00"/>
    <x v="260"/>
    <d v="2024-07-18T00:00:00"/>
    <d v="2024-07-18T23:14:23"/>
    <x v="40"/>
    <n v="415.81888888888801"/>
    <d v="1900-01-16T07:49:08"/>
    <d v="2024-07-18T00:00:00"/>
    <d v="2024-07-18T23:14:23"/>
    <m/>
    <d v="1899-12-31T00:00:00"/>
    <d v="2024-08-05T07:03:31"/>
    <b v="1"/>
    <d v="2024-08-05T07:03:31"/>
    <d v="2024-08-20T19:15:38"/>
    <d v="2024-08-20T19:15:38"/>
    <m/>
    <m/>
    <d v="2024-07-18T00:00:00"/>
    <s v="Verificar en la planta si no hay extensión duplicada"/>
    <x v="8"/>
    <s v="Configuracion Software"/>
    <x v="2"/>
    <s v="Planta Telefonica"/>
    <m/>
    <m/>
    <s v="CANELLA, SOCIEDAD ANONIMA"/>
    <s v="CANAL DIGITAL"/>
    <n v="2715"/>
    <n v="35"/>
    <s v="Mesa Ayuda Infraestructura"/>
    <n v="247177"/>
    <s v="SAIRA LISBETH HEREDIA CARDENAS"/>
    <n v="186"/>
    <s v="CANELLA"/>
    <n v="2"/>
    <n v="14"/>
    <m/>
    <m/>
    <n v="1"/>
    <s v="CANELLA"/>
    <n v="186"/>
    <s v="Carlos Carias"/>
    <s v="&lt;p&gt;Verificar en la planta si no hay extensión duplicada&lt;/p&gt;&lt;p&gt;Verificar en que puerto está conectada la extensión&lt;/p&gt;&lt;p&gt;Realizar pruebas de reinicio&amp;nbsp;&lt;/p&gt;"/>
    <s v="normal"/>
    <s v="En proceso"/>
    <s v="Verificar extensión 7308 de Call Center ya que no entran ni salen llamadas"/>
    <n v="72"/>
    <b v="1"/>
    <s v="[19180, 19179, 19178]"/>
    <m/>
    <s v="06432@general.tbd"/>
    <n v="19178"/>
    <n v="0"/>
    <n v="186"/>
    <n v="8777"/>
    <s v="Mesa Ayuda Infraestructura"/>
    <n v="415.81888888888801"/>
    <m/>
  </r>
  <r>
    <n v="2790"/>
    <n v="1"/>
    <d v="1899-12-30T01:00:00"/>
    <s v="50-Finalizado"/>
    <d v="1900-01-01T00:00:00"/>
    <x v="261"/>
    <d v="2024-07-18T00:00:00"/>
    <d v="2024-07-18T20:36:55"/>
    <x v="40"/>
    <n v="418.44333333333299"/>
    <d v="1900-01-16T10:26:36"/>
    <d v="2024-07-18T00:00:00"/>
    <d v="2024-07-18T20:36:55"/>
    <m/>
    <d v="1899-12-31T00:00:00"/>
    <d v="2024-08-05T07:03:31"/>
    <b v="1"/>
    <d v="2024-08-05T07:03:31"/>
    <d v="2024-08-20T19:15:38"/>
    <d v="2024-08-20T19:15:38"/>
    <m/>
    <m/>
    <d v="2024-07-18T00:00:00"/>
    <s v="Se procede a la firma de documentos (ordenes de compra y facturas) para posteriormente realizar la entrega a Contabilidad y Administración"/>
    <x v="3"/>
    <m/>
    <x v="2"/>
    <m/>
    <m/>
    <m/>
    <s v="CANELLA, SOCIEDAD ANONIMA"/>
    <s v="INFORMATICA"/>
    <n v="2692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Firma y autorización de órdenes de compra"/>
    <n v="72"/>
    <b v="1"/>
    <s v="[19090]"/>
    <m/>
    <s v="04025@general.tbd"/>
    <n v="19090"/>
    <n v="0"/>
    <n v="299"/>
    <n v="8777"/>
    <s v="Mesa Ayuda Infraestructura"/>
    <n v="418.44333333333299"/>
    <m/>
  </r>
  <r>
    <n v="2787"/>
    <n v="8.3333333333333301E-2"/>
    <d v="1899-12-30T00:05:00"/>
    <s v="50-Finalizado"/>
    <d v="1900-01-01T00:00:00"/>
    <x v="262"/>
    <d v="2024-07-18T00:00:00"/>
    <d v="2024-07-18T20:30:41"/>
    <x v="40"/>
    <n v="418.54722222222199"/>
    <d v="1900-01-16T10:32:50"/>
    <d v="2024-07-18T00:00:00"/>
    <d v="2024-07-18T20:30:41"/>
    <m/>
    <d v="1899-12-31T00:00:00"/>
    <d v="2024-08-05T07:03:31"/>
    <b v="1"/>
    <d v="2024-08-05T07:03:31"/>
    <d v="2024-08-20T19:15:38"/>
    <d v="2024-08-20T19:15:38"/>
    <m/>
    <m/>
    <d v="2024-07-18T00:00:00"/>
    <s v="envió de información a técnico para configuración"/>
    <x v="9"/>
    <s v="Configuracion Software"/>
    <x v="2"/>
    <s v="AD y Portal Office"/>
    <m/>
    <m/>
    <s v="Partner sin user_id"/>
    <s v="Partner sin user_id"/>
    <n v="2689"/>
    <n v="35"/>
    <s v="Mesa Ayuda Infraestructura"/>
    <n v="63102"/>
    <s v="DAVID JOSUE FLORES SEQUEIDA"/>
    <n v="314"/>
    <s v="CANELLA"/>
    <n v="2"/>
    <n v="26"/>
    <m/>
    <m/>
    <n v="1"/>
    <s v="CANELLA"/>
    <n v="314"/>
    <s v="Yosselyn Ignacio"/>
    <m/>
    <s v="normal"/>
    <s v="En proceso"/>
    <s v="Creación de usuario facturación según checklist para Yamaha Petapolis"/>
    <n v="72"/>
    <b v="1"/>
    <s v="[19129, 19128, 19103, 19102, 19101]"/>
    <m/>
    <s v="Partner sin user_id. Partner: 63102"/>
    <n v="19129"/>
    <n v="0"/>
    <n v="314"/>
    <n v="8777"/>
    <s v="Mesa Ayuda Infraestructura"/>
    <n v="418.54722222222199"/>
    <m/>
  </r>
  <r>
    <n v="2787"/>
    <n v="8.3333333333333301E-2"/>
    <d v="1899-12-30T00:05:00"/>
    <s v="50-Finalizado"/>
    <d v="1900-01-01T00:00:00"/>
    <x v="262"/>
    <d v="2024-07-18T00:00:00"/>
    <d v="2024-07-18T20:30:41"/>
    <x v="40"/>
    <n v="418.54722222222199"/>
    <d v="1900-01-16T10:32:50"/>
    <d v="2024-07-18T00:00:00"/>
    <d v="2024-07-18T20:30:41"/>
    <m/>
    <d v="1899-12-31T00:00:00"/>
    <d v="2024-08-05T07:03:31"/>
    <b v="1"/>
    <d v="2024-08-05T07:03:31"/>
    <d v="2024-08-20T19:15:38"/>
    <d v="2024-08-20T19:15:38"/>
    <m/>
    <m/>
    <d v="2024-07-18T00:00:00"/>
    <s v="Agregar grupo Canella y VPN"/>
    <x v="9"/>
    <s v="Configuracion Software"/>
    <x v="2"/>
    <s v="AD y Portal Office"/>
    <m/>
    <m/>
    <s v="Partner sin user_id"/>
    <s v="Partner sin user_id"/>
    <n v="2689"/>
    <n v="35"/>
    <s v="Mesa Ayuda Infraestructura"/>
    <n v="63102"/>
    <s v="DAVID JOSUE FLORES SEQUEIDA"/>
    <n v="314"/>
    <s v="CANELLA"/>
    <n v="2"/>
    <n v="26"/>
    <m/>
    <m/>
    <n v="1"/>
    <s v="CANELLA"/>
    <n v="314"/>
    <s v="Yosselyn Ignacio"/>
    <m/>
    <s v="normal"/>
    <s v="En proceso"/>
    <s v="Creación de usuario facturación según checklist para Yamaha Petapolis"/>
    <n v="72"/>
    <b v="1"/>
    <s v="[19129, 19128, 19103, 19102, 19101]"/>
    <m/>
    <s v="Partner sin user_id. Partner: 63102"/>
    <n v="19128"/>
    <n v="0"/>
    <n v="314"/>
    <n v="8777"/>
    <s v="Mesa Ayuda Infraestructura"/>
    <n v="418.54722222222199"/>
    <m/>
  </r>
  <r>
    <n v="2787"/>
    <n v="0.16666666666666599"/>
    <d v="1899-12-30T00:10:00"/>
    <s v="50-Finalizado"/>
    <d v="1900-01-01T00:00:00"/>
    <x v="262"/>
    <d v="2024-07-18T00:00:00"/>
    <d v="2024-07-18T20:30:41"/>
    <x v="40"/>
    <n v="418.54722222222199"/>
    <d v="1900-01-16T10:32:50"/>
    <d v="2024-07-18T00:00:00"/>
    <d v="2024-07-18T20:30:41"/>
    <m/>
    <d v="1899-12-31T00:00:00"/>
    <d v="2024-08-05T07:03:31"/>
    <b v="1"/>
    <d v="2024-08-05T07:03:31"/>
    <d v="2024-08-20T19:15:38"/>
    <d v="2024-08-20T19:15:38"/>
    <m/>
    <m/>
    <d v="2024-07-18T00:00:00"/>
    <s v="Creación de correo"/>
    <x v="9"/>
    <s v="Configuracion Software"/>
    <x v="2"/>
    <s v="AD y Portal Office"/>
    <m/>
    <m/>
    <s v="Partner sin user_id"/>
    <s v="Partner sin user_id"/>
    <n v="2689"/>
    <n v="35"/>
    <s v="Mesa Ayuda Infraestructura"/>
    <n v="63102"/>
    <s v="DAVID JOSUE FLORES SEQUEIDA"/>
    <n v="314"/>
    <s v="CANELLA"/>
    <n v="2"/>
    <n v="26"/>
    <m/>
    <m/>
    <n v="1"/>
    <s v="CANELLA"/>
    <n v="314"/>
    <s v="Yosselyn Ignacio"/>
    <m/>
    <s v="normal"/>
    <s v="En proceso"/>
    <s v="Creación de usuario facturación según checklist para Yamaha Petapolis"/>
    <n v="72"/>
    <b v="1"/>
    <s v="[19129, 19128, 19103, 19102, 19101]"/>
    <m/>
    <s v="Partner sin user_id. Partner: 63102"/>
    <n v="19103"/>
    <n v="0"/>
    <n v="314"/>
    <n v="8777"/>
    <s v="Mesa Ayuda Infraestructura"/>
    <n v="418.54722222222199"/>
    <m/>
  </r>
  <r>
    <n v="2787"/>
    <n v="0.33333333333333298"/>
    <d v="1899-12-30T00:20:00"/>
    <s v="50-Finalizado"/>
    <d v="1900-01-01T00:00:00"/>
    <x v="262"/>
    <d v="2024-07-18T00:00:00"/>
    <d v="2024-07-18T20:30:41"/>
    <x v="40"/>
    <n v="418.54722222222199"/>
    <d v="1900-01-16T10:32:50"/>
    <d v="2024-07-18T00:00:00"/>
    <d v="2024-07-18T20:30:41"/>
    <m/>
    <d v="1899-12-31T00:00:00"/>
    <d v="2024-08-05T07:03:31"/>
    <b v="1"/>
    <d v="2024-08-05T07:03:31"/>
    <d v="2024-08-20T19:15:38"/>
    <d v="2024-08-20T19:15:38"/>
    <m/>
    <m/>
    <d v="2024-07-18T00:00:00"/>
    <s v="creación de usuario AD, crear OU para Yamaha Pentapolis"/>
    <x v="9"/>
    <s v="Configuracion Software"/>
    <x v="2"/>
    <s v="AD y Portal Office"/>
    <m/>
    <m/>
    <s v="Partner sin user_id"/>
    <s v="Partner sin user_id"/>
    <n v="2689"/>
    <n v="35"/>
    <s v="Mesa Ayuda Infraestructura"/>
    <n v="63102"/>
    <s v="DAVID JOSUE FLORES SEQUEIDA"/>
    <n v="314"/>
    <s v="CANELLA"/>
    <n v="2"/>
    <n v="26"/>
    <m/>
    <m/>
    <n v="1"/>
    <s v="CANELLA"/>
    <n v="314"/>
    <s v="Yosselyn Ignacio"/>
    <m/>
    <s v="normal"/>
    <s v="En proceso"/>
    <s v="Creación de usuario facturación según checklist para Yamaha Petapolis"/>
    <n v="72"/>
    <b v="1"/>
    <s v="[19129, 19128, 19103, 19102, 19101]"/>
    <m/>
    <s v="Partner sin user_id. Partner: 63102"/>
    <n v="19102"/>
    <n v="0"/>
    <n v="314"/>
    <n v="8777"/>
    <s v="Mesa Ayuda Infraestructura"/>
    <n v="418.54722222222199"/>
    <m/>
  </r>
  <r>
    <n v="2787"/>
    <n v="0.25"/>
    <d v="1899-12-30T00:15:00"/>
    <s v="50-Finalizado"/>
    <d v="1900-01-01T00:00:00"/>
    <x v="262"/>
    <d v="2024-07-18T00:00:00"/>
    <d v="2024-07-18T20:30:41"/>
    <x v="40"/>
    <n v="418.54722222222199"/>
    <d v="1900-01-16T10:32:50"/>
    <d v="2024-07-18T00:00:00"/>
    <d v="2024-07-18T20:30:41"/>
    <m/>
    <d v="1899-12-31T00:00:00"/>
    <d v="2024-08-05T07:03:31"/>
    <b v="1"/>
    <d v="2024-08-05T07:03:31"/>
    <d v="2024-08-20T19:15:38"/>
    <d v="2024-08-20T19:15:38"/>
    <m/>
    <m/>
    <d v="2024-07-18T00:00:00"/>
    <s v="Calendarizar equipo y enviar correo a usuario"/>
    <x v="9"/>
    <s v="Configuracion Software"/>
    <x v="2"/>
    <s v="AD y Portal Office"/>
    <m/>
    <m/>
    <s v="Partner sin user_id"/>
    <s v="Partner sin user_id"/>
    <n v="2689"/>
    <n v="35"/>
    <s v="Mesa Ayuda Infraestructura"/>
    <n v="63102"/>
    <s v="DAVID JOSUE FLORES SEQUEIDA"/>
    <n v="314"/>
    <s v="CANELLA"/>
    <n v="2"/>
    <n v="26"/>
    <m/>
    <m/>
    <n v="1"/>
    <s v="CANELLA"/>
    <n v="314"/>
    <s v="Yosselyn Ignacio"/>
    <m/>
    <s v="normal"/>
    <s v="En proceso"/>
    <s v="Creación de usuario facturación según checklist para Yamaha Petapolis"/>
    <n v="72"/>
    <b v="1"/>
    <s v="[19129, 19128, 19103, 19102, 19101]"/>
    <m/>
    <s v="Partner sin user_id. Partner: 63102"/>
    <n v="19101"/>
    <n v="0"/>
    <n v="314"/>
    <n v="8777"/>
    <s v="Mesa Ayuda Infraestructura"/>
    <n v="418.54722222222199"/>
    <m/>
  </r>
  <r>
    <n v="2779"/>
    <n v="0.2"/>
    <d v="1899-12-30T00:12:00"/>
    <s v="50-Finalizado"/>
    <d v="1900-01-01T00:00:00"/>
    <x v="263"/>
    <d v="2024-08-13T00:00:00"/>
    <d v="2024-07-18T18:28:47"/>
    <x v="138"/>
    <n v="606.54611111111103"/>
    <d v="1900-01-24T06:32:46"/>
    <d v="2024-07-18T00:00:00"/>
    <d v="2024-07-18T18:28:47"/>
    <m/>
    <d v="1899-12-31T00:00:00"/>
    <d v="2024-08-13T01:01:33"/>
    <b v="1"/>
    <d v="2024-08-13T01:01:33"/>
    <d v="2024-08-20T19:15:38"/>
    <d v="2024-08-20T19:15:38"/>
    <m/>
    <m/>
    <d v="2024-08-07T00:00:00"/>
    <s v="Se verifica existencias y precio en Kemik para realizar orden de compra"/>
    <x v="3"/>
    <m/>
    <x v="2"/>
    <m/>
    <m/>
    <m/>
    <s v="CANELLA, SOCIEDAD ANONIMA"/>
    <s v="ISUZU"/>
    <n v="2681"/>
    <n v="35"/>
    <s v="Mesa Ayuda Infraestructura"/>
    <n v="247791"/>
    <s v="ASTRID VICTORIA PEÑA DIEGUEZ"/>
    <n v="299"/>
    <s v="CANELLA"/>
    <m/>
    <m/>
    <m/>
    <m/>
    <n v="1"/>
    <s v="CANELLA"/>
    <n v="314"/>
    <s v="Yosselyn Ignacio"/>
    <s v="&lt;p&gt;Se procede a brindar seguimiento de compra,&amp;nbsp;&lt;/p&gt;&lt;p&gt;se verifica con vendedor de Imeqmo fecha de entrega de los artículos solicitados.&lt;/p&gt;"/>
    <s v="normal"/>
    <s v="En proceso"/>
    <s v="Compra de camaras para Isuzu"/>
    <n v="72"/>
    <b v="1"/>
    <n v="24253"/>
    <m/>
    <s v="04243@general.tbd"/>
    <n v="24903"/>
    <n v="0"/>
    <n v="299"/>
    <n v="8777"/>
    <s v="Mesa Ayuda Infraestructura"/>
    <n v="606.54611111111103"/>
    <m/>
  </r>
  <r>
    <n v="2779"/>
    <n v="0.25"/>
    <d v="1899-12-30T00:15:00"/>
    <s v="50-Finalizado"/>
    <d v="1900-01-01T00:00:00"/>
    <x v="263"/>
    <d v="2024-08-13T00:00:00"/>
    <d v="2024-07-18T18:28:47"/>
    <x v="138"/>
    <n v="606.54611111111103"/>
    <d v="1900-01-24T06:32:46"/>
    <d v="2024-07-18T00:00:00"/>
    <d v="2024-07-18T18:28:47"/>
    <m/>
    <d v="1899-12-31T00:00:00"/>
    <d v="2024-08-13T01:01:33"/>
    <b v="1"/>
    <d v="2024-08-13T01:01:33"/>
    <d v="2024-08-20T19:15:38"/>
    <d v="2024-08-20T19:15:38"/>
    <m/>
    <m/>
    <d v="2024-08-05T00:00:00"/>
    <s v="se verifica con vendedor de Imeqmo fecha de entrega de los artículos solicitados."/>
    <x v="3"/>
    <m/>
    <x v="2"/>
    <m/>
    <m/>
    <m/>
    <s v="CANELLA, SOCIEDAD ANONIMA"/>
    <s v="ISUZU"/>
    <n v="2681"/>
    <n v="35"/>
    <s v="Mesa Ayuda Infraestructura"/>
    <n v="247791"/>
    <s v="ASTRID VICTORIA PEÑA DIEGUEZ"/>
    <n v="299"/>
    <s v="CANELLA"/>
    <m/>
    <m/>
    <m/>
    <m/>
    <n v="1"/>
    <s v="CANELLA"/>
    <n v="314"/>
    <s v="Yosselyn Ignacio"/>
    <s v="&lt;p&gt;Se procede a brindar seguimiento de compra,&amp;nbsp;&lt;/p&gt;&lt;p&gt;se verifica con vendedor de Imeqmo fecha de entrega de los artículos solicitados.&lt;/p&gt;"/>
    <s v="normal"/>
    <s v="En proceso"/>
    <s v="Compra de camaras para Isuzu"/>
    <n v="72"/>
    <b v="1"/>
    <n v="24253"/>
    <m/>
    <s v="04243@general.tbd"/>
    <n v="24253"/>
    <n v="0"/>
    <n v="299"/>
    <n v="8777"/>
    <s v="Mesa Ayuda Infraestructura"/>
    <n v="606.54611111111103"/>
    <m/>
  </r>
  <r>
    <n v="2777"/>
    <n v="0.5"/>
    <d v="1899-12-30T00:30:00"/>
    <s v="50-Finalizado"/>
    <d v="1900-01-01T00:00:00"/>
    <x v="264"/>
    <d v="2024-07-18T00:00:00"/>
    <d v="2024-07-18T18:07:35"/>
    <x v="40"/>
    <n v="420.93222222222198"/>
    <d v="1900-01-16T12:55:56"/>
    <d v="2024-07-18T00:00:00"/>
    <d v="2024-07-18T18:07:35"/>
    <m/>
    <d v="1899-12-31T00:00:00"/>
    <d v="2024-08-05T07:03:31"/>
    <b v="1"/>
    <d v="2024-08-05T07:03:31"/>
    <d v="2024-08-20T19:15:38"/>
    <d v="2024-08-20T19:15:38"/>
    <m/>
    <m/>
    <d v="2024-07-18T00:00:00"/>
    <s v="Se procede a realizar el ingreso de 20 monitores en bodega IT,"/>
    <x v="3"/>
    <s v="Configuracion Hardware"/>
    <x v="2"/>
    <m/>
    <m/>
    <m/>
    <s v="CANELLA, SOCIEDAD ANONIMA"/>
    <s v="INFORMATICA"/>
    <n v="2679"/>
    <n v="35"/>
    <s v="Mesa Ayuda Infraestructura"/>
    <n v="247813"/>
    <s v="OSCAR RAUL HERNANDEZ REYNA"/>
    <n v="299"/>
    <s v="CANELLA"/>
    <n v="1"/>
    <m/>
    <m/>
    <m/>
    <n v="1"/>
    <s v="CANELLA"/>
    <n v="299"/>
    <s v="Rosario Lic"/>
    <m/>
    <s v="normal"/>
    <s v="En proceso"/>
    <s v="Recepción e ingreso de equipos a bodega"/>
    <n v="72"/>
    <b v="1"/>
    <s v="[19062]"/>
    <m/>
    <s v="04025@general.tbd"/>
    <n v="19062"/>
    <n v="0"/>
    <n v="299"/>
    <n v="8777"/>
    <s v="Mesa Ayuda Infraestructura"/>
    <n v="420.93222222222198"/>
    <m/>
  </r>
  <r>
    <n v="2774"/>
    <n v="0.16666666666666599"/>
    <d v="1899-12-30T00:10:00"/>
    <s v="50-Finalizado"/>
    <d v="1900-01-01T00:00:00"/>
    <x v="265"/>
    <d v="2024-07-18T00:00:00"/>
    <d v="2024-07-18T17:36:05"/>
    <x v="40"/>
    <n v="421.45722222222201"/>
    <d v="1900-01-16T13:27:26"/>
    <d v="2024-07-18T00:00:00"/>
    <d v="2024-07-18T17:36:05"/>
    <m/>
    <d v="1899-12-31T00:00:00"/>
    <d v="2024-08-05T07:03:31"/>
    <b v="1"/>
    <d v="2024-08-05T07:03:31"/>
    <d v="2024-08-20T19:15:38"/>
    <d v="2024-08-20T19:15:38"/>
    <m/>
    <m/>
    <d v="2024-07-18T00:00:00"/>
    <s v="Verificar en el plano ductos de Access Point"/>
    <x v="8"/>
    <s v="Configuracion Hardware"/>
    <x v="2"/>
    <s v="Redes y Comunicaciones"/>
    <m/>
    <m/>
    <s v="CANELLA, SOCIEDAD ANONIMA"/>
    <s v="ISUZU"/>
    <n v="2676"/>
    <n v="35"/>
    <s v="Mesa Ayuda Infraestructura"/>
    <n v="247374"/>
    <s v="LUIS PEDRO LOPEZ RODAS"/>
    <n v="186"/>
    <s v="CANELLA"/>
    <n v="1"/>
    <n v="28"/>
    <m/>
    <m/>
    <n v="1"/>
    <s v="CANELLA"/>
    <n v="186"/>
    <s v="Carlos Carias"/>
    <s v="&lt;p&gt;Verificar las fotos de los puntos de datos realizados&lt;/p&gt;&lt;p&gt;Realizar unas correcciones en el rack de comunicaciones&lt;/p&gt;&lt;p&gt;Verificar en el plano ductos de Access Point&amp;nbsp;&lt;/p&gt;"/>
    <s v="normal"/>
    <s v="En proceso"/>
    <s v="Revisar cableado estructurado de Isuzu Mazatenango"/>
    <n v="72"/>
    <b v="1"/>
    <s v="[19040, 19039, 19038]"/>
    <m/>
    <s v="06070@general.tbd"/>
    <n v="19040"/>
    <n v="0"/>
    <n v="186"/>
    <n v="8777"/>
    <s v="Mesa Ayuda Infraestructura"/>
    <n v="421.45722222222201"/>
    <m/>
  </r>
  <r>
    <n v="2774"/>
    <n v="8.3333333333333301E-2"/>
    <d v="1899-12-30T00:05:00"/>
    <s v="50-Finalizado"/>
    <d v="1900-01-01T00:00:00"/>
    <x v="265"/>
    <d v="2024-07-18T00:00:00"/>
    <d v="2024-07-18T17:36:05"/>
    <x v="40"/>
    <n v="421.45722222222201"/>
    <d v="1900-01-16T13:27:26"/>
    <d v="2024-07-18T00:00:00"/>
    <d v="2024-07-18T17:36:05"/>
    <m/>
    <d v="1899-12-31T00:00:00"/>
    <d v="2024-08-05T07:03:31"/>
    <b v="1"/>
    <d v="2024-08-05T07:03:31"/>
    <d v="2024-08-20T19:15:38"/>
    <d v="2024-08-20T19:15:38"/>
    <m/>
    <m/>
    <d v="2024-07-18T00:00:00"/>
    <s v="Realizar unas correcciones en el rack de comunicaciones"/>
    <x v="8"/>
    <s v="Configuracion Hardware"/>
    <x v="2"/>
    <s v="Redes y Comunicaciones"/>
    <m/>
    <m/>
    <s v="CANELLA, SOCIEDAD ANONIMA"/>
    <s v="ISUZU"/>
    <n v="2676"/>
    <n v="35"/>
    <s v="Mesa Ayuda Infraestructura"/>
    <n v="247374"/>
    <s v="LUIS PEDRO LOPEZ RODAS"/>
    <n v="186"/>
    <s v="CANELLA"/>
    <n v="1"/>
    <n v="28"/>
    <m/>
    <m/>
    <n v="1"/>
    <s v="CANELLA"/>
    <n v="186"/>
    <s v="Carlos Carias"/>
    <s v="&lt;p&gt;Verificar las fotos de los puntos de datos realizados&lt;/p&gt;&lt;p&gt;Realizar unas correcciones en el rack de comunicaciones&lt;/p&gt;&lt;p&gt;Verificar en el plano ductos de Access Point&amp;nbsp;&lt;/p&gt;"/>
    <s v="normal"/>
    <s v="En proceso"/>
    <s v="Revisar cableado estructurado de Isuzu Mazatenango"/>
    <n v="72"/>
    <b v="1"/>
    <s v="[19040, 19039, 19038]"/>
    <m/>
    <s v="06070@general.tbd"/>
    <n v="19039"/>
    <n v="0"/>
    <n v="186"/>
    <n v="8777"/>
    <s v="Mesa Ayuda Infraestructura"/>
    <n v="421.45722222222201"/>
    <m/>
  </r>
  <r>
    <n v="2774"/>
    <n v="0.16666666666666599"/>
    <d v="1899-12-30T00:10:00"/>
    <s v="50-Finalizado"/>
    <d v="1900-01-01T00:00:00"/>
    <x v="265"/>
    <d v="2024-07-18T00:00:00"/>
    <d v="2024-07-18T17:36:05"/>
    <x v="40"/>
    <n v="421.45722222222201"/>
    <d v="1900-01-16T13:27:26"/>
    <d v="2024-07-18T00:00:00"/>
    <d v="2024-07-18T17:36:05"/>
    <m/>
    <d v="1899-12-31T00:00:00"/>
    <d v="2024-08-05T07:03:31"/>
    <b v="1"/>
    <d v="2024-08-05T07:03:31"/>
    <d v="2024-08-20T19:15:38"/>
    <d v="2024-08-20T19:15:38"/>
    <m/>
    <m/>
    <d v="2024-07-18T00:00:00"/>
    <s v="Verificar las fotos de los puntos de datos realizados"/>
    <x v="8"/>
    <s v="Configuracion Hardware"/>
    <x v="2"/>
    <s v="Redes y Comunicaciones"/>
    <m/>
    <m/>
    <s v="CANELLA, SOCIEDAD ANONIMA"/>
    <s v="ISUZU"/>
    <n v="2676"/>
    <n v="35"/>
    <s v="Mesa Ayuda Infraestructura"/>
    <n v="247374"/>
    <s v="LUIS PEDRO LOPEZ RODAS"/>
    <n v="186"/>
    <s v="CANELLA"/>
    <n v="1"/>
    <n v="28"/>
    <m/>
    <m/>
    <n v="1"/>
    <s v="CANELLA"/>
    <n v="186"/>
    <s v="Carlos Carias"/>
    <s v="&lt;p&gt;Verificar las fotos de los puntos de datos realizados&lt;/p&gt;&lt;p&gt;Realizar unas correcciones en el rack de comunicaciones&lt;/p&gt;&lt;p&gt;Verificar en el plano ductos de Access Point&amp;nbsp;&lt;/p&gt;"/>
    <s v="normal"/>
    <s v="En proceso"/>
    <s v="Revisar cableado estructurado de Isuzu Mazatenango"/>
    <n v="72"/>
    <b v="1"/>
    <s v="[19040, 19039, 19038]"/>
    <m/>
    <s v="06070@general.tbd"/>
    <n v="19038"/>
    <n v="0"/>
    <n v="186"/>
    <n v="8777"/>
    <s v="Mesa Ayuda Infraestructura"/>
    <n v="421.45722222222201"/>
    <m/>
  </r>
  <r>
    <n v="2772"/>
    <n v="2"/>
    <d v="1899-12-30T02:00:00"/>
    <s v="50-Finalizado"/>
    <d v="1900-01-01T00:00:00"/>
    <x v="266"/>
    <d v="2024-07-18T00:00:00"/>
    <d v="2024-07-18T17:34:33"/>
    <x v="40"/>
    <n v="421.48277777777702"/>
    <d v="1900-01-16T13:28:58"/>
    <d v="2024-07-18T00:00:00"/>
    <d v="2024-07-18T17:34:33"/>
    <m/>
    <d v="1899-12-31T00:00:00"/>
    <d v="2024-08-05T07:03:31"/>
    <b v="1"/>
    <d v="2024-08-05T07:03:31"/>
    <d v="2024-08-20T19:15:38"/>
    <d v="2024-08-20T19:15:38"/>
    <m/>
    <m/>
    <d v="2024-07-24T00:00:00"/>
    <s v="Se procedió a realizar corrección de configuraciones y pruebas de reserva"/>
    <x v="3"/>
    <s v="Configuracion Software"/>
    <x v="2"/>
    <m/>
    <m/>
    <m/>
    <s v="CANELLA, SOCIEDAD ANONIMA"/>
    <s v="PROYECTOS Y ORGANIZACION Y METODOS"/>
    <n v="2674"/>
    <n v="35"/>
    <s v="Mesa Ayuda Infraestructura"/>
    <n v="247393"/>
    <s v="MIGUEL EDUARDO PEREZ LOPEZ"/>
    <n v="299"/>
    <s v="CANELLA"/>
    <n v="2"/>
    <m/>
    <m/>
    <m/>
    <n v="1"/>
    <s v="CANELLA"/>
    <n v="299"/>
    <s v="Rosario Lic"/>
    <m/>
    <s v="normal"/>
    <s v="En proceso"/>
    <s v="Creación de grupo - Reserva de Salas 3er Nivel -"/>
    <n v="72"/>
    <b v="1"/>
    <s v="[20836, 20684, 19848, 19041]"/>
    <m/>
    <s v="06031@general.tbd"/>
    <n v="20836"/>
    <n v="0"/>
    <n v="299"/>
    <n v="8777"/>
    <s v="Mesa Ayuda Infraestructura"/>
    <n v="421.48277777777702"/>
    <m/>
  </r>
  <r>
    <n v="2772"/>
    <n v="0.16666666666666599"/>
    <d v="1899-12-30T00:10:00"/>
    <s v="50-Finalizado"/>
    <d v="1900-01-01T00:00:00"/>
    <x v="266"/>
    <d v="2024-07-18T00:00:00"/>
    <d v="2024-07-18T17:34:33"/>
    <x v="40"/>
    <n v="421.48277777777702"/>
    <d v="1900-01-16T13:28:58"/>
    <d v="2024-07-18T00:00:00"/>
    <d v="2024-07-18T17:34:33"/>
    <m/>
    <d v="1899-12-31T00:00:00"/>
    <d v="2024-08-05T07:03:31"/>
    <b v="1"/>
    <d v="2024-08-05T07:03:31"/>
    <d v="2024-08-20T19:15:38"/>
    <d v="2024-08-20T19:15:38"/>
    <m/>
    <m/>
    <d v="2024-07-24T00:00:00"/>
    <s v="Cambios de configuraciones a solicitud."/>
    <x v="3"/>
    <s v="Configuracion Software"/>
    <x v="2"/>
    <m/>
    <m/>
    <m/>
    <s v="CANELLA, SOCIEDAD ANONIMA"/>
    <s v="PROYECTOS Y ORGANIZACION Y METODOS"/>
    <n v="2674"/>
    <n v="35"/>
    <s v="Mesa Ayuda Infraestructura"/>
    <n v="247393"/>
    <s v="MIGUEL EDUARDO PEREZ LOPEZ"/>
    <n v="299"/>
    <s v="CANELLA"/>
    <n v="2"/>
    <m/>
    <m/>
    <m/>
    <n v="1"/>
    <s v="CANELLA"/>
    <n v="299"/>
    <s v="Rosario Lic"/>
    <m/>
    <s v="normal"/>
    <s v="En proceso"/>
    <s v="Creación de grupo - Reserva de Salas 3er Nivel -"/>
    <n v="72"/>
    <b v="1"/>
    <s v="[20836, 20684, 19848, 19041]"/>
    <m/>
    <s v="06031@general.tbd"/>
    <n v="20684"/>
    <n v="0"/>
    <n v="299"/>
    <n v="8777"/>
    <s v="Mesa Ayuda Infraestructura"/>
    <n v="421.48277777777702"/>
    <m/>
  </r>
  <r>
    <n v="2772"/>
    <n v="1.5"/>
    <d v="1899-12-30T01:30:00"/>
    <s v="50-Finalizado"/>
    <d v="1900-01-01T00:00:00"/>
    <x v="266"/>
    <d v="2024-07-18T00:00:00"/>
    <d v="2024-07-18T17:34:33"/>
    <x v="40"/>
    <n v="421.48277777777702"/>
    <d v="1900-01-16T13:28:58"/>
    <d v="2024-07-18T00:00:00"/>
    <d v="2024-07-18T17:34:33"/>
    <m/>
    <d v="1899-12-31T00:00:00"/>
    <d v="2024-08-05T07:03:31"/>
    <b v="1"/>
    <d v="2024-08-05T07:03:31"/>
    <d v="2024-08-20T19:15:38"/>
    <d v="2024-08-20T19:15:38"/>
    <m/>
    <m/>
    <d v="2024-07-23T00:00:00"/>
    <s v="Ingreso de usuarios a grupo"/>
    <x v="3"/>
    <s v="Configuracion Software"/>
    <x v="2"/>
    <m/>
    <m/>
    <m/>
    <s v="CANELLA, SOCIEDAD ANONIMA"/>
    <s v="PROYECTOS Y ORGANIZACION Y METODOS"/>
    <n v="2674"/>
    <n v="35"/>
    <s v="Mesa Ayuda Infraestructura"/>
    <n v="247393"/>
    <s v="MIGUEL EDUARDO PEREZ LOPEZ"/>
    <n v="299"/>
    <s v="CANELLA"/>
    <n v="2"/>
    <m/>
    <m/>
    <m/>
    <n v="1"/>
    <s v="CANELLA"/>
    <n v="299"/>
    <s v="Rosario Lic"/>
    <m/>
    <s v="normal"/>
    <s v="En proceso"/>
    <s v="Creación de grupo - Reserva de Salas 3er Nivel -"/>
    <n v="72"/>
    <b v="1"/>
    <s v="[20836, 20684, 19848, 19041]"/>
    <m/>
    <s v="06031@general.tbd"/>
    <n v="19848"/>
    <n v="0"/>
    <n v="299"/>
    <n v="8777"/>
    <s v="Mesa Ayuda Infraestructura"/>
    <n v="421.48277777777702"/>
    <m/>
  </r>
  <r>
    <n v="2772"/>
    <n v="0.33333333333333298"/>
    <d v="1899-12-30T00:20:00"/>
    <s v="50-Finalizado"/>
    <d v="1900-01-01T00:00:00"/>
    <x v="266"/>
    <d v="2024-07-18T00:00:00"/>
    <d v="2024-07-18T17:34:33"/>
    <x v="40"/>
    <n v="421.48277777777702"/>
    <d v="1900-01-16T13:28:58"/>
    <d v="2024-07-18T00:00:00"/>
    <d v="2024-07-18T17:34:33"/>
    <m/>
    <d v="1899-12-31T00:00:00"/>
    <d v="2024-08-05T07:03:31"/>
    <b v="1"/>
    <d v="2024-08-05T07:03:31"/>
    <d v="2024-08-20T19:15:38"/>
    <d v="2024-08-20T19:15:38"/>
    <m/>
    <m/>
    <d v="2024-07-18T00:00:00"/>
    <s v="Se procede a realizar grupo para reserva de salas en 3er nivel, el motivo de la creación es permitir que los usuarios del 3er nivel reserven cualquiera de las 2 salas de reuniones y no llegue a haber confusión en las reservas ( reserva de 2 o más reuniones en el mismo horarios)."/>
    <x v="3"/>
    <s v="Configuracion Software"/>
    <x v="2"/>
    <m/>
    <m/>
    <m/>
    <s v="CANELLA, SOCIEDAD ANONIMA"/>
    <s v="PROYECTOS Y ORGANIZACION Y METODOS"/>
    <n v="2674"/>
    <n v="35"/>
    <s v="Mesa Ayuda Infraestructura"/>
    <n v="247393"/>
    <s v="MIGUEL EDUARDO PEREZ LOPEZ"/>
    <n v="299"/>
    <s v="CANELLA"/>
    <n v="2"/>
    <m/>
    <m/>
    <m/>
    <n v="1"/>
    <s v="CANELLA"/>
    <n v="299"/>
    <s v="Rosario Lic"/>
    <m/>
    <s v="normal"/>
    <s v="En proceso"/>
    <s v="Creación de grupo - Reserva de Salas 3er Nivel -"/>
    <n v="72"/>
    <b v="1"/>
    <s v="[20836, 20684, 19848, 19041]"/>
    <m/>
    <s v="06031@general.tbd"/>
    <n v="19041"/>
    <n v="0"/>
    <n v="299"/>
    <n v="8777"/>
    <s v="Mesa Ayuda Infraestructura"/>
    <n v="421.48277777777702"/>
    <m/>
  </r>
  <r>
    <n v="2769"/>
    <n v="0.5"/>
    <d v="1899-12-30T00:30:00"/>
    <s v="50-Finalizado"/>
    <d v="1900-01-01T00:00:00"/>
    <x v="267"/>
    <d v="2024-07-18T00:00:00"/>
    <d v="2024-07-18T17:13:54"/>
    <x v="40"/>
    <n v="421.826944444444"/>
    <d v="1900-01-16T13:49:37"/>
    <d v="2024-07-18T00:00:00"/>
    <d v="2024-07-18T17:13:54"/>
    <m/>
    <d v="1899-12-31T00:00:00"/>
    <d v="2024-08-05T07:03:31"/>
    <b v="1"/>
    <d v="2024-08-05T07:03:31"/>
    <d v="2024-08-20T19:15:38"/>
    <d v="2024-08-20T19:15:38"/>
    <m/>
    <m/>
    <d v="2024-07-18T00:00:00"/>
    <s v="Verificar que extensiones están libres para poder reutilizarla"/>
    <x v="8"/>
    <s v="Configuracion Software"/>
    <x v="2"/>
    <s v="Redes y Comunicaciones"/>
    <m/>
    <m/>
    <s v="CANELLA, SOCIEDAD ANONIMA"/>
    <s v="RECURSOS HUMANOS"/>
    <n v="2671"/>
    <n v="35"/>
    <s v="Mesa Ayuda Infraestructura"/>
    <n v="247904"/>
    <s v="MIRNA LISSETTE ARRECIS ROSALES"/>
    <n v="186"/>
    <s v="CANELLA"/>
    <n v="2"/>
    <n v="28"/>
    <m/>
    <m/>
    <n v="1"/>
    <s v="CANELLA"/>
    <n v="186"/>
    <s v="Carlos Carias"/>
    <s v="&lt;p&gt;Ingresar a la planta Telefónica de Canella&amp;nbsp;&lt;/p&gt;&lt;p&gt;Verificar puertos análogos disponibles&amp;nbsp;&amp;nbsp;&lt;/p&gt;&lt;p&gt;Configurar Puerto y extensión&amp;nbsp;&lt;/p&gt;&lt;p&gt;Instalación de teléfono análogo en el puesto de trabajo&amp;nbsp;&lt;/p&gt;&lt;p&gt;Verificar que extensiones están libres para poder reutilizarla&amp;nbsp;&lt;/p&gt;"/>
    <s v="normal"/>
    <s v="En proceso"/>
    <s v="Configurar nueva extensión análoga para Recursos Humanos"/>
    <n v="72"/>
    <b v="1"/>
    <s v="[19055, 19035, 19034, 19033]"/>
    <m/>
    <s v="00570@general.tbd"/>
    <n v="19055"/>
    <n v="0"/>
    <n v="186"/>
    <n v="8777"/>
    <s v="Mesa Ayuda Infraestructura"/>
    <n v="421.826944444444"/>
    <m/>
  </r>
  <r>
    <n v="2769"/>
    <n v="0.5"/>
    <d v="1899-12-30T00:30:00"/>
    <s v="50-Finalizado"/>
    <d v="1900-01-01T00:00:00"/>
    <x v="267"/>
    <d v="2024-07-18T00:00:00"/>
    <d v="2024-07-18T17:13:54"/>
    <x v="40"/>
    <n v="421.826944444444"/>
    <d v="1900-01-16T13:49:37"/>
    <d v="2024-07-18T00:00:00"/>
    <d v="2024-07-18T17:13:54"/>
    <m/>
    <d v="1899-12-31T00:00:00"/>
    <d v="2024-08-05T07:03:31"/>
    <b v="1"/>
    <d v="2024-08-05T07:03:31"/>
    <d v="2024-08-20T19:15:38"/>
    <d v="2024-08-20T19:15:38"/>
    <m/>
    <m/>
    <d v="2024-07-18T00:00:00"/>
    <s v="Configurar Puerto y extensión"/>
    <x v="8"/>
    <s v="Configuracion Software"/>
    <x v="2"/>
    <s v="Redes y Comunicaciones"/>
    <m/>
    <m/>
    <s v="CANELLA, SOCIEDAD ANONIMA"/>
    <s v="RECURSOS HUMANOS"/>
    <n v="2671"/>
    <n v="35"/>
    <s v="Mesa Ayuda Infraestructura"/>
    <n v="247904"/>
    <s v="MIRNA LISSETTE ARRECIS ROSALES"/>
    <n v="186"/>
    <s v="CANELLA"/>
    <n v="2"/>
    <n v="28"/>
    <m/>
    <m/>
    <n v="1"/>
    <s v="CANELLA"/>
    <n v="186"/>
    <s v="Carlos Carias"/>
    <s v="&lt;p&gt;Ingresar a la planta Telefónica de Canella&amp;nbsp;&lt;/p&gt;&lt;p&gt;Verificar puertos análogos disponibles&amp;nbsp;&amp;nbsp;&lt;/p&gt;&lt;p&gt;Configurar Puerto y extensión&amp;nbsp;&lt;/p&gt;&lt;p&gt;Instalación de teléfono análogo en el puesto de trabajo&amp;nbsp;&lt;/p&gt;&lt;p&gt;Verificar que extensiones están libres para poder reutilizarla&amp;nbsp;&lt;/p&gt;"/>
    <s v="normal"/>
    <s v="En proceso"/>
    <s v="Configurar nueva extensión análoga para Recursos Humanos"/>
    <n v="72"/>
    <b v="1"/>
    <s v="[19055, 19035, 19034, 19033]"/>
    <m/>
    <s v="00570@general.tbd"/>
    <n v="19035"/>
    <n v="0"/>
    <n v="186"/>
    <n v="8777"/>
    <s v="Mesa Ayuda Infraestructura"/>
    <n v="421.826944444444"/>
    <m/>
  </r>
  <r>
    <n v="2769"/>
    <n v="0.16666666666666599"/>
    <d v="1899-12-30T00:10:00"/>
    <s v="50-Finalizado"/>
    <d v="1900-01-01T00:00:00"/>
    <x v="267"/>
    <d v="2024-07-18T00:00:00"/>
    <d v="2024-07-18T17:13:54"/>
    <x v="40"/>
    <n v="421.826944444444"/>
    <d v="1900-01-16T13:49:37"/>
    <d v="2024-07-18T00:00:00"/>
    <d v="2024-07-18T17:13:54"/>
    <m/>
    <d v="1899-12-31T00:00:00"/>
    <d v="2024-08-05T07:03:31"/>
    <b v="1"/>
    <d v="2024-08-05T07:03:31"/>
    <d v="2024-08-20T19:15:38"/>
    <d v="2024-08-20T19:15:38"/>
    <m/>
    <m/>
    <d v="2024-07-18T00:00:00"/>
    <s v="Verificar puertos análogos disponibles"/>
    <x v="8"/>
    <s v="Configuracion Software"/>
    <x v="2"/>
    <s v="Redes y Comunicaciones"/>
    <m/>
    <m/>
    <s v="CANELLA, SOCIEDAD ANONIMA"/>
    <s v="RECURSOS HUMANOS"/>
    <n v="2671"/>
    <n v="35"/>
    <s v="Mesa Ayuda Infraestructura"/>
    <n v="247904"/>
    <s v="MIRNA LISSETTE ARRECIS ROSALES"/>
    <n v="186"/>
    <s v="CANELLA"/>
    <n v="2"/>
    <n v="28"/>
    <m/>
    <m/>
    <n v="1"/>
    <s v="CANELLA"/>
    <n v="186"/>
    <s v="Carlos Carias"/>
    <s v="&lt;p&gt;Ingresar a la planta Telefónica de Canella&amp;nbsp;&lt;/p&gt;&lt;p&gt;Verificar puertos análogos disponibles&amp;nbsp;&amp;nbsp;&lt;/p&gt;&lt;p&gt;Configurar Puerto y extensión&amp;nbsp;&lt;/p&gt;&lt;p&gt;Instalación de teléfono análogo en el puesto de trabajo&amp;nbsp;&lt;/p&gt;&lt;p&gt;Verificar que extensiones están libres para poder reutilizarla&amp;nbsp;&lt;/p&gt;"/>
    <s v="normal"/>
    <s v="En proceso"/>
    <s v="Configurar nueva extensión análoga para Recursos Humanos"/>
    <n v="72"/>
    <b v="1"/>
    <s v="[19055, 19035, 19034, 19033]"/>
    <m/>
    <s v="00570@general.tbd"/>
    <n v="19034"/>
    <n v="0"/>
    <n v="186"/>
    <n v="8777"/>
    <s v="Mesa Ayuda Infraestructura"/>
    <n v="421.826944444444"/>
    <m/>
  </r>
  <r>
    <n v="2769"/>
    <n v="8.3333333333333301E-2"/>
    <d v="1899-12-30T00:05:00"/>
    <s v="50-Finalizado"/>
    <d v="1900-01-01T00:00:00"/>
    <x v="267"/>
    <d v="2024-07-18T00:00:00"/>
    <d v="2024-07-18T17:13:54"/>
    <x v="40"/>
    <n v="421.826944444444"/>
    <d v="1900-01-16T13:49:37"/>
    <d v="2024-07-18T00:00:00"/>
    <d v="2024-07-18T17:13:54"/>
    <m/>
    <d v="1899-12-31T00:00:00"/>
    <d v="2024-08-05T07:03:31"/>
    <b v="1"/>
    <d v="2024-08-05T07:03:31"/>
    <d v="2024-08-20T19:15:38"/>
    <d v="2024-08-20T19:15:38"/>
    <m/>
    <m/>
    <d v="2024-07-18T00:00:00"/>
    <s v="Ingresar a la planta Telefónica de Canella"/>
    <x v="8"/>
    <s v="Configuracion Software"/>
    <x v="2"/>
    <s v="Redes y Comunicaciones"/>
    <m/>
    <m/>
    <s v="CANELLA, SOCIEDAD ANONIMA"/>
    <s v="RECURSOS HUMANOS"/>
    <n v="2671"/>
    <n v="35"/>
    <s v="Mesa Ayuda Infraestructura"/>
    <n v="247904"/>
    <s v="MIRNA LISSETTE ARRECIS ROSALES"/>
    <n v="186"/>
    <s v="CANELLA"/>
    <n v="2"/>
    <n v="28"/>
    <m/>
    <m/>
    <n v="1"/>
    <s v="CANELLA"/>
    <n v="186"/>
    <s v="Carlos Carias"/>
    <s v="&lt;p&gt;Ingresar a la planta Telefónica de Canella&amp;nbsp;&lt;/p&gt;&lt;p&gt;Verificar puertos análogos disponibles&amp;nbsp;&amp;nbsp;&lt;/p&gt;&lt;p&gt;Configurar Puerto y extensión&amp;nbsp;&lt;/p&gt;&lt;p&gt;Instalación de teléfono análogo en el puesto de trabajo&amp;nbsp;&lt;/p&gt;&lt;p&gt;Verificar que extensiones están libres para poder reutilizarla&amp;nbsp;&lt;/p&gt;"/>
    <s v="normal"/>
    <s v="En proceso"/>
    <s v="Configurar nueva extensión análoga para Recursos Humanos"/>
    <n v="72"/>
    <b v="1"/>
    <s v="[19055, 19035, 19034, 19033]"/>
    <m/>
    <s v="00570@general.tbd"/>
    <n v="19033"/>
    <n v="0"/>
    <n v="186"/>
    <n v="8777"/>
    <s v="Mesa Ayuda Infraestructura"/>
    <n v="421.826944444444"/>
    <m/>
  </r>
  <r>
    <n v="2766"/>
    <n v="0.33333333333333298"/>
    <d v="1899-12-30T00:2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9T00:00:00"/>
    <s v="Revisión y aprovación de compra licencias Eset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2260"/>
    <n v="0"/>
    <n v="248"/>
    <n v="8777"/>
    <s v="Mesa Ayuda Infraestructura"/>
    <n v="421.99277777777701"/>
    <m/>
  </r>
  <r>
    <n v="2766"/>
    <n v="2.75"/>
    <d v="1899-12-30T02:45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9T00:00:00"/>
    <s v="Listado de servidores con ESET y agregar nombre de servicio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2080"/>
    <n v="0"/>
    <n v="248"/>
    <n v="8777"/>
    <s v="Mesa Ayuda Infraestructura"/>
    <n v="421.99277777777701"/>
    <m/>
  </r>
  <r>
    <n v="2766"/>
    <n v="2"/>
    <d v="1899-12-30T02:0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6T00:00:00"/>
    <s v="Colocar nombre de servicio a servidores y nombre de servidores faltantes de ESET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1358"/>
    <n v="0"/>
    <n v="248"/>
    <n v="8777"/>
    <s v="Mesa Ayuda Infraestructura"/>
    <n v="421.99277777777701"/>
    <m/>
  </r>
  <r>
    <n v="2766"/>
    <n v="0.25"/>
    <d v="1899-12-30T00:15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5T00:00:00"/>
    <s v="Colocar nombre de servicio a servidores y nombre de servidores faltantes de ESET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1108"/>
    <n v="0"/>
    <n v="248"/>
    <n v="8777"/>
    <s v="Mesa Ayuda Infraestructura"/>
    <n v="421.99277777777701"/>
    <m/>
  </r>
  <r>
    <n v="2766"/>
    <n v="0.25"/>
    <d v="1899-12-30T00:15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5T00:00:00"/>
    <s v="Consultar la diferencia de precios entre licencias endpoint y Server con ESET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1107"/>
    <n v="0"/>
    <n v="248"/>
    <n v="8777"/>
    <s v="Mesa Ayuda Infraestructura"/>
    <n v="421.99277777777701"/>
    <m/>
  </r>
  <r>
    <n v="2766"/>
    <n v="0.5"/>
    <d v="1899-12-30T00:3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5T00:00:00"/>
    <s v="Revisión propuesta de renovación junto a RH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1044"/>
    <n v="0"/>
    <n v="248"/>
    <n v="8777"/>
    <s v="Mesa Ayuda Infraestructura"/>
    <n v="421.99277777777701"/>
    <m/>
  </r>
  <r>
    <n v="2766"/>
    <n v="0.16666666666666599"/>
    <d v="1899-12-30T00:1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5T00:00:00"/>
    <s v="Solicitud de autorización de licencias  a Raul Hernandez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0985"/>
    <n v="0"/>
    <n v="248"/>
    <n v="8777"/>
    <s v="Mesa Ayuda Infraestructura"/>
    <n v="421.99277777777701"/>
    <m/>
  </r>
  <r>
    <n v="2766"/>
    <n v="1"/>
    <d v="1899-12-30T01:0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4T00:00:00"/>
    <s v="Tabla comparativa de precios y totales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0846"/>
    <n v="0"/>
    <n v="248"/>
    <n v="8777"/>
    <s v="Mesa Ayuda Infraestructura"/>
    <n v="421.99277777777701"/>
    <m/>
  </r>
  <r>
    <n v="2766"/>
    <n v="1"/>
    <d v="1899-12-30T01:0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4T00:00:00"/>
    <s v="Tabla dinámica departamentos con licencia ESET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0803"/>
    <n v="0"/>
    <n v="248"/>
    <n v="8777"/>
    <s v="Mesa Ayuda Infraestructura"/>
    <n v="421.99277777777701"/>
    <m/>
  </r>
  <r>
    <n v="2766"/>
    <n v="1.3333333333333299"/>
    <d v="1899-12-30T01:2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4T00:00:00"/>
    <s v="Depueración licencias a desactivar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0708"/>
    <n v="0"/>
    <n v="248"/>
    <n v="8777"/>
    <s v="Mesa Ayuda Infraestructura"/>
    <n v="421.99277777777701"/>
    <m/>
  </r>
  <r>
    <n v="2766"/>
    <n v="2"/>
    <d v="1899-12-30T02:0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3T00:00:00"/>
    <s v="Segmentación de licencias Canella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0541"/>
    <n v="0"/>
    <n v="248"/>
    <n v="8777"/>
    <s v="Mesa Ayuda Infraestructura"/>
    <n v="421.99277777777701"/>
    <m/>
  </r>
  <r>
    <n v="2766"/>
    <n v="2.4166666666666599"/>
    <d v="1899-12-30T02:25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3T00:00:00"/>
    <s v="Depuración listado de esquipos con licenciamineto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0414"/>
    <n v="0"/>
    <n v="248"/>
    <n v="8777"/>
    <s v="Mesa Ayuda Infraestructura"/>
    <n v="421.99277777777701"/>
    <m/>
  </r>
  <r>
    <n v="2766"/>
    <n v="0.75"/>
    <d v="1899-12-30T00:45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2T00:00:00"/>
    <s v="Depuración listado de esquipos con licenciamineto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0245"/>
    <n v="0"/>
    <n v="248"/>
    <n v="8777"/>
    <s v="Mesa Ayuda Infraestructura"/>
    <n v="421.99277777777701"/>
    <m/>
  </r>
  <r>
    <n v="2766"/>
    <n v="0.16666666666666599"/>
    <d v="1899-12-30T00:1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2T00:00:00"/>
    <s v="Solicitar mejor precio de licencias a ESET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0156"/>
    <n v="0"/>
    <n v="248"/>
    <n v="8777"/>
    <s v="Mesa Ayuda Infraestructura"/>
    <n v="421.99277777777701"/>
    <m/>
  </r>
  <r>
    <n v="2766"/>
    <n v="0.33333333333333298"/>
    <d v="1899-12-30T00:2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2T00:00:00"/>
    <s v="Evaluación de propuesta de renovación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0133"/>
    <n v="0"/>
    <n v="248"/>
    <n v="8777"/>
    <s v="Mesa Ayuda Infraestructura"/>
    <n v="421.99277777777701"/>
    <m/>
  </r>
  <r>
    <n v="2766"/>
    <n v="0.5"/>
    <d v="1899-12-30T00:3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19T00:00:00"/>
    <s v="Revisión propuestas de renovación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19723"/>
    <n v="0"/>
    <n v="248"/>
    <n v="8777"/>
    <s v="Mesa Ayuda Infraestructura"/>
    <n v="421.99277777777701"/>
    <m/>
  </r>
  <r>
    <n v="2766"/>
    <n v="1"/>
    <d v="1899-12-30T01:0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18T00:00:00"/>
    <s v="Generar listado y cantidadde usuarios para licenciamiento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19142"/>
    <n v="0"/>
    <n v="248"/>
    <n v="8777"/>
    <s v="Mesa Ayuda Infraestructura"/>
    <n v="421.99277777777701"/>
    <m/>
  </r>
  <r>
    <n v="2766"/>
    <n v="2"/>
    <d v="1899-12-30T02:0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18T00:00:00"/>
    <s v="Evaluación de propuesta de renovación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19050"/>
    <n v="0"/>
    <n v="248"/>
    <n v="8777"/>
    <s v="Mesa Ayuda Infraestructura"/>
    <n v="421.99277777777701"/>
    <m/>
  </r>
  <r>
    <n v="2764"/>
    <n v="0.483333333333333"/>
    <d v="1899-12-30T00:29:00"/>
    <s v="50-Finalizado"/>
    <d v="1900-01-01T00:00:00"/>
    <x v="269"/>
    <d v="2024-07-18T00:00:00"/>
    <d v="2024-07-18T16:48:32"/>
    <x v="40"/>
    <n v="422.24972222222198"/>
    <d v="1900-01-16T14:14:59"/>
    <d v="2024-07-18T00:00:00"/>
    <d v="2024-07-18T16:48:32"/>
    <m/>
    <d v="1899-12-31T00:00:00"/>
    <d v="2024-08-05T07:03:31"/>
    <b v="1"/>
    <d v="2024-08-05T07:03:31"/>
    <d v="2024-08-20T19:15:38"/>
    <d v="2024-08-20T19:15:38"/>
    <m/>
    <m/>
    <d v="2024-07-18T00:00:00"/>
    <s v="Listado de equipo; modelo, marca, serie"/>
    <x v="6"/>
    <m/>
    <x v="2"/>
    <m/>
    <m/>
    <m/>
    <m/>
    <m/>
    <n v="2666"/>
    <n v="35"/>
    <s v="Mesa Ayuda Infraestructura"/>
    <n v="243324"/>
    <s v="Nery Ixcot"/>
    <n v="2766"/>
    <s v="CANELLA"/>
    <m/>
    <m/>
    <m/>
    <m/>
    <n v="1"/>
    <s v="CANELLA"/>
    <n v="2766"/>
    <s v="José Julajuj Chumil"/>
    <m/>
    <s v="normal"/>
    <s v="En proceso"/>
    <s v="Listado de equipo para entrega CD-RIO HONDO"/>
    <n v="72"/>
    <b v="1"/>
    <s v="[19012]"/>
    <m/>
    <s v="No Extension.  partner_id: 243324 -- user_id res.users(458,)"/>
    <n v="19012"/>
    <n v="0"/>
    <n v="2766"/>
    <n v="8777"/>
    <s v="Mesa Ayuda Infraestructura"/>
    <n v="422.24972222222198"/>
    <m/>
  </r>
  <r>
    <n v="2755"/>
    <n v="0.5"/>
    <d v="1899-12-30T00:30:00"/>
    <s v="50-Finalizado"/>
    <d v="1900-01-01T00:00:00"/>
    <x v="270"/>
    <d v="2024-07-18T00:00:00"/>
    <d v="2024-07-18T16:08:38"/>
    <x v="40"/>
    <n v="422.914722222222"/>
    <d v="1900-01-16T14:54:53"/>
    <d v="2024-07-18T00:00:00"/>
    <d v="2024-07-18T16:08:38"/>
    <m/>
    <d v="1899-12-31T00:00:00"/>
    <d v="2024-08-05T07:03:31"/>
    <b v="1"/>
    <d v="2024-08-05T07:03:31"/>
    <d v="2024-08-20T19:15:38"/>
    <d v="2024-08-20T19:15:38"/>
    <m/>
    <m/>
    <d v="2024-07-18T00:00:00"/>
    <s v="Configuración en las 02 impresoras fecha y hora,  IP"/>
    <x v="6"/>
    <m/>
    <x v="2"/>
    <m/>
    <m/>
    <m/>
    <s v="Partner sin user_id"/>
    <s v="Partner sin user_id"/>
    <n v="2657"/>
    <n v="35"/>
    <s v="Mesa Ayuda Infraestructura"/>
    <n v="3346"/>
    <s v="CESAR ORLANDO MARTINEZ ABAL"/>
    <n v="2766"/>
    <s v="CANELLA"/>
    <m/>
    <m/>
    <m/>
    <m/>
    <n v="1"/>
    <s v="CANELLA"/>
    <n v="2766"/>
    <s v="José Julajuj Chumil"/>
    <m/>
    <s v="normal"/>
    <s v="En proceso"/>
    <s v="Configuración IP, tintas, alineación de cabezales -02 Impresoras Canon CD-RIO HONDO"/>
    <n v="72"/>
    <b v="1"/>
    <n v="18991"/>
    <m/>
    <s v="Partner sin user_id. Partner: 3346"/>
    <n v="18992"/>
    <n v="0"/>
    <n v="2766"/>
    <n v="8777"/>
    <s v="Mesa Ayuda Infraestructura"/>
    <n v="422.914722222222"/>
    <m/>
  </r>
  <r>
    <n v="2755"/>
    <n v="1.0833333333333299"/>
    <d v="1899-12-30T01:05:00"/>
    <s v="50-Finalizado"/>
    <d v="1900-01-01T00:00:00"/>
    <x v="270"/>
    <d v="2024-07-18T00:00:00"/>
    <d v="2024-07-18T16:08:38"/>
    <x v="40"/>
    <n v="422.914722222222"/>
    <d v="1900-01-16T14:54:53"/>
    <d v="2024-07-18T00:00:00"/>
    <d v="2024-07-18T16:08:38"/>
    <m/>
    <d v="1899-12-31T00:00:00"/>
    <d v="2024-08-05T07:03:31"/>
    <b v="1"/>
    <d v="2024-08-05T07:03:31"/>
    <d v="2024-08-20T19:15:38"/>
    <d v="2024-08-20T19:15:38"/>
    <m/>
    <m/>
    <d v="2024-07-18T00:00:00"/>
    <s v="Configuración e instalación de tintas, Impresoras CANON"/>
    <x v="6"/>
    <m/>
    <x v="2"/>
    <m/>
    <m/>
    <m/>
    <s v="Partner sin user_id"/>
    <s v="Partner sin user_id"/>
    <n v="2657"/>
    <n v="35"/>
    <s v="Mesa Ayuda Infraestructura"/>
    <n v="3346"/>
    <s v="CESAR ORLANDO MARTINEZ ABAL"/>
    <n v="2766"/>
    <s v="CANELLA"/>
    <m/>
    <m/>
    <m/>
    <m/>
    <n v="1"/>
    <s v="CANELLA"/>
    <n v="2766"/>
    <s v="José Julajuj Chumil"/>
    <m/>
    <s v="normal"/>
    <s v="En proceso"/>
    <s v="Configuración IP, tintas, alineación de cabezales -02 Impresoras Canon CD-RIO HONDO"/>
    <n v="72"/>
    <b v="1"/>
    <n v="18991"/>
    <m/>
    <s v="Partner sin user_id. Partner: 3346"/>
    <n v="18991"/>
    <n v="0"/>
    <n v="2766"/>
    <n v="8777"/>
    <s v="Mesa Ayuda Infraestructura"/>
    <n v="422.914722222222"/>
    <m/>
  </r>
  <r>
    <n v="2754"/>
    <n v="6.6666666666666596E-2"/>
    <d v="1899-12-30T00:04:00"/>
    <s v="50-Finalizado"/>
    <d v="1900-01-01T00:00:00"/>
    <x v="271"/>
    <d v="2024-07-18T00:00:00"/>
    <d v="2024-07-18T16:06:41"/>
    <x v="40"/>
    <n v="422.94722222222202"/>
    <d v="1900-01-16T14:56:50"/>
    <d v="2024-07-18T00:00:00"/>
    <d v="2024-07-18T16:06:41"/>
    <m/>
    <d v="1899-12-31T00:00:00"/>
    <d v="2024-08-05T07:03:31"/>
    <b v="1"/>
    <d v="2024-08-05T07:03:31"/>
    <d v="2024-08-20T19:15:38"/>
    <d v="2024-08-20T19:15:38"/>
    <m/>
    <m/>
    <d v="2024-07-18T00:00:00"/>
    <s v="Coordinar visita para Canella Zona 4"/>
    <x v="8"/>
    <s v="Configuracion Software"/>
    <x v="2"/>
    <s v="Redes y Comunicaciones"/>
    <m/>
    <m/>
    <s v="CANELLA, SOCIEDAD ANONIMA"/>
    <s v="YAMAHA LIBERACION"/>
    <n v="2656"/>
    <n v="35"/>
    <s v="Mesa Ayuda Infraestructura"/>
    <n v="247678"/>
    <s v="NANYBANY RUBEN ARANA NUÑEZ"/>
    <n v="186"/>
    <s v="CANELLA"/>
    <n v="2"/>
    <n v="28"/>
    <m/>
    <m/>
    <n v="1"/>
    <s v="CANELLA"/>
    <n v="186"/>
    <s v="Carlos Carias"/>
    <s v="&lt;p&gt;Aperturar ticket con Revtec para configurar teléfono IP&amp;nbsp;&lt;/p&gt;&lt;p&gt;Coordinar visita para Canella Zona 4&amp;nbsp;&lt;/p&gt;"/>
    <s v="normal"/>
    <s v="En proceso"/>
    <s v="Aperturar ticket con Revtec para configurar teléfono IP / Rubén Arana"/>
    <n v="72"/>
    <b v="1"/>
    <n v="18988"/>
    <m/>
    <s v="05030@general.tbd"/>
    <n v="18989"/>
    <n v="0"/>
    <n v="186"/>
    <n v="8777"/>
    <s v="Mesa Ayuda Infraestructura"/>
    <n v="422.94722222222202"/>
    <m/>
  </r>
  <r>
    <n v="2754"/>
    <n v="6.6666666666666596E-2"/>
    <d v="1899-12-30T00:04:00"/>
    <s v="50-Finalizado"/>
    <d v="1900-01-01T00:00:00"/>
    <x v="271"/>
    <d v="2024-07-18T00:00:00"/>
    <d v="2024-07-18T16:06:41"/>
    <x v="40"/>
    <n v="422.94722222222202"/>
    <d v="1900-01-16T14:56:50"/>
    <d v="2024-07-18T00:00:00"/>
    <d v="2024-07-18T16:06:41"/>
    <m/>
    <d v="1899-12-31T00:00:00"/>
    <d v="2024-08-05T07:03:31"/>
    <b v="1"/>
    <d v="2024-08-05T07:03:31"/>
    <d v="2024-08-20T19:15:38"/>
    <d v="2024-08-20T19:15:38"/>
    <m/>
    <m/>
    <d v="2024-07-18T00:00:00"/>
    <s v="Aperturar ticket con Revtec para configurar teléfono IP"/>
    <x v="8"/>
    <s v="Configuracion Software"/>
    <x v="2"/>
    <s v="Redes y Comunicaciones"/>
    <m/>
    <m/>
    <s v="CANELLA, SOCIEDAD ANONIMA"/>
    <s v="YAMAHA LIBERACION"/>
    <n v="2656"/>
    <n v="35"/>
    <s v="Mesa Ayuda Infraestructura"/>
    <n v="247678"/>
    <s v="NANYBANY RUBEN ARANA NUÑEZ"/>
    <n v="186"/>
    <s v="CANELLA"/>
    <n v="2"/>
    <n v="28"/>
    <m/>
    <m/>
    <n v="1"/>
    <s v="CANELLA"/>
    <n v="186"/>
    <s v="Carlos Carias"/>
    <s v="&lt;p&gt;Aperturar ticket con Revtec para configurar teléfono IP&amp;nbsp;&lt;/p&gt;&lt;p&gt;Coordinar visita para Canella Zona 4&amp;nbsp;&lt;/p&gt;"/>
    <s v="normal"/>
    <s v="En proceso"/>
    <s v="Aperturar ticket con Revtec para configurar teléfono IP / Rubén Arana"/>
    <n v="72"/>
    <b v="1"/>
    <n v="18988"/>
    <m/>
    <s v="05030@general.tbd"/>
    <n v="18988"/>
    <n v="0"/>
    <n v="186"/>
    <n v="8777"/>
    <s v="Mesa Ayuda Infraestructura"/>
    <n v="422.94722222222202"/>
    <m/>
  </r>
  <r>
    <n v="2745"/>
    <n v="0.25"/>
    <d v="1899-12-30T00:15:00"/>
    <s v="50-Finalizado"/>
    <d v="1900-01-01T00:00:00"/>
    <x v="272"/>
    <d v="2024-07-18T00:00:00"/>
    <d v="2024-07-18T15:13:00"/>
    <x v="40"/>
    <n v="423.84194444444398"/>
    <d v="1900-01-16T15:50:31"/>
    <d v="2024-07-18T00:00:00"/>
    <d v="2024-07-18T15:13:00"/>
    <m/>
    <d v="1899-12-31T00:00:00"/>
    <d v="2024-08-05T07:03:31"/>
    <b v="1"/>
    <d v="2024-08-05T07:03:31"/>
    <d v="2024-08-20T19:15:38"/>
    <d v="2024-08-20T19:15:38"/>
    <m/>
    <m/>
    <d v="2024-07-18T00:00:00"/>
    <s v="/"/>
    <x v="8"/>
    <s v="Configuracion Software"/>
    <x v="2"/>
    <s v="Redes y Comunicaciones"/>
    <m/>
    <m/>
    <s v="INVERSIONES QATAR, SOCIEDAD ANONIMA"/>
    <s v="GERENCIA GENERAL INVERSIONES QATAR, SOCIEDAD ANONIMA"/>
    <n v="2647"/>
    <n v="35"/>
    <s v="Mesa Ayuda Infraestructura"/>
    <n v="246994"/>
    <s v="CESAR ORLANDO MARTINEZ ABAL"/>
    <n v="186"/>
    <s v="CANELLA"/>
    <n v="2"/>
    <n v="28"/>
    <m/>
    <m/>
    <n v="1"/>
    <s v="CANELLA"/>
    <n v="186"/>
    <s v="Carlos Carias"/>
    <s v="&lt;p&gt;Realizar llamada con técnicos de Claro para validar la comunicación del enlace&lt;/p&gt;&lt;p&gt;Coordinar con el asesor de claro la instalación de los equipos de comunicación&lt;/p&gt;"/>
    <s v="normal"/>
    <s v="En proceso"/>
    <s v="Verificar enlace de Centro de Distribución Rio Hondo / Cesar Abal"/>
    <n v="72"/>
    <b v="1"/>
    <n v="18964"/>
    <m/>
    <s v="06688@general.tbd"/>
    <n v="18965"/>
    <n v="0"/>
    <n v="186"/>
    <n v="8777"/>
    <s v="Mesa Ayuda Infraestructura"/>
    <n v="423.84194444444398"/>
    <m/>
  </r>
  <r>
    <n v="2745"/>
    <n v="0.33333333333333298"/>
    <d v="1899-12-30T00:20:00"/>
    <s v="50-Finalizado"/>
    <d v="1900-01-01T00:00:00"/>
    <x v="272"/>
    <d v="2024-07-18T00:00:00"/>
    <d v="2024-07-18T15:13:00"/>
    <x v="40"/>
    <n v="423.84194444444398"/>
    <d v="1900-01-16T15:50:31"/>
    <d v="2024-07-18T00:00:00"/>
    <d v="2024-07-18T15:13:00"/>
    <m/>
    <d v="1899-12-31T00:00:00"/>
    <d v="2024-08-05T07:03:31"/>
    <b v="1"/>
    <d v="2024-08-05T07:03:31"/>
    <d v="2024-08-20T19:15:38"/>
    <d v="2024-08-20T19:15:38"/>
    <m/>
    <m/>
    <d v="2024-07-18T00:00:00"/>
    <s v="Realizar llamada con técnicos de Claro para validar la comunicación del enlace"/>
    <x v="8"/>
    <s v="Configuracion Software"/>
    <x v="2"/>
    <s v="Redes y Comunicaciones"/>
    <m/>
    <m/>
    <s v="INVERSIONES QATAR, SOCIEDAD ANONIMA"/>
    <s v="GERENCIA GENERAL INVERSIONES QATAR, SOCIEDAD ANONIMA"/>
    <n v="2647"/>
    <n v="35"/>
    <s v="Mesa Ayuda Infraestructura"/>
    <n v="246994"/>
    <s v="CESAR ORLANDO MARTINEZ ABAL"/>
    <n v="186"/>
    <s v="CANELLA"/>
    <n v="2"/>
    <n v="28"/>
    <m/>
    <m/>
    <n v="1"/>
    <s v="CANELLA"/>
    <n v="186"/>
    <s v="Carlos Carias"/>
    <s v="&lt;p&gt;Realizar llamada con técnicos de Claro para validar la comunicación del enlace&lt;/p&gt;&lt;p&gt;Coordinar con el asesor de claro la instalación de los equipos de comunicación&lt;/p&gt;"/>
    <s v="normal"/>
    <s v="En proceso"/>
    <s v="Verificar enlace de Centro de Distribución Rio Hondo / Cesar Abal"/>
    <n v="72"/>
    <b v="1"/>
    <n v="18964"/>
    <m/>
    <s v="06688@general.tbd"/>
    <n v="18964"/>
    <n v="0"/>
    <n v="186"/>
    <n v="8777"/>
    <s v="Mesa Ayuda Infraestructura"/>
    <n v="423.84194444444398"/>
    <m/>
  </r>
  <r>
    <n v="2738"/>
    <n v="1.1666666666666601"/>
    <d v="1899-12-30T01:10:00"/>
    <s v="50-Finalizado"/>
    <d v="1900-01-01T00:00:00"/>
    <x v="273"/>
    <d v="2024-07-17T00:00:00"/>
    <d v="2024-07-17T23:59:16"/>
    <x v="40"/>
    <n v="439.07083333333298"/>
    <d v="1900-01-17T07:04:15"/>
    <d v="2024-07-17T00:00:00"/>
    <d v="2024-07-17T23:59:16"/>
    <m/>
    <d v="1899-12-31T00:00:00"/>
    <d v="2024-08-05T07:03:31"/>
    <b v="1"/>
    <d v="2024-08-05T07:03:31"/>
    <d v="2024-08-20T19:15:38"/>
    <d v="2024-08-20T19:15:38"/>
    <m/>
    <m/>
    <d v="2024-07-18T00:00:00"/>
    <s v="Se procede a realizar distribución de gastos de licencias adquiridas, y se procede a enviar a Administrativo para creación de orden de compra"/>
    <x v="3"/>
    <s v="Orden de compra"/>
    <x v="2"/>
    <m/>
    <m/>
    <m/>
    <s v="CANELLA, SOCIEDAD ANONIMA"/>
    <s v="INFORMATICA"/>
    <n v="2640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m/>
    <s v="normal"/>
    <s v="En proceso"/>
    <s v="Distribución por Servicios Cloud"/>
    <n v="72"/>
    <b v="1"/>
    <n v="18905"/>
    <m/>
    <s v="04025@general.tbd"/>
    <n v="18990"/>
    <n v="0"/>
    <n v="299"/>
    <n v="8777"/>
    <s v="Mesa Ayuda Infraestructura"/>
    <n v="439.07083333333298"/>
    <m/>
  </r>
  <r>
    <n v="2738"/>
    <n v="1"/>
    <d v="1899-12-30T01:00:00"/>
    <s v="50-Finalizado"/>
    <d v="1900-01-01T00:00:00"/>
    <x v="273"/>
    <d v="2024-07-17T00:00:00"/>
    <d v="2024-07-17T23:59:16"/>
    <x v="40"/>
    <n v="439.07083333333298"/>
    <d v="1900-01-17T07:04:15"/>
    <d v="2024-07-17T00:00:00"/>
    <d v="2024-07-17T23:59:16"/>
    <m/>
    <d v="1899-12-31T00:00:00"/>
    <d v="2024-08-05T07:03:31"/>
    <b v="1"/>
    <d v="2024-08-05T07:03:31"/>
    <d v="2024-08-20T19:15:38"/>
    <d v="2024-08-20T19:15:38"/>
    <m/>
    <m/>
    <d v="2024-07-17T00:00:00"/>
    <s v="Se procede a realizar distribución de gastos de licencias adquiridas."/>
    <x v="3"/>
    <s v="Orden de compra"/>
    <x v="2"/>
    <m/>
    <m/>
    <m/>
    <s v="CANELLA, SOCIEDAD ANONIMA"/>
    <s v="INFORMATICA"/>
    <n v="2640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m/>
    <s v="normal"/>
    <s v="En proceso"/>
    <s v="Distribución por Servicios Cloud"/>
    <n v="72"/>
    <b v="1"/>
    <n v="18905"/>
    <m/>
    <s v="04025@general.tbd"/>
    <n v="18905"/>
    <n v="0"/>
    <n v="299"/>
    <n v="8777"/>
    <s v="Mesa Ayuda Infraestructura"/>
    <n v="439.07083333333298"/>
    <m/>
  </r>
  <r>
    <n v="2735"/>
    <n v="0.16666666666666599"/>
    <d v="1899-12-30T00:10:00"/>
    <s v="50-Finalizado"/>
    <d v="1900-01-01T00:00:00"/>
    <x v="274"/>
    <d v="2024-07-17T00:00:00"/>
    <d v="2024-07-17T23:54:49"/>
    <x v="40"/>
    <n v="439.14499999999998"/>
    <d v="1900-01-17T07:08:42"/>
    <d v="2024-07-17T00:00:00"/>
    <d v="2024-07-17T23:54:49"/>
    <m/>
    <d v="1899-12-31T00:00:00"/>
    <d v="2024-08-05T07:03:31"/>
    <b v="1"/>
    <d v="2024-08-05T07:03:31"/>
    <d v="2024-08-20T19:15:38"/>
    <d v="2024-08-20T19:15:38"/>
    <m/>
    <m/>
    <d v="2024-07-18T00:00:00"/>
    <s v="Corrección de orden de compra"/>
    <x v="3"/>
    <s v="Orden de compra"/>
    <x v="2"/>
    <m/>
    <m/>
    <m/>
    <s v="CANELLA, SOCIEDAD ANONIMA"/>
    <s v="CONTABILIDAD, CANELLA, S. A."/>
    <n v="2637"/>
    <n v="35"/>
    <s v="Mesa Ayuda Infraestructura"/>
    <n v="247616"/>
    <s v="YESSICA ANDREA LOARCA AMEZQUITA de MARTINEZ"/>
    <n v="299"/>
    <s v="CANELLA"/>
    <n v="6"/>
    <m/>
    <m/>
    <m/>
    <n v="1"/>
    <s v="CANELLA"/>
    <n v="299"/>
    <s v="Rosario Lic"/>
    <m/>
    <s v="normal"/>
    <s v="En proceso"/>
    <s v="OC - 32000803"/>
    <n v="72"/>
    <b v="1"/>
    <n v="18898"/>
    <m/>
    <s v="05432@general.tbd"/>
    <n v="19032"/>
    <n v="0"/>
    <n v="299"/>
    <n v="8777"/>
    <s v="Mesa Ayuda Infraestructura"/>
    <n v="439.14499999999998"/>
    <m/>
  </r>
  <r>
    <n v="2735"/>
    <n v="0.16666666666666599"/>
    <d v="1899-12-30T00:10:00"/>
    <s v="50-Finalizado"/>
    <d v="1900-01-01T00:00:00"/>
    <x v="274"/>
    <d v="2024-07-17T00:00:00"/>
    <d v="2024-07-17T23:54:49"/>
    <x v="40"/>
    <n v="439.14499999999998"/>
    <d v="1900-01-17T07:08:42"/>
    <d v="2024-07-17T00:00:00"/>
    <d v="2024-07-17T23:54:49"/>
    <m/>
    <d v="1899-12-31T00:00:00"/>
    <d v="2024-08-05T07:03:31"/>
    <b v="1"/>
    <d v="2024-08-05T07:03:31"/>
    <d v="2024-08-20T19:15:38"/>
    <d v="2024-08-20T19:15:38"/>
    <m/>
    <m/>
    <d v="2024-07-17T00:00:00"/>
    <s v="Corrección de orden de compra"/>
    <x v="3"/>
    <s v="Orden de compra"/>
    <x v="2"/>
    <m/>
    <m/>
    <m/>
    <s v="CANELLA, SOCIEDAD ANONIMA"/>
    <s v="CONTABILIDAD, CANELLA, S. A."/>
    <n v="2637"/>
    <n v="35"/>
    <s v="Mesa Ayuda Infraestructura"/>
    <n v="247616"/>
    <s v="YESSICA ANDREA LOARCA AMEZQUITA de MARTINEZ"/>
    <n v="299"/>
    <s v="CANELLA"/>
    <n v="6"/>
    <m/>
    <m/>
    <m/>
    <n v="1"/>
    <s v="CANELLA"/>
    <n v="299"/>
    <s v="Rosario Lic"/>
    <m/>
    <s v="normal"/>
    <s v="En proceso"/>
    <s v="OC - 32000803"/>
    <n v="72"/>
    <b v="1"/>
    <n v="18898"/>
    <m/>
    <s v="05432@general.tbd"/>
    <n v="18898"/>
    <n v="0"/>
    <n v="299"/>
    <n v="8777"/>
    <s v="Mesa Ayuda Infraestructura"/>
    <n v="439.14499999999998"/>
    <m/>
  </r>
  <r>
    <n v="2728"/>
    <n v="0.25"/>
    <d v="1899-12-30T00:15:00"/>
    <s v="50-Finalizado"/>
    <d v="1900-01-01T00:00:00"/>
    <x v="275"/>
    <d v="2024-07-17T00:00:00"/>
    <d v="2024-07-17T23:39:54"/>
    <x v="40"/>
    <n v="439.393611111111"/>
    <d v="1900-01-17T07:23:37"/>
    <d v="2024-07-17T00:00:00"/>
    <d v="2024-07-17T23:39:54"/>
    <m/>
    <d v="1899-12-31T00:00:00"/>
    <d v="2024-08-05T07:03:31"/>
    <b v="1"/>
    <d v="2024-08-05T07:03:31"/>
    <d v="2024-08-20T19:15:38"/>
    <d v="2024-08-20T19:15:38"/>
    <m/>
    <m/>
    <d v="2024-07-17T00:00:00"/>
    <s v="Solicitar permisos en la agencia para el ingreso"/>
    <x v="8"/>
    <s v="Configuracion Software"/>
    <x v="2"/>
    <s v="Redes y Comunicaciones"/>
    <m/>
    <m/>
    <s v="CANELLA, SOCIEDAD ANONIMA"/>
    <s v="CANAL DIRECTO"/>
    <n v="2630"/>
    <n v="35"/>
    <s v="Mesa Ayuda Infraestructura"/>
    <n v="247759"/>
    <s v="DAVID JOSUE FLORES SEQUEIDA"/>
    <n v="186"/>
    <s v="CANELLA"/>
    <n v="2"/>
    <n v="28"/>
    <m/>
    <m/>
    <n v="1"/>
    <s v="CANELLA"/>
    <n v="186"/>
    <s v="Carlos Carias"/>
    <s v="&lt;p&gt;Coordinar con Tigo para la configuración&lt;/p&gt;&lt;p&gt;Solicitar permisos en la agencia para el ingreso&amp;nbsp;&lt;/p&gt;"/>
    <s v="normal"/>
    <s v="En proceso"/>
    <s v="Calendarizar fecha de configuración de equipos de comunicación por parte de Tigo en Yamaha Petápolis / Davis Flores"/>
    <n v="72"/>
    <b v="1"/>
    <n v="18873"/>
    <m/>
    <s v="04505@general.tbd"/>
    <n v="18874"/>
    <n v="0"/>
    <n v="186"/>
    <n v="8777"/>
    <s v="Mesa Ayuda Infraestructura"/>
    <n v="439.393611111111"/>
    <m/>
  </r>
  <r>
    <n v="2728"/>
    <n v="0.33333333333333298"/>
    <d v="1899-12-30T00:20:00"/>
    <s v="50-Finalizado"/>
    <d v="1900-01-01T00:00:00"/>
    <x v="275"/>
    <d v="2024-07-17T00:00:00"/>
    <d v="2024-07-17T23:39:54"/>
    <x v="40"/>
    <n v="439.393611111111"/>
    <d v="1900-01-17T07:23:37"/>
    <d v="2024-07-17T00:00:00"/>
    <d v="2024-07-17T23:39:54"/>
    <m/>
    <d v="1899-12-31T00:00:00"/>
    <d v="2024-08-05T07:03:31"/>
    <b v="1"/>
    <d v="2024-08-05T07:03:31"/>
    <d v="2024-08-20T19:15:38"/>
    <d v="2024-08-20T19:15:38"/>
    <m/>
    <m/>
    <d v="2024-07-17T00:00:00"/>
    <s v="Coordinar con Tigo para la configuración"/>
    <x v="8"/>
    <s v="Configuracion Software"/>
    <x v="2"/>
    <s v="Redes y Comunicaciones"/>
    <m/>
    <m/>
    <s v="CANELLA, SOCIEDAD ANONIMA"/>
    <s v="CANAL DIRECTO"/>
    <n v="2630"/>
    <n v="35"/>
    <s v="Mesa Ayuda Infraestructura"/>
    <n v="247759"/>
    <s v="DAVID JOSUE FLORES SEQUEIDA"/>
    <n v="186"/>
    <s v="CANELLA"/>
    <n v="2"/>
    <n v="28"/>
    <m/>
    <m/>
    <n v="1"/>
    <s v="CANELLA"/>
    <n v="186"/>
    <s v="Carlos Carias"/>
    <s v="&lt;p&gt;Coordinar con Tigo para la configuración&lt;/p&gt;&lt;p&gt;Solicitar permisos en la agencia para el ingreso&amp;nbsp;&lt;/p&gt;"/>
    <s v="normal"/>
    <s v="En proceso"/>
    <s v="Calendarizar fecha de configuración de equipos de comunicación por parte de Tigo en Yamaha Petápolis / Davis Flores"/>
    <n v="72"/>
    <b v="1"/>
    <n v="18873"/>
    <m/>
    <s v="04505@general.tbd"/>
    <n v="18873"/>
    <n v="0"/>
    <n v="186"/>
    <n v="8777"/>
    <s v="Mesa Ayuda Infraestructura"/>
    <n v="439.393611111111"/>
    <m/>
  </r>
  <r>
    <n v="2725"/>
    <n v="0.16666666666666599"/>
    <d v="1899-12-30T00:10:00"/>
    <s v="50-Finalizado"/>
    <d v="1900-01-01T00:00:00"/>
    <x v="276"/>
    <d v="2024-07-17T00:00:00"/>
    <d v="2024-07-17T23:26:19"/>
    <x v="40"/>
    <n v="439.62"/>
    <d v="1900-01-17T07:37:12"/>
    <d v="2024-07-17T00:00:00"/>
    <d v="2024-07-17T23:26:19"/>
    <m/>
    <d v="1899-12-31T00:00:00"/>
    <d v="2024-08-05T07:03:31"/>
    <b v="1"/>
    <d v="2024-08-05T07:03:31"/>
    <d v="2024-08-20T19:15:38"/>
    <d v="2024-08-20T19:15:38"/>
    <m/>
    <m/>
    <d v="2024-07-17T00:00:00"/>
    <s v="Validar comunicación de los equipos"/>
    <x v="8"/>
    <s v="Configuracion Software"/>
    <x v="2"/>
    <s v="Redes y Comunicaciones"/>
    <m/>
    <m/>
    <s v="INVERSIONES QATAR, SOCIEDAD ANONIMA"/>
    <s v="GERENCIA GENERAL INVERSIONES QATAR, SOCIEDAD ANONIMA"/>
    <n v="2627"/>
    <n v="35"/>
    <s v="Mesa Ayuda Infraestructura"/>
    <n v="246994"/>
    <s v="CESAR ORLANDO MARTINEZ ABAL"/>
    <n v="186"/>
    <s v="CANELLA"/>
    <n v="2"/>
    <n v="28"/>
    <m/>
    <m/>
    <n v="1"/>
    <s v="CANELLA"/>
    <n v="186"/>
    <s v="Carlos Carias"/>
    <s v="&lt;p&gt;Reportar con nuestro asesor de Claro la instalación de los nuevos equipos&lt;/p&gt;&lt;p&gt;Validar la fecha de instalación&amp;nbsp;&lt;/p&gt;&lt;p&gt;Aperturar ticket con Call Center para la verificación de la fibra en sitio&lt;/p&gt;&lt;p&gt;Validar comunicación de los equipos&amp;nbsp;&lt;/p&gt;&lt;p&gt;&lt;br&gt;&lt;/p&gt;"/>
    <s v="normal"/>
    <s v="En proceso"/>
    <s v="Aperturar ticket con claro por caída total del enlace Rio Hondo / Cesar Abal"/>
    <n v="72"/>
    <b v="1"/>
    <s v="[18853, 18852, 18851, 18850]"/>
    <m/>
    <s v="06688@general.tbd"/>
    <n v="18853"/>
    <n v="0"/>
    <n v="186"/>
    <n v="8777"/>
    <s v="Mesa Ayuda Infraestructura"/>
    <n v="439.62"/>
    <m/>
  </r>
  <r>
    <n v="2725"/>
    <n v="0.25"/>
    <d v="1899-12-30T00:15:00"/>
    <s v="50-Finalizado"/>
    <d v="1900-01-01T00:00:00"/>
    <x v="276"/>
    <d v="2024-07-17T00:00:00"/>
    <d v="2024-07-17T23:26:19"/>
    <x v="40"/>
    <n v="439.62"/>
    <d v="1900-01-17T07:37:12"/>
    <d v="2024-07-17T00:00:00"/>
    <d v="2024-07-17T23:26:19"/>
    <m/>
    <d v="1899-12-31T00:00:00"/>
    <d v="2024-08-05T07:03:31"/>
    <b v="1"/>
    <d v="2024-08-05T07:03:31"/>
    <d v="2024-08-20T19:15:38"/>
    <d v="2024-08-20T19:15:38"/>
    <m/>
    <m/>
    <d v="2024-07-17T00:00:00"/>
    <s v="Aperturar ticket con Call Center para la verificación de la fibra en sitio"/>
    <x v="8"/>
    <s v="Configuracion Software"/>
    <x v="2"/>
    <s v="Redes y Comunicaciones"/>
    <m/>
    <m/>
    <s v="INVERSIONES QATAR, SOCIEDAD ANONIMA"/>
    <s v="GERENCIA GENERAL INVERSIONES QATAR, SOCIEDAD ANONIMA"/>
    <n v="2627"/>
    <n v="35"/>
    <s v="Mesa Ayuda Infraestructura"/>
    <n v="246994"/>
    <s v="CESAR ORLANDO MARTINEZ ABAL"/>
    <n v="186"/>
    <s v="CANELLA"/>
    <n v="2"/>
    <n v="28"/>
    <m/>
    <m/>
    <n v="1"/>
    <s v="CANELLA"/>
    <n v="186"/>
    <s v="Carlos Carias"/>
    <s v="&lt;p&gt;Reportar con nuestro asesor de Claro la instalación de los nuevos equipos&lt;/p&gt;&lt;p&gt;Validar la fecha de instalación&amp;nbsp;&lt;/p&gt;&lt;p&gt;Aperturar ticket con Call Center para la verificación de la fibra en sitio&lt;/p&gt;&lt;p&gt;Validar comunicación de los equipos&amp;nbsp;&lt;/p&gt;&lt;p&gt;&lt;br&gt;&lt;/p&gt;"/>
    <s v="normal"/>
    <s v="En proceso"/>
    <s v="Aperturar ticket con claro por caída total del enlace Rio Hondo / Cesar Abal"/>
    <n v="72"/>
    <b v="1"/>
    <s v="[18853, 18852, 18851, 18850]"/>
    <m/>
    <s v="06688@general.tbd"/>
    <n v="18852"/>
    <n v="0"/>
    <n v="186"/>
    <n v="8777"/>
    <s v="Mesa Ayuda Infraestructura"/>
    <n v="439.62"/>
    <m/>
  </r>
  <r>
    <n v="2725"/>
    <n v="0.16666666666666599"/>
    <d v="1899-12-30T00:10:00"/>
    <s v="50-Finalizado"/>
    <d v="1900-01-01T00:00:00"/>
    <x v="276"/>
    <d v="2024-07-17T00:00:00"/>
    <d v="2024-07-17T23:26:19"/>
    <x v="40"/>
    <n v="439.62"/>
    <d v="1900-01-17T07:37:12"/>
    <d v="2024-07-17T00:00:00"/>
    <d v="2024-07-17T23:26:19"/>
    <m/>
    <d v="1899-12-31T00:00:00"/>
    <d v="2024-08-05T07:03:31"/>
    <b v="1"/>
    <d v="2024-08-05T07:03:31"/>
    <d v="2024-08-20T19:15:38"/>
    <d v="2024-08-20T19:15:38"/>
    <m/>
    <m/>
    <d v="2024-07-17T00:00:00"/>
    <s v="Validar la fecha de instalación"/>
    <x v="8"/>
    <s v="Configuracion Software"/>
    <x v="2"/>
    <s v="Redes y Comunicaciones"/>
    <m/>
    <m/>
    <s v="INVERSIONES QATAR, SOCIEDAD ANONIMA"/>
    <s v="GERENCIA GENERAL INVERSIONES QATAR, SOCIEDAD ANONIMA"/>
    <n v="2627"/>
    <n v="35"/>
    <s v="Mesa Ayuda Infraestructura"/>
    <n v="246994"/>
    <s v="CESAR ORLANDO MARTINEZ ABAL"/>
    <n v="186"/>
    <s v="CANELLA"/>
    <n v="2"/>
    <n v="28"/>
    <m/>
    <m/>
    <n v="1"/>
    <s v="CANELLA"/>
    <n v="186"/>
    <s v="Carlos Carias"/>
    <s v="&lt;p&gt;Reportar con nuestro asesor de Claro la instalación de los nuevos equipos&lt;/p&gt;&lt;p&gt;Validar la fecha de instalación&amp;nbsp;&lt;/p&gt;&lt;p&gt;Aperturar ticket con Call Center para la verificación de la fibra en sitio&lt;/p&gt;&lt;p&gt;Validar comunicación de los equipos&amp;nbsp;&lt;/p&gt;&lt;p&gt;&lt;br&gt;&lt;/p&gt;"/>
    <s v="normal"/>
    <s v="En proceso"/>
    <s v="Aperturar ticket con claro por caída total del enlace Rio Hondo / Cesar Abal"/>
    <n v="72"/>
    <b v="1"/>
    <s v="[18853, 18852, 18851, 18850]"/>
    <m/>
    <s v="06688@general.tbd"/>
    <n v="18851"/>
    <n v="0"/>
    <n v="186"/>
    <n v="8777"/>
    <s v="Mesa Ayuda Infraestructura"/>
    <n v="439.62"/>
    <m/>
  </r>
  <r>
    <n v="2725"/>
    <n v="0.33333333333333298"/>
    <d v="1899-12-30T00:20:00"/>
    <s v="50-Finalizado"/>
    <d v="1900-01-01T00:00:00"/>
    <x v="276"/>
    <d v="2024-07-17T00:00:00"/>
    <d v="2024-07-17T23:26:19"/>
    <x v="40"/>
    <n v="439.62"/>
    <d v="1900-01-17T07:37:12"/>
    <d v="2024-07-17T00:00:00"/>
    <d v="2024-07-17T23:26:19"/>
    <m/>
    <d v="1899-12-31T00:00:00"/>
    <d v="2024-08-05T07:03:31"/>
    <b v="1"/>
    <d v="2024-08-05T07:03:31"/>
    <d v="2024-08-20T19:15:38"/>
    <d v="2024-08-20T19:15:38"/>
    <m/>
    <m/>
    <d v="2024-07-17T00:00:00"/>
    <s v="Reportar con nuestro asesor de Claro la instalación de los nuevos equipos"/>
    <x v="8"/>
    <s v="Configuracion Software"/>
    <x v="2"/>
    <s v="Redes y Comunicaciones"/>
    <m/>
    <m/>
    <s v="INVERSIONES QATAR, SOCIEDAD ANONIMA"/>
    <s v="GERENCIA GENERAL INVERSIONES QATAR, SOCIEDAD ANONIMA"/>
    <n v="2627"/>
    <n v="35"/>
    <s v="Mesa Ayuda Infraestructura"/>
    <n v="246994"/>
    <s v="CESAR ORLANDO MARTINEZ ABAL"/>
    <n v="186"/>
    <s v="CANELLA"/>
    <n v="2"/>
    <n v="28"/>
    <m/>
    <m/>
    <n v="1"/>
    <s v="CANELLA"/>
    <n v="186"/>
    <s v="Carlos Carias"/>
    <s v="&lt;p&gt;Reportar con nuestro asesor de Claro la instalación de los nuevos equipos&lt;/p&gt;&lt;p&gt;Validar la fecha de instalación&amp;nbsp;&lt;/p&gt;&lt;p&gt;Aperturar ticket con Call Center para la verificación de la fibra en sitio&lt;/p&gt;&lt;p&gt;Validar comunicación de los equipos&amp;nbsp;&lt;/p&gt;&lt;p&gt;&lt;br&gt;&lt;/p&gt;"/>
    <s v="normal"/>
    <s v="En proceso"/>
    <s v="Aperturar ticket con claro por caída total del enlace Rio Hondo / Cesar Abal"/>
    <n v="72"/>
    <b v="1"/>
    <s v="[18853, 18852, 18851, 18850]"/>
    <m/>
    <s v="06688@general.tbd"/>
    <n v="18850"/>
    <n v="0"/>
    <n v="186"/>
    <n v="8777"/>
    <s v="Mesa Ayuda Infraestructura"/>
    <n v="439.62"/>
    <m/>
  </r>
  <r>
    <n v="2724"/>
    <n v="8.3333333333333301E-2"/>
    <d v="1899-12-30T00:05:00"/>
    <s v="50-Finalizado"/>
    <d v="1900-01-01T00:00:00"/>
    <x v="277"/>
    <d v="2024-07-17T00:00:00"/>
    <d v="2024-07-17T23:17:27"/>
    <x v="40"/>
    <n v="439.76777777777698"/>
    <d v="1900-01-17T07:46:04"/>
    <d v="2024-07-17T00:00:00"/>
    <d v="2024-07-17T23:17:27"/>
    <m/>
    <d v="1899-12-31T00:00:00"/>
    <d v="2024-08-05T07:03:31"/>
    <b v="1"/>
    <d v="2024-08-05T07:03:31"/>
    <d v="2024-08-20T19:15:38"/>
    <d v="2024-08-20T19:15:38"/>
    <m/>
    <m/>
    <d v="2024-07-18T00:00:00"/>
    <s v="envío y redacción correo de autorización de plan"/>
    <x v="10"/>
    <s v="Configuracion Software"/>
    <x v="2"/>
    <s v="Redes y Comunicaciones"/>
    <s v="Firewall"/>
    <m/>
    <s v="CANELLA, SOCIEDAD ANONIMA"/>
    <s v="INFORMATICA"/>
    <n v="2626"/>
    <n v="35"/>
    <s v="Mesa Ayuda Infraestructura"/>
    <n v="247813"/>
    <s v="OSCAR RAUL HERNANDEZ REYNA"/>
    <n v="248"/>
    <s v="CANELLA"/>
    <n v="2"/>
    <n v="28"/>
    <n v="23"/>
    <m/>
    <n v="1"/>
    <s v="CANELLA"/>
    <n v="248"/>
    <s v="Juan Carlos Barillas"/>
    <s v="&lt;p&gt;Plan de mitigación de vulnerabilidades bajas y medias Canella&lt;br&gt;&lt;/p&gt;"/>
    <s v="normal"/>
    <s v="En proceso"/>
    <s v="Plan de mitigación de vulnerabilidades bajas y medias Canella"/>
    <n v="72"/>
    <b v="1"/>
    <s v="[19045, 19042, 18998, 18837]"/>
    <m/>
    <s v="04025@general.tbd"/>
    <n v="19045"/>
    <n v="0"/>
    <n v="248"/>
    <n v="8777"/>
    <s v="Mesa Ayuda Infraestructura"/>
    <n v="439.76777777777698"/>
    <m/>
  </r>
  <r>
    <n v="2724"/>
    <n v="0.25"/>
    <d v="1899-12-30T00:15:00"/>
    <s v="50-Finalizado"/>
    <d v="1900-01-01T00:00:00"/>
    <x v="277"/>
    <d v="2024-07-17T00:00:00"/>
    <d v="2024-07-17T23:17:27"/>
    <x v="40"/>
    <n v="439.76777777777698"/>
    <d v="1900-01-17T07:46:04"/>
    <d v="2024-07-17T00:00:00"/>
    <d v="2024-07-17T23:17:27"/>
    <m/>
    <d v="1899-12-31T00:00:00"/>
    <d v="2024-08-05T07:03:31"/>
    <b v="1"/>
    <d v="2024-08-05T07:03:31"/>
    <d v="2024-08-20T19:15:38"/>
    <d v="2024-08-20T19:15:38"/>
    <m/>
    <m/>
    <d v="2024-07-18T00:00:00"/>
    <s v="Actualización de project"/>
    <x v="10"/>
    <s v="Configuracion Software"/>
    <x v="2"/>
    <s v="Redes y Comunicaciones"/>
    <s v="Firewall"/>
    <m/>
    <s v="CANELLA, SOCIEDAD ANONIMA"/>
    <s v="INFORMATICA"/>
    <n v="2626"/>
    <n v="35"/>
    <s v="Mesa Ayuda Infraestructura"/>
    <n v="247813"/>
    <s v="OSCAR RAUL HERNANDEZ REYNA"/>
    <n v="248"/>
    <s v="CANELLA"/>
    <n v="2"/>
    <n v="28"/>
    <n v="23"/>
    <m/>
    <n v="1"/>
    <s v="CANELLA"/>
    <n v="248"/>
    <s v="Juan Carlos Barillas"/>
    <s v="&lt;p&gt;Plan de mitigación de vulnerabilidades bajas y medias Canella&lt;br&gt;&lt;/p&gt;"/>
    <s v="normal"/>
    <s v="En proceso"/>
    <s v="Plan de mitigación de vulnerabilidades bajas y medias Canella"/>
    <n v="72"/>
    <b v="1"/>
    <s v="[19045, 19042, 18998, 18837]"/>
    <m/>
    <s v="04025@general.tbd"/>
    <n v="19042"/>
    <n v="0"/>
    <n v="248"/>
    <n v="8777"/>
    <s v="Mesa Ayuda Infraestructura"/>
    <n v="439.76777777777698"/>
    <m/>
  </r>
  <r>
    <n v="2724"/>
    <n v="0.25"/>
    <d v="1899-12-30T00:15:00"/>
    <s v="50-Finalizado"/>
    <d v="1900-01-01T00:00:00"/>
    <x v="277"/>
    <d v="2024-07-17T00:00:00"/>
    <d v="2024-07-17T23:17:27"/>
    <x v="40"/>
    <n v="439.76777777777698"/>
    <d v="1900-01-17T07:46:04"/>
    <d v="2024-07-17T00:00:00"/>
    <d v="2024-07-17T23:17:27"/>
    <m/>
    <d v="1899-12-31T00:00:00"/>
    <d v="2024-08-05T07:03:31"/>
    <b v="1"/>
    <d v="2024-08-05T07:03:31"/>
    <d v="2024-08-20T19:15:38"/>
    <d v="2024-08-20T19:15:38"/>
    <m/>
    <m/>
    <d v="2024-07-18T00:00:00"/>
    <s v="revisión vulnerabilidades bajas externas"/>
    <x v="10"/>
    <s v="Configuracion Software"/>
    <x v="2"/>
    <s v="Redes y Comunicaciones"/>
    <s v="Firewall"/>
    <m/>
    <s v="CANELLA, SOCIEDAD ANONIMA"/>
    <s v="INFORMATICA"/>
    <n v="2626"/>
    <n v="35"/>
    <s v="Mesa Ayuda Infraestructura"/>
    <n v="247813"/>
    <s v="OSCAR RAUL HERNANDEZ REYNA"/>
    <n v="248"/>
    <s v="CANELLA"/>
    <n v="2"/>
    <n v="28"/>
    <n v="23"/>
    <m/>
    <n v="1"/>
    <s v="CANELLA"/>
    <n v="248"/>
    <s v="Juan Carlos Barillas"/>
    <s v="&lt;p&gt;Plan de mitigación de vulnerabilidades bajas y medias Canella&lt;br&gt;&lt;/p&gt;"/>
    <s v="normal"/>
    <s v="En proceso"/>
    <s v="Plan de mitigación de vulnerabilidades bajas y medias Canella"/>
    <n v="72"/>
    <b v="1"/>
    <s v="[19045, 19042, 18998, 18837]"/>
    <m/>
    <s v="04025@general.tbd"/>
    <n v="18998"/>
    <n v="0"/>
    <n v="248"/>
    <n v="8777"/>
    <s v="Mesa Ayuda Infraestructura"/>
    <n v="439.76777777777698"/>
    <m/>
  </r>
  <r>
    <n v="2724"/>
    <n v="1"/>
    <d v="1899-12-30T01:00:00"/>
    <s v="50-Finalizado"/>
    <d v="1900-01-01T00:00:00"/>
    <x v="277"/>
    <d v="2024-07-17T00:00:00"/>
    <d v="2024-07-17T23:17:27"/>
    <x v="40"/>
    <n v="439.76777777777698"/>
    <d v="1900-01-17T07:46:04"/>
    <d v="2024-07-17T00:00:00"/>
    <d v="2024-07-17T23:17:27"/>
    <m/>
    <d v="1899-12-31T00:00:00"/>
    <d v="2024-08-05T07:03:31"/>
    <b v="1"/>
    <d v="2024-08-05T07:03:31"/>
    <d v="2024-08-20T19:15:38"/>
    <d v="2024-08-20T19:15:38"/>
    <m/>
    <m/>
    <d v="2024-07-17T00:00:00"/>
    <s v="Plan de mitigación de vulnerabilidades bajas y medias Canella"/>
    <x v="10"/>
    <s v="Configuracion Software"/>
    <x v="2"/>
    <s v="Redes y Comunicaciones"/>
    <s v="Firewall"/>
    <m/>
    <s v="CANELLA, SOCIEDAD ANONIMA"/>
    <s v="INFORMATICA"/>
    <n v="2626"/>
    <n v="35"/>
    <s v="Mesa Ayuda Infraestructura"/>
    <n v="247813"/>
    <s v="OSCAR RAUL HERNANDEZ REYNA"/>
    <n v="248"/>
    <s v="CANELLA"/>
    <n v="2"/>
    <n v="28"/>
    <n v="23"/>
    <m/>
    <n v="1"/>
    <s v="CANELLA"/>
    <n v="248"/>
    <s v="Juan Carlos Barillas"/>
    <s v="&lt;p&gt;Plan de mitigación de vulnerabilidades bajas y medias Canella&lt;br&gt;&lt;/p&gt;"/>
    <s v="normal"/>
    <s v="En proceso"/>
    <s v="Plan de mitigación de vulnerabilidades bajas y medias Canella"/>
    <n v="72"/>
    <b v="1"/>
    <s v="[19045, 19042, 18998, 18837]"/>
    <m/>
    <s v="04025@general.tbd"/>
    <n v="18837"/>
    <n v="0"/>
    <n v="248"/>
    <n v="8777"/>
    <s v="Mesa Ayuda Infraestructura"/>
    <n v="439.76777777777698"/>
    <m/>
  </r>
  <r>
    <n v="2715"/>
    <n v="0.33333333333333298"/>
    <d v="1899-12-30T00:20:00"/>
    <s v="50-Finalizado"/>
    <d v="1900-01-01T00:00:00"/>
    <x v="278"/>
    <d v="2024-07-17T00:00:00"/>
    <d v="2024-07-17T22:16:51"/>
    <x v="40"/>
    <n v="440.77777777777698"/>
    <d v="1900-01-17T08:46:40"/>
    <d v="2024-07-17T00:00:00"/>
    <d v="2024-07-17T22:16:51"/>
    <m/>
    <d v="1899-12-31T00:00:00"/>
    <d v="2024-08-05T07:03:31"/>
    <b v="1"/>
    <d v="2024-08-05T07:03:31"/>
    <d v="2024-08-20T19:15:38"/>
    <d v="2024-08-20T19:15:38"/>
    <m/>
    <m/>
    <d v="2024-07-22T00:00:00"/>
    <s v="Se procede a realizar orden de compra por 2 licencias de Power Automate."/>
    <x v="3"/>
    <m/>
    <x v="2"/>
    <m/>
    <m/>
    <m/>
    <s v="No Partner"/>
    <s v="No Partner"/>
    <n v="2617"/>
    <n v="35"/>
    <s v="Mesa Ayuda Infraestructura"/>
    <m/>
    <m/>
    <n v="299"/>
    <s v="CANELLA"/>
    <m/>
    <m/>
    <m/>
    <m/>
    <n v="1"/>
    <s v="CANELLA"/>
    <n v="299"/>
    <s v="Rosario Lic"/>
    <m/>
    <s v="normal"/>
    <s v="En proceso"/>
    <s v="Orden de compra por 2 licencias Power Automate"/>
    <n v="72"/>
    <b v="1"/>
    <s v="[20242]"/>
    <m/>
    <s v="No Partner"/>
    <n v="20242"/>
    <n v="0"/>
    <n v="299"/>
    <n v="8777"/>
    <s v="Mesa Ayuda Infraestructura"/>
    <n v="440.77777777777698"/>
    <m/>
  </r>
  <r>
    <n v="2707"/>
    <n v="0.16666666666666599"/>
    <d v="1899-12-30T00:10:00"/>
    <s v="50-Finalizado"/>
    <d v="1900-01-01T00:00:00"/>
    <x v="279"/>
    <d v="2024-07-17T00:00:00"/>
    <d v="2024-07-17T20:49:50"/>
    <x v="40"/>
    <n v="442.22805555555499"/>
    <d v="1900-01-17T10:13:41"/>
    <d v="2024-07-17T00:00:00"/>
    <d v="2024-07-17T20:49:50"/>
    <m/>
    <d v="1899-12-31T00:00:00"/>
    <d v="2024-08-05T07:03:31"/>
    <b v="1"/>
    <d v="2024-08-05T07:03:31"/>
    <d v="2024-08-20T19:15:38"/>
    <d v="2024-08-20T19:15:38"/>
    <m/>
    <m/>
    <d v="2024-08-01T00:00:00"/>
    <s v="Envío de correo de confirmación de anchos de banda"/>
    <x v="10"/>
    <s v="Configuracion Hardware"/>
    <x v="2"/>
    <s v="Redes y Comunicaciones"/>
    <m/>
    <m/>
    <s v="CANELLA, SOCIEDAD ANONIMA"/>
    <s v="GERENCIA COMERCIAL POSVENTA"/>
    <n v="2609"/>
    <n v="35"/>
    <s v="Mesa Ayuda Infraestructura"/>
    <n v="247857"/>
    <s v="ARNALDO RENE COTTO STREMS"/>
    <n v="248"/>
    <s v="CANELLA"/>
    <n v="1"/>
    <n v="28"/>
    <m/>
    <m/>
    <n v="1"/>
    <s v="CANELLA"/>
    <n v="248"/>
    <s v="Juan Carlos Barillas"/>
    <s v="&lt;p&gt;Renovación enlace Interstate&lt;br&gt;&lt;/p&gt;"/>
    <s v="normal"/>
    <s v="En proceso"/>
    <s v="Renovación enlace Interstate"/>
    <n v="72"/>
    <b v="1"/>
    <n v="18774"/>
    <m/>
    <s v="03552@general.tbd"/>
    <n v="23068"/>
    <n v="0"/>
    <n v="248"/>
    <n v="8777"/>
    <s v="Mesa Ayuda Infraestructura"/>
    <n v="442.22805555555499"/>
    <m/>
  </r>
  <r>
    <n v="2707"/>
    <n v="0.33333333333333298"/>
    <d v="1899-12-30T00:20:00"/>
    <s v="50-Finalizado"/>
    <d v="1900-01-01T00:00:00"/>
    <x v="279"/>
    <d v="2024-07-17T00:00:00"/>
    <d v="2024-07-17T20:49:50"/>
    <x v="40"/>
    <n v="442.22805555555499"/>
    <d v="1900-01-17T10:13:41"/>
    <d v="2024-07-17T00:00:00"/>
    <d v="2024-07-17T20:49:50"/>
    <m/>
    <d v="1899-12-31T00:00:00"/>
    <d v="2024-08-05T07:03:31"/>
    <b v="1"/>
    <d v="2024-08-05T07:03:31"/>
    <d v="2024-08-20T19:15:38"/>
    <d v="2024-08-20T19:15:38"/>
    <m/>
    <m/>
    <d v="2024-07-17T00:00:00"/>
    <s v="Solicitar precios de anchos de banda 15 y 20 Mbps"/>
    <x v="10"/>
    <s v="Configuracion Hardware"/>
    <x v="2"/>
    <s v="Redes y Comunicaciones"/>
    <m/>
    <m/>
    <s v="CANELLA, SOCIEDAD ANONIMA"/>
    <s v="GERENCIA COMERCIAL POSVENTA"/>
    <n v="2609"/>
    <n v="35"/>
    <s v="Mesa Ayuda Infraestructura"/>
    <n v="247857"/>
    <s v="ARNALDO RENE COTTO STREMS"/>
    <n v="248"/>
    <s v="CANELLA"/>
    <n v="1"/>
    <n v="28"/>
    <m/>
    <m/>
    <n v="1"/>
    <s v="CANELLA"/>
    <n v="248"/>
    <s v="Juan Carlos Barillas"/>
    <s v="&lt;p&gt;Renovación enlace Interstate&lt;br&gt;&lt;/p&gt;"/>
    <s v="normal"/>
    <s v="En proceso"/>
    <s v="Renovación enlace Interstate"/>
    <n v="72"/>
    <b v="1"/>
    <n v="18774"/>
    <m/>
    <s v="03552@general.tbd"/>
    <n v="18774"/>
    <n v="0"/>
    <n v="248"/>
    <n v="8777"/>
    <s v="Mesa Ayuda Infraestructura"/>
    <n v="442.22805555555499"/>
    <m/>
  </r>
  <r>
    <n v="2673"/>
    <n v="1"/>
    <d v="1899-12-30T01:00:00"/>
    <s v="50-Finalizado"/>
    <d v="1900-01-01T00:00:00"/>
    <x v="280"/>
    <d v="2024-07-17T00:00:00"/>
    <d v="2024-07-17T00:20:48"/>
    <x v="40"/>
    <n v="462.71194444444399"/>
    <d v="1900-01-18T06:42:43"/>
    <d v="2024-07-17T00:00:00"/>
    <d v="2024-07-17T00:20:48"/>
    <m/>
    <d v="1899-12-31T00:00:00"/>
    <d v="2024-08-05T07:03:31"/>
    <b v="1"/>
    <d v="2024-08-05T07:03:31"/>
    <d v="2024-08-20T19:15:38"/>
    <d v="2024-08-20T19:15:38"/>
    <m/>
    <m/>
    <d v="2024-07-15T00:00:00"/>
    <s v="/"/>
    <x v="8"/>
    <s v="Configuracion Software"/>
    <x v="2"/>
    <s v="Redes y Comunicaciones"/>
    <m/>
    <m/>
    <s v="INVERSIONES QATAR, SOCIEDAD ANONIMA"/>
    <s v="GERENCIA FINANCIERA - ADMINISTRATIVA"/>
    <n v="2575"/>
    <n v="35"/>
    <s v="Mesa Ayuda Infraestructura"/>
    <n v="246801"/>
    <s v="GABRIEL EFRAIN MELENDEZ MARROQUIN"/>
    <n v="186"/>
    <s v="CANELLA"/>
    <n v="2"/>
    <n v="28"/>
    <m/>
    <m/>
    <n v="1"/>
    <s v="CANELLA"/>
    <n v="186"/>
    <s v="Carlos Carias"/>
    <m/>
    <s v="normal"/>
    <s v="En proceso"/>
    <s v="Cotización de teléfonos análogos e IP para taller zona 13 / Gabriel Meléndez"/>
    <n v="72"/>
    <b v="1"/>
    <s v="[18628]"/>
    <m/>
    <s v="06901@general.tbd"/>
    <n v="18628"/>
    <n v="0"/>
    <n v="186"/>
    <n v="8777"/>
    <s v="Mesa Ayuda Infraestructura"/>
    <n v="462.71194444444399"/>
    <m/>
  </r>
  <r>
    <n v="2666"/>
    <n v="1"/>
    <d v="1899-12-30T01:00:00"/>
    <s v="50-Finalizado"/>
    <d v="1900-01-01T00:00:00"/>
    <x v="281"/>
    <d v="2024-07-16T00:00:00"/>
    <d v="2024-07-16T23:27:28"/>
    <x v="40"/>
    <n v="463.60083333333301"/>
    <d v="1900-01-18T07:36:03"/>
    <d v="2024-07-16T00:00:00"/>
    <d v="2024-07-16T23:27:28"/>
    <m/>
    <d v="1899-12-31T00:00:00"/>
    <d v="2024-08-05T07:03:31"/>
    <b v="1"/>
    <d v="2024-08-05T07:03:31"/>
    <d v="2024-08-20T19:15:38"/>
    <d v="2024-08-20T19:15:38"/>
    <m/>
    <m/>
    <d v="2024-07-16T00:00:00"/>
    <s v="Configuración de teléfono IP para taller Periférico / Juan Alberto"/>
    <x v="8"/>
    <s v="Configuracion Software"/>
    <x v="2"/>
    <s v="Planta Telefonica"/>
    <m/>
    <m/>
    <s v="CANELLA, SOCIEDAD ANONIMA"/>
    <s v="ISUZU PERIFERICO"/>
    <n v="2568"/>
    <n v="35"/>
    <s v="Mesa Ayuda Infraestructura"/>
    <n v="247582"/>
    <s v="JUAN ALBERTO VALENCIA CHUTAN"/>
    <n v="186"/>
    <s v="CANELLA"/>
    <n v="2"/>
    <n v="14"/>
    <m/>
    <m/>
    <n v="1"/>
    <s v="CANELLA"/>
    <n v="186"/>
    <s v="Carlos Carias"/>
    <m/>
    <s v="normal"/>
    <s v="En proceso"/>
    <s v="Configuración de teléfono Analogo para taller Periférico / Juan Alberto"/>
    <n v="72"/>
    <b v="1"/>
    <s v="[18589]"/>
    <m/>
    <s v="05585@general.tbd"/>
    <n v="18589"/>
    <n v="0"/>
    <n v="186"/>
    <n v="8777"/>
    <s v="Mesa Ayuda Infraestructura"/>
    <n v="463.60083333333301"/>
    <m/>
  </r>
  <r>
    <n v="2659"/>
    <n v="0.5"/>
    <d v="1899-12-30T00:30:00"/>
    <s v="50-Finalizado"/>
    <d v="1900-01-01T00:00:00"/>
    <x v="282"/>
    <d v="2024-07-16T00:00:00"/>
    <d v="2024-07-16T23:02:25"/>
    <x v="40"/>
    <n v="464.01833333333298"/>
    <d v="1900-01-18T08:01:06"/>
    <d v="2024-07-16T00:00:00"/>
    <d v="2024-07-16T23:02:25"/>
    <m/>
    <d v="1899-12-31T00:00:00"/>
    <d v="2024-08-05T07:03:31"/>
    <b v="1"/>
    <d v="2024-08-05T07:03:31"/>
    <d v="2024-08-20T19:15:38"/>
    <d v="2024-08-20T19:15:38"/>
    <m/>
    <m/>
    <d v="2024-07-16T00:00:00"/>
    <s v="Enviar autorización de compra de headset / Raúl Hernández"/>
    <x v="8"/>
    <s v="Funcional"/>
    <x v="2"/>
    <s v="Redes y Comunicaciones"/>
    <m/>
    <m/>
    <s v="CANELLA, SOCIEDAD ANONIMA"/>
    <s v="INFORMATICA"/>
    <n v="2561"/>
    <n v="35"/>
    <s v="Mesa Ayuda Infraestructura"/>
    <n v="247813"/>
    <s v="OSCAR RAUL HERNANDEZ REYNA"/>
    <n v="186"/>
    <s v="CANELLA"/>
    <n v="3"/>
    <n v="28"/>
    <m/>
    <m/>
    <n v="1"/>
    <s v="CANELLA"/>
    <n v="186"/>
    <s v="Carlos Carias"/>
    <m/>
    <s v="normal"/>
    <s v="En proceso"/>
    <s v="Enviar autorización de compra de headset / Raúl Hernández"/>
    <n v="72"/>
    <b v="1"/>
    <s v="[18561]"/>
    <m/>
    <s v="04025@general.tbd"/>
    <n v="18561"/>
    <n v="0"/>
    <n v="186"/>
    <n v="8777"/>
    <s v="Mesa Ayuda Infraestructura"/>
    <n v="464.01833333333298"/>
    <m/>
  </r>
  <r>
    <n v="2634"/>
    <n v="0.25"/>
    <d v="1899-12-30T00:15:00"/>
    <s v="50-Finalizado"/>
    <d v="1900-01-01T00:00:00"/>
    <x v="283"/>
    <d v="2024-07-16T00:00:00"/>
    <d v="2024-07-16T20:56:07"/>
    <x v="40"/>
    <n v="466.12333333333299"/>
    <d v="1900-01-18T10:07:24"/>
    <d v="2024-07-16T00:00:00"/>
    <d v="2024-07-16T20:56:07"/>
    <m/>
    <d v="1899-12-31T00:00:00"/>
    <d v="2024-08-05T07:03:31"/>
    <b v="1"/>
    <d v="2024-08-05T07:03:31"/>
    <d v="2024-08-20T19:15:38"/>
    <d v="2024-08-20T19:15:38"/>
    <m/>
    <m/>
    <d v="2024-07-16T00:00:00"/>
    <s v="Coordinar ingreso en Yamaha Pentápolis, para instalación de equipos de comunicación / David Flores"/>
    <x v="8"/>
    <s v="Reuniones"/>
    <x v="2"/>
    <m/>
    <m/>
    <m/>
    <s v="CANELLA, SOCIEDAD ANONIMA"/>
    <s v="CANAL DIRECTO"/>
    <n v="2536"/>
    <n v="35"/>
    <s v="Mesa Ayuda Infraestructura"/>
    <n v="247759"/>
    <s v="DAVID JOSUE FLORES SEQUEIDA"/>
    <n v="186"/>
    <s v="CANELLA"/>
    <n v="5"/>
    <m/>
    <m/>
    <m/>
    <n v="1"/>
    <s v="CANELLA"/>
    <n v="186"/>
    <s v="Carlos Carias"/>
    <m/>
    <s v="normal"/>
    <s v="En proceso"/>
    <s v="Coordinar ingreso en Yamaha Pentápolis, para instalación de equipos de comunicación / David Flores"/>
    <n v="72"/>
    <b v="1"/>
    <s v="[18469]"/>
    <m/>
    <s v="04505@general.tbd"/>
    <n v="18469"/>
    <n v="0"/>
    <n v="186"/>
    <n v="8777"/>
    <s v="Mesa Ayuda Infraestructura"/>
    <n v="466.12333333333299"/>
    <m/>
  </r>
  <r>
    <n v="2610"/>
    <n v="0.5"/>
    <d v="1899-12-30T00:30:00"/>
    <s v="50-Finalizado"/>
    <d v="1900-01-01T00:00:00"/>
    <x v="284"/>
    <d v="2024-07-16T00:00:00"/>
    <d v="2024-07-16T16:40:15"/>
    <x v="40"/>
    <n v="470.38777777777699"/>
    <d v="1900-01-18T14:23:16"/>
    <d v="2024-07-16T00:00:00"/>
    <d v="2024-07-16T16:40:15"/>
    <m/>
    <d v="1899-12-31T00:00:00"/>
    <d v="2024-08-05T07:03:31"/>
    <b v="1"/>
    <d v="2024-08-05T07:03:31"/>
    <d v="2024-08-20T19:15:38"/>
    <d v="2024-08-20T19:15:38"/>
    <m/>
    <m/>
    <d v="2024-07-19T00:00:00"/>
    <s v="Se procede a realizar OC por compra de Monitor y CPU"/>
    <x v="3"/>
    <m/>
    <x v="2"/>
    <m/>
    <m/>
    <m/>
    <s v="CANELLA, SOCIEDAD ANONIMA"/>
    <s v="MAQUINARIA DE CONSTRUCCION"/>
    <n v="2512"/>
    <n v="35"/>
    <s v="Mesa Ayuda Infraestructura"/>
    <n v="247575"/>
    <s v="MARTHA NINETH PEREIRA FLORES"/>
    <n v="299"/>
    <s v="CANELLA"/>
    <m/>
    <m/>
    <m/>
    <m/>
    <n v="1"/>
    <s v="CANELLA"/>
    <n v="299"/>
    <s v="Rosario Lic"/>
    <m/>
    <s v="normal"/>
    <s v="En proceso"/>
    <s v="Compra de equipo para cajeras - Maquipos Escuintla -"/>
    <n v="72"/>
    <b v="1"/>
    <n v="18408"/>
    <m/>
    <s v="05618@general.tbd"/>
    <n v="19655"/>
    <n v="0"/>
    <n v="299"/>
    <n v="8777"/>
    <s v="Mesa Ayuda Infraestructura"/>
    <n v="470.38777777777699"/>
    <m/>
  </r>
  <r>
    <n v="2610"/>
    <n v="0.25"/>
    <d v="1899-12-30T00:15:00"/>
    <s v="50-Finalizado"/>
    <d v="1900-01-01T00:00:00"/>
    <x v="284"/>
    <d v="2024-07-16T00:00:00"/>
    <d v="2024-07-16T16:40:15"/>
    <x v="40"/>
    <n v="470.38777777777699"/>
    <d v="1900-01-18T14:23:16"/>
    <d v="2024-07-16T00:00:00"/>
    <d v="2024-07-16T16:40:15"/>
    <m/>
    <d v="1899-12-31T00:00:00"/>
    <d v="2024-08-05T07:03:31"/>
    <b v="1"/>
    <d v="2024-08-05T07:03:31"/>
    <d v="2024-08-20T19:15:38"/>
    <d v="2024-08-20T19:15:38"/>
    <m/>
    <m/>
    <d v="2024-07-16T00:00:00"/>
    <s v="Se procede a iniciar con el trámite de compra de 1 monitor, 1 desktop, 1 UPS y combo de teclado Logitech MK540 Se procedió a solicitar la creación de los activos fijos del monitor y desktop . Se procedió a realizar la solicitud de la cotización del UPS y el combo de teclado. Se procede a realizar 2 ordenes de compra 1 en Tecnobodega y 1 en Intelaf, ambas en sistema SAP Maquipos."/>
    <x v="3"/>
    <m/>
    <x v="2"/>
    <m/>
    <m/>
    <m/>
    <s v="CANELLA, SOCIEDAD ANONIMA"/>
    <s v="MAQUINARIA DE CONSTRUCCION"/>
    <n v="2512"/>
    <n v="35"/>
    <s v="Mesa Ayuda Infraestructura"/>
    <n v="247575"/>
    <s v="MARTHA NINETH PEREIRA FLORES"/>
    <n v="299"/>
    <s v="CANELLA"/>
    <m/>
    <m/>
    <m/>
    <m/>
    <n v="1"/>
    <s v="CANELLA"/>
    <n v="299"/>
    <s v="Rosario Lic"/>
    <m/>
    <s v="normal"/>
    <s v="En proceso"/>
    <s v="Compra de equipo para cajeras - Maquipos Escuintla -"/>
    <n v="72"/>
    <b v="1"/>
    <n v="18408"/>
    <m/>
    <s v="05618@general.tbd"/>
    <n v="18408"/>
    <n v="0"/>
    <n v="299"/>
    <n v="8777"/>
    <s v="Mesa Ayuda Infraestructura"/>
    <n v="470.38777777777699"/>
    <m/>
  </r>
  <r>
    <n v="2603"/>
    <n v="0.5"/>
    <d v="1899-12-30T00:30:00"/>
    <s v="50-Finalizado"/>
    <d v="1900-01-01T00:00:00"/>
    <x v="285"/>
    <d v="2024-07-16T00:00:00"/>
    <d v="2024-07-16T15:33:18"/>
    <x v="40"/>
    <n v="471.50361111111101"/>
    <d v="1900-01-18T15:30:13"/>
    <d v="2024-07-16T00:00:00"/>
    <d v="2024-07-16T15:33:18"/>
    <m/>
    <d v="1899-12-31T00:00:00"/>
    <d v="2024-08-05T07:03:31"/>
    <b v="1"/>
    <d v="2024-08-05T07:03:31"/>
    <d v="2024-08-20T19:15:38"/>
    <d v="2024-08-20T19:15:38"/>
    <m/>
    <m/>
    <d v="2024-07-24T00:00:00"/>
    <s v="Se procede con la compra de 1 licencia"/>
    <x v="3"/>
    <m/>
    <x v="2"/>
    <m/>
    <m/>
    <m/>
    <s v="CANELLA, SOCIEDAD ANONIMA"/>
    <s v="ADMINISTRACION"/>
    <n v="2505"/>
    <n v="35"/>
    <s v="Mesa Ayuda Infraestructura"/>
    <n v="246977"/>
    <s v="LUIS ANGEL CARDENAS GARCIA"/>
    <n v="299"/>
    <s v="CANELLA"/>
    <m/>
    <m/>
    <m/>
    <m/>
    <n v="1"/>
    <s v="CANELLA"/>
    <n v="299"/>
    <s v="Rosario Lic"/>
    <m/>
    <s v="normal"/>
    <s v="En proceso"/>
    <s v="Compra de Licencia Project"/>
    <n v="72"/>
    <b v="1"/>
    <n v="18389"/>
    <m/>
    <s v="06707@general.tbd"/>
    <n v="20731"/>
    <n v="0"/>
    <n v="299"/>
    <n v="8777"/>
    <s v="Mesa Ayuda Infraestructura"/>
    <n v="471.50361111111101"/>
    <m/>
  </r>
  <r>
    <n v="2603"/>
    <n v="0"/>
    <d v="1899-12-30T00:00:00"/>
    <s v="50-Finalizado"/>
    <d v="1900-01-01T00:00:00"/>
    <x v="285"/>
    <d v="2024-07-16T00:00:00"/>
    <d v="2024-07-16T15:33:18"/>
    <x v="40"/>
    <n v="471.50361111111101"/>
    <d v="1900-01-18T15:30:13"/>
    <d v="2024-07-16T00:00:00"/>
    <d v="2024-07-16T15:33:18"/>
    <m/>
    <d v="1899-12-31T00:00:00"/>
    <d v="2024-08-05T07:03:31"/>
    <b v="1"/>
    <d v="2024-08-05T07:03:31"/>
    <d v="2024-08-20T19:15:38"/>
    <d v="2024-08-20T19:15:38"/>
    <m/>
    <m/>
    <d v="2024-07-16T00:00:00"/>
    <s v="Solicita la compra de licencia Project para Carlos Rodriguez"/>
    <x v="3"/>
    <m/>
    <x v="2"/>
    <m/>
    <m/>
    <m/>
    <s v="CANELLA, SOCIEDAD ANONIMA"/>
    <s v="ADMINISTRACION"/>
    <n v="2505"/>
    <n v="35"/>
    <s v="Mesa Ayuda Infraestructura"/>
    <n v="246977"/>
    <s v="LUIS ANGEL CARDENAS GARCIA"/>
    <n v="299"/>
    <s v="CANELLA"/>
    <m/>
    <m/>
    <m/>
    <m/>
    <n v="1"/>
    <s v="CANELLA"/>
    <n v="299"/>
    <s v="Rosario Lic"/>
    <m/>
    <s v="normal"/>
    <s v="En proceso"/>
    <s v="Compra de Licencia Project"/>
    <n v="72"/>
    <b v="1"/>
    <n v="18389"/>
    <m/>
    <s v="06707@general.tbd"/>
    <n v="18389"/>
    <n v="0"/>
    <n v="299"/>
    <n v="8777"/>
    <s v="Mesa Ayuda Infraestructura"/>
    <n v="471.50361111111101"/>
    <m/>
  </r>
  <r>
    <n v="2579"/>
    <n v="0.16666666666666599"/>
    <d v="1899-12-30T00:10:00"/>
    <s v="50-Finalizado"/>
    <d v="1900-01-01T00:00:00"/>
    <x v="286"/>
    <d v="2024-07-15T00:00:00"/>
    <d v="2024-07-15T22:00:03"/>
    <x v="40"/>
    <n v="489.05777777777701"/>
    <d v="1900-01-19T09:03:28"/>
    <d v="2024-07-15T00:00:00"/>
    <d v="2024-07-15T22:00:03"/>
    <m/>
    <d v="1899-12-31T00:00:00"/>
    <d v="2024-08-05T07:03:31"/>
    <b v="1"/>
    <d v="2024-08-05T07:03:31"/>
    <d v="2024-08-20T19:15:38"/>
    <d v="2024-08-20T19:15:38"/>
    <m/>
    <m/>
    <d v="2024-07-15T00:00:00"/>
    <s v="seguimiento compra switches solution box"/>
    <x v="10"/>
    <s v="Configuracion Hardware"/>
    <x v="2"/>
    <s v="Redes y Comunicaciones"/>
    <s v="Switch"/>
    <m/>
    <s v="CANELLA, SOCIEDAD ANONIMA"/>
    <s v="INFORMATICA"/>
    <n v="2481"/>
    <n v="35"/>
    <s v="Mesa Ayuda Infraestructura"/>
    <n v="247813"/>
    <s v="OSCAR RAUL HERNANDEZ REYNA"/>
    <n v="248"/>
    <s v="CANELLA"/>
    <n v="1"/>
    <n v="28"/>
    <n v="24"/>
    <m/>
    <n v="1"/>
    <s v="CANELLA"/>
    <n v="248"/>
    <s v="Juan Carlos Barillas"/>
    <m/>
    <s v="normal"/>
    <s v="En proceso"/>
    <s v="seguimiento compra switches solution box"/>
    <n v="72"/>
    <b v="1"/>
    <s v="[18248]"/>
    <m/>
    <s v="04025@general.tbd"/>
    <n v="18248"/>
    <n v="0"/>
    <n v="248"/>
    <n v="8777"/>
    <s v="Mesa Ayuda Infraestructura"/>
    <n v="489.05777777777701"/>
    <m/>
  </r>
  <r>
    <n v="4601"/>
    <n v="0.4"/>
    <d v="1899-12-30T00:24:00"/>
    <s v="50-Finalizado"/>
    <d v="1899-12-31T00:00:00"/>
    <x v="287"/>
    <d v="2024-08-20T00:00:00"/>
    <d v="2024-08-20T20:36:33"/>
    <x v="139"/>
    <n v="1.6944444444444401E-2"/>
    <d v="1899-12-30T00:01:01"/>
    <d v="2024-08-20T00:00:00"/>
    <d v="2024-08-20T20:36:33"/>
    <b v="1"/>
    <d v="2024-08-20T20:36:33"/>
    <d v="2024-08-20T20:37:34"/>
    <b v="1"/>
    <d v="2024-08-20T20:37:34"/>
    <d v="2024-08-20T20:37:39"/>
    <d v="2024-08-20T20:37:39"/>
    <s v="Resuelto"/>
    <s v="Ordenamiento de cables en equipo de gerencia "/>
    <d v="2024-08-20T00:00:00"/>
    <s v="Ordenamiento de cables en equipo de gerencia"/>
    <x v="8"/>
    <s v="Configuracion Hardware"/>
    <x v="0"/>
    <s v="Redes y Comunicaciones"/>
    <m/>
    <m/>
    <s v="CANELLA, SOCIEDAD ANONIMA"/>
    <s v="INFORMATICA"/>
    <n v="4503"/>
    <n v="35"/>
    <s v="Mesa Ayuda Infraestructura"/>
    <n v="247813"/>
    <s v="OSCAR RAUL HERNANDEZ REYNA"/>
    <n v="186"/>
    <s v="CANELLA"/>
    <n v="1"/>
    <n v="28"/>
    <m/>
    <m/>
    <n v="1"/>
    <s v="CANELLA"/>
    <n v="186"/>
    <s v="Carlos Carias"/>
    <s v="&lt;p&gt;Ordenamiento de cables en equipo de gerencia &lt;/p&gt;"/>
    <s v="normal"/>
    <s v="En proceso"/>
    <s v="Ordenamiento de cables en equipo de gerencia"/>
    <n v="72"/>
    <b v="1"/>
    <s v="[28139]"/>
    <n v="2"/>
    <s v="04025@general.tbd"/>
    <n v="28139"/>
    <n v="0"/>
    <n v="186"/>
    <n v="8777"/>
    <s v="Mesa Ayuda Infraestructura"/>
    <n v="1.6944444444444401E-2"/>
    <m/>
  </r>
  <r>
    <n v="4600"/>
    <n v="0.21666666666666601"/>
    <d v="1899-12-30T00:13:00"/>
    <s v="50-Finalizado"/>
    <d v="1899-12-31T00:00:00"/>
    <x v="288"/>
    <d v="2024-08-20T00:00:00"/>
    <d v="2024-08-20T20:33:50"/>
    <x v="140"/>
    <n v="3.55555555555555E-2"/>
    <d v="1899-12-30T00:02:08"/>
    <d v="2024-08-20T00:00:00"/>
    <d v="2024-08-20T20:33:50"/>
    <b v="1"/>
    <d v="2024-08-20T20:33:50"/>
    <d v="2024-08-20T20:35:58"/>
    <b v="1"/>
    <d v="2024-08-20T20:35:58"/>
    <d v="2024-08-20T20:36:12"/>
    <d v="2024-08-20T20:36:12"/>
    <s v="Resuelto"/>
    <s v="Dar acceso a wifi EMP-Canella"/>
    <d v="2024-08-20T00:00:00"/>
    <s v="Dar acceso a wifi EMP-Canella y realizar pruebas"/>
    <x v="8"/>
    <s v="Configuracion Software"/>
    <x v="0"/>
    <s v="Redes y Comunicaciones"/>
    <m/>
    <m/>
    <s v="CANELLA, SOCIEDAD ANONIMA"/>
    <s v="CONTABILIDAD, CANELLA, S. A."/>
    <n v="4502"/>
    <n v="35"/>
    <s v="Mesa Ayuda Infraestructura"/>
    <n v="247795"/>
    <s v="SANDRA JUDITH LOARCA HERNANDEZ de PEREZ"/>
    <n v="186"/>
    <s v="CANELLA"/>
    <n v="2"/>
    <n v="28"/>
    <m/>
    <m/>
    <n v="1"/>
    <s v="CANELLA"/>
    <n v="186"/>
    <s v="Carlos Carias"/>
    <s v="&lt;p&gt;Dar acceso a wifi EMP-Canella&lt;/p&gt;"/>
    <s v="normal"/>
    <s v="En proceso"/>
    <s v="Dar acceso a wifi EMP-Canella"/>
    <n v="72"/>
    <b v="1"/>
    <s v="[28138]"/>
    <n v="2"/>
    <s v="04206@general.tbd"/>
    <n v="28138"/>
    <n v="0"/>
    <n v="186"/>
    <n v="8777"/>
    <s v="Mesa Ayuda Infraestructura"/>
    <n v="3.55555555555555E-2"/>
    <m/>
  </r>
  <r>
    <n v="4597"/>
    <n v="0"/>
    <d v="1899-12-30T00:00:00"/>
    <s v="30-En proceso"/>
    <d v="1899-12-31T00:00:00"/>
    <x v="289"/>
    <d v="2024-08-20T00:00:00"/>
    <d v="2024-08-20T20:20:01"/>
    <x v="4"/>
    <n v="0"/>
    <d v="1899-12-30T00:00:00"/>
    <d v="2024-08-20T00:00:00"/>
    <d v="2024-08-20T20:20:01"/>
    <m/>
    <d v="1899-12-31T00:00:00"/>
    <d v="1899-12-31T00:00:00"/>
    <m/>
    <d v="1899-12-31T00:00:00"/>
    <d v="2024-08-20T20:20:38"/>
    <d v="2024-08-20T20:20:38"/>
    <m/>
    <m/>
    <d v="2024-08-20T00:00:00"/>
    <s v="Uso de ESET Vulnerability &amp; Patch Management"/>
    <x v="10"/>
    <s v="Configuracion Software"/>
    <x v="2"/>
    <s v="Ciberseguridad"/>
    <m/>
    <m/>
    <s v="CANELLA, SOCIEDAD ANONIMA"/>
    <s v="INFORMATICA"/>
    <n v="4499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Uso de ESET Vulnerability &amp;amp; Patch Management&lt;/p&gt;"/>
    <s v="normal"/>
    <s v="En proceso"/>
    <s v="Uso de ESET Vulnerability &amp; Patch Management"/>
    <n v="70"/>
    <m/>
    <s v="[28131]"/>
    <m/>
    <s v="04025@general.tbd"/>
    <n v="28131"/>
    <n v="0"/>
    <n v="248"/>
    <n v="8777"/>
    <s v="Mesa Ayuda Infraestructura"/>
    <n v="0"/>
    <m/>
  </r>
  <r>
    <n v="4589"/>
    <n v="0.61666666666666603"/>
    <d v="1899-12-30T00:37:00"/>
    <s v="50-Finalizado"/>
    <d v="1899-12-31T00:00:00"/>
    <x v="290"/>
    <d v="2024-08-20T00:00:00"/>
    <d v="2024-08-20T18:32:51"/>
    <x v="141"/>
    <n v="0.62166666666666603"/>
    <d v="1899-12-30T00:37:18"/>
    <d v="2024-08-20T00:00:00"/>
    <d v="2024-08-20T18:32:51"/>
    <m/>
    <d v="1899-12-31T00:00:00"/>
    <d v="2024-08-20T19:10:09"/>
    <m/>
    <d v="1899-12-31T00:00:00"/>
    <d v="2024-08-20T20:12:32"/>
    <d v="2024-08-20T20:12:32"/>
    <m/>
    <m/>
    <d v="2024-08-20T00:00:00"/>
    <s v="/"/>
    <x v="2"/>
    <s v="Actualización de Datos"/>
    <x v="0"/>
    <s v="SAP"/>
    <s v="Recibos de Caja, Correlativos,Pagos Recibidos"/>
    <m/>
    <s v="CANELLA, SOCIEDAD ANONIMA"/>
    <s v="CREDITOS Y COBROS"/>
    <n v="4491"/>
    <n v="35"/>
    <s v="Mesa Ayuda Infraestructura"/>
    <n v="246866"/>
    <s v="NAYELI EUNICE ORTIZ LEMUS"/>
    <n v="446"/>
    <s v="CANELLA"/>
    <n v="11"/>
    <n v="5"/>
    <n v="64"/>
    <m/>
    <n v="1"/>
    <s v="CANELLA"/>
    <n v="446"/>
    <s v="Ester Daniela Lopez Cruz"/>
    <m/>
    <s v="normal"/>
    <s v="En proceso"/>
    <s v="Número de correlativo siguiente no coincide en SAP Maquipos"/>
    <n v="72"/>
    <b v="1"/>
    <s v="[28121]"/>
    <m/>
    <s v="06830@general.tbd"/>
    <n v="28121"/>
    <n v="0"/>
    <n v="446"/>
    <n v="8777"/>
    <s v="Mesa Ayuda Infraestructura"/>
    <n v="0.62166666666666603"/>
    <m/>
  </r>
  <r>
    <n v="4586"/>
    <n v="3"/>
    <d v="1899-12-30T03:00:00"/>
    <s v="50-Finalizado"/>
    <d v="1899-12-31T00:00:00"/>
    <x v="291"/>
    <d v="2024-08-20T00:00:00"/>
    <d v="2024-08-20T18:08:04"/>
    <x v="142"/>
    <n v="0"/>
    <d v="1899-12-30T00:00:00"/>
    <d v="2024-08-20T00:00:00"/>
    <d v="2024-08-20T18:08:04"/>
    <b v="1"/>
    <d v="2024-08-20T18:08:04"/>
    <d v="2024-08-20T18:08:04"/>
    <b v="1"/>
    <d v="2024-08-20T18:08:04"/>
    <d v="2024-08-20T20:33:10"/>
    <d v="2024-08-20T20:33:10"/>
    <s v="Resuelto"/>
    <s v="Configuración de AP Aruba Yamaha Petápolis"/>
    <d v="2024-08-20T00:00:00"/>
    <s v="Julio Flores_x0009_Iaas Networking / Executor Julio Flores_x0009_Iaas Networking / Executor"/>
    <x v="8"/>
    <s v="Configuracion Software"/>
    <x v="0"/>
    <s v="Redes y Comunicaciones"/>
    <m/>
    <m/>
    <s v="CANELLA, SOCIEDAD ANONIMA"/>
    <s v="CANAL DIRECTO"/>
    <n v="4488"/>
    <n v="35"/>
    <s v="Mesa Ayuda Infraestructura"/>
    <n v="247759"/>
    <s v="DAVID JOSUE FLORES SEQUEIDA"/>
    <n v="186"/>
    <s v="CANELLA"/>
    <n v="2"/>
    <n v="28"/>
    <m/>
    <m/>
    <n v="1"/>
    <s v="CANELLA"/>
    <n v="186"/>
    <s v="Carlos Carias"/>
    <s v="&lt;p&gt;Configuración de AP Aruba Yamaha Petápolis&lt;/p&gt;"/>
    <s v="normal"/>
    <s v="En proceso"/>
    <s v="Configuración de AP Aruba Yamaha Petápolis"/>
    <n v="72"/>
    <b v="1"/>
    <s v="[28091]"/>
    <n v="2"/>
    <s v="04505@general.tbd"/>
    <n v="28091"/>
    <n v="0"/>
    <n v="186"/>
    <n v="8777"/>
    <s v="Mesa Ayuda Infraestructura"/>
    <n v="0"/>
    <m/>
  </r>
  <r>
    <n v="4585"/>
    <n v="0.33333333333333298"/>
    <d v="1899-12-30T00:20:00"/>
    <s v="50-Finalizado"/>
    <d v="1899-12-31T00:00:00"/>
    <x v="292"/>
    <d v="2024-08-20T00:00:00"/>
    <d v="2024-08-20T18:07:48"/>
    <x v="143"/>
    <n v="0.37583333333333302"/>
    <d v="1899-12-30T00:22:33"/>
    <d v="2024-08-20T00:00:00"/>
    <d v="2024-08-20T18:07:48"/>
    <m/>
    <d v="1899-12-31T00:00:00"/>
    <d v="2024-08-20T18:30:21"/>
    <m/>
    <d v="1899-12-31T00:00:00"/>
    <d v="2024-08-20T20:12:33"/>
    <d v="2024-08-20T20:12:33"/>
    <m/>
    <m/>
    <d v="2024-08-20T00:00:00"/>
    <s v="Actualizar ESET AD 128.1.200.150"/>
    <x v="10"/>
    <s v="Configuracion Software"/>
    <x v="2"/>
    <s v="Ciberseguridad"/>
    <m/>
    <m/>
    <s v="CANELLA, SOCIEDAD ANONIMA"/>
    <s v="INFORMATICA"/>
    <n v="4487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Actualizar ESET AD 128.1.200.150&lt;/p&gt;"/>
    <s v="normal"/>
    <s v="En proceso"/>
    <s v="Actualizar ESET AD 128.1.200.150"/>
    <n v="72"/>
    <b v="1"/>
    <s v="[28092]"/>
    <m/>
    <s v="04025@general.tbd"/>
    <n v="28092"/>
    <n v="0"/>
    <n v="248"/>
    <n v="8777"/>
    <s v="Mesa Ayuda Infraestructura"/>
    <n v="0.37583333333333302"/>
    <m/>
  </r>
  <r>
    <n v="4556"/>
    <n v="0.33333333333333298"/>
    <d v="1899-12-30T00:20:00"/>
    <s v="50-Finalizado"/>
    <d v="1899-12-31T00:00:00"/>
    <x v="293"/>
    <d v="2024-08-20T00:00:00"/>
    <d v="2024-08-20T15:18:57"/>
    <x v="144"/>
    <n v="2.80527777777777"/>
    <d v="1899-12-30T02:48:19"/>
    <d v="2024-08-20T00:00:00"/>
    <d v="2024-08-20T15:18:57"/>
    <m/>
    <d v="1899-12-31T00:00:00"/>
    <d v="2024-08-20T18:07:16"/>
    <m/>
    <d v="1899-12-31T00:00:00"/>
    <d v="2024-08-20T20:12:39"/>
    <d v="2024-08-20T20:12:39"/>
    <s v="Resuelto"/>
    <m/>
    <d v="2024-08-20T00:00:00"/>
    <s v="encendido de servidores y pruebas"/>
    <x v="10"/>
    <s v="Funcional"/>
    <x v="0"/>
    <s v="Data Center"/>
    <m/>
    <m/>
    <s v="CORPORACION INMOBILIARIA CENTRAL SOCIEDAD ANONIMA"/>
    <s v="GERENCIA FINANCIERA - ADMINISTRATIVA"/>
    <n v="4458"/>
    <n v="35"/>
    <s v="Mesa Ayuda Infraestructura"/>
    <n v="247124"/>
    <s v="JOSE PABLO CARACUN MIRANDA"/>
    <n v="248"/>
    <s v="CANELLA"/>
    <n v="3"/>
    <n v="27"/>
    <m/>
    <m/>
    <n v="1"/>
    <s v="CANELLA"/>
    <n v="248"/>
    <s v="Juan Carlos Barillas"/>
    <s v="&lt;p&gt;falla de energía Tecnobodega , apagado de servidores&amp;nbsp;&lt;/p&gt;"/>
    <s v="normal"/>
    <s v="En proceso"/>
    <s v="falla de energía Tecnobodega"/>
    <n v="72"/>
    <b v="1"/>
    <n v="28029"/>
    <n v="2"/>
    <s v="06518@general.tbd"/>
    <n v="28090"/>
    <n v="0"/>
    <n v="248"/>
    <n v="8777"/>
    <s v="Mesa Ayuda Infraestructura"/>
    <n v="2.80527777777777"/>
    <m/>
  </r>
  <r>
    <n v="4556"/>
    <n v="0.33333333333333298"/>
    <d v="1899-12-30T00:20:00"/>
    <s v="50-Finalizado"/>
    <d v="1899-12-31T00:00:00"/>
    <x v="293"/>
    <d v="2024-08-20T00:00:00"/>
    <d v="2024-08-20T15:18:57"/>
    <x v="144"/>
    <n v="2.80527777777777"/>
    <d v="1899-12-30T02:48:19"/>
    <d v="2024-08-20T00:00:00"/>
    <d v="2024-08-20T15:18:57"/>
    <m/>
    <d v="1899-12-31T00:00:00"/>
    <d v="2024-08-20T18:07:16"/>
    <m/>
    <d v="1899-12-31T00:00:00"/>
    <d v="2024-08-20T20:12:39"/>
    <d v="2024-08-20T20:12:39"/>
    <s v="Resuelto"/>
    <m/>
    <d v="2024-08-20T00:00:00"/>
    <s v="falla de energía Tecnobodega"/>
    <x v="10"/>
    <s v="Funcional"/>
    <x v="0"/>
    <s v="Data Center"/>
    <m/>
    <m/>
    <s v="CORPORACION INMOBILIARIA CENTRAL SOCIEDAD ANONIMA"/>
    <s v="GERENCIA FINANCIERA - ADMINISTRATIVA"/>
    <n v="4458"/>
    <n v="35"/>
    <s v="Mesa Ayuda Infraestructura"/>
    <n v="247124"/>
    <s v="JOSE PABLO CARACUN MIRANDA"/>
    <n v="248"/>
    <s v="CANELLA"/>
    <n v="3"/>
    <n v="27"/>
    <m/>
    <m/>
    <n v="1"/>
    <s v="CANELLA"/>
    <n v="248"/>
    <s v="Juan Carlos Barillas"/>
    <s v="&lt;p&gt;falla de energía Tecnobodega , apagado de servidores&amp;nbsp;&lt;/p&gt;"/>
    <s v="normal"/>
    <s v="En proceso"/>
    <s v="falla de energía Tecnobodega"/>
    <n v="72"/>
    <b v="1"/>
    <n v="28029"/>
    <n v="2"/>
    <s v="06518@general.tbd"/>
    <n v="28029"/>
    <n v="0"/>
    <n v="248"/>
    <n v="8777"/>
    <s v="Mesa Ayuda Infraestructura"/>
    <n v="2.80527777777777"/>
    <m/>
  </r>
  <r>
    <n v="4555"/>
    <n v="0.6"/>
    <d v="1899-12-30T00:36:00"/>
    <s v="30-En proceso"/>
    <d v="1899-12-31T00:00:00"/>
    <x v="294"/>
    <d v="2024-08-20T00:00:00"/>
    <d v="2024-08-20T15:10:50"/>
    <x v="4"/>
    <n v="0"/>
    <d v="1899-12-30T00:00:00"/>
    <d v="2024-08-20T00:00:00"/>
    <d v="2024-08-20T15:10:50"/>
    <m/>
    <d v="1899-12-31T00:00:00"/>
    <d v="1899-12-31T00:00:00"/>
    <m/>
    <d v="1899-12-31T00:00:00"/>
    <d v="2024-08-20T20:12:39"/>
    <d v="2024-08-20T20:12:39"/>
    <m/>
    <m/>
    <d v="2024-08-20T00:00:00"/>
    <s v="Revisión de extensión sala de ventas Isuzu"/>
    <x v="8"/>
    <s v="Configuracion Hardware"/>
    <x v="2"/>
    <s v="Planta Telefonica"/>
    <m/>
    <m/>
    <s v="CANELLA, SOCIEDAD ANONIMA"/>
    <s v="SERVICIO AL CLIENTE DIVISION AUTOMOTRIZ"/>
    <n v="4457"/>
    <n v="35"/>
    <s v="Mesa Ayuda Infraestructura"/>
    <n v="247648"/>
    <s v="WALTER GABRIEL CARDOZA GIRON"/>
    <n v="186"/>
    <s v="CANELLA"/>
    <n v="1"/>
    <n v="14"/>
    <m/>
    <m/>
    <n v="1"/>
    <s v="CANELLA"/>
    <n v="186"/>
    <s v="Carlos Carias"/>
    <s v="&lt;p&gt;Revisión de extensión sala de ventas Isuzu&lt;/p&gt;"/>
    <s v="normal"/>
    <s v="En proceso"/>
    <s v="Revisión de extensión sala de ventas Isuzu"/>
    <n v="70"/>
    <m/>
    <s v="[28028]"/>
    <m/>
    <s v="05242@general.tbd"/>
    <n v="28028"/>
    <n v="0"/>
    <n v="186"/>
    <n v="8777"/>
    <s v="Mesa Ayuda Infraestructura"/>
    <n v="0"/>
    <m/>
  </r>
  <r>
    <n v="4553"/>
    <n v="0.75"/>
    <d v="1899-12-30T00:45:00"/>
    <s v="20-Asignado"/>
    <d v="1899-12-31T00:00:00"/>
    <x v="295"/>
    <d v="2024-08-20T00:00:00"/>
    <d v="2024-08-20T14:46:08"/>
    <x v="4"/>
    <n v="0"/>
    <d v="1899-12-30T00:00:00"/>
    <d v="2024-08-20T00:00:00"/>
    <d v="2024-08-20T14:46:08"/>
    <m/>
    <d v="1899-12-31T00:00:00"/>
    <d v="1899-12-31T00:00:00"/>
    <m/>
    <d v="1899-12-31T00:00:00"/>
    <d v="2024-08-20T20:12:40"/>
    <d v="2024-08-20T20:12:40"/>
    <m/>
    <m/>
    <d v="2024-08-20T00:00:00"/>
    <s v="Realizar espacio en disco H 178"/>
    <x v="10"/>
    <s v="Funcional"/>
    <x v="2"/>
    <s v="Cobian Backup"/>
    <m/>
    <m/>
    <s v="CANELLA, SOCIEDAD ANONIMA"/>
    <s v="INFORMATICA"/>
    <n v="4455"/>
    <n v="35"/>
    <s v="Mesa Ayuda Infraestructura"/>
    <n v="247813"/>
    <s v="OSCAR RAUL HERNANDEZ REYNA"/>
    <n v="248"/>
    <s v="CANELLA"/>
    <n v="3"/>
    <n v="25"/>
    <m/>
    <m/>
    <n v="1"/>
    <s v="CANELLA"/>
    <n v="248"/>
    <s v="Juan Carlos Barillas"/>
    <s v="&lt;p&gt;Bitácora Backup servidores&lt;/p&gt;"/>
    <s v="normal"/>
    <s v="En proceso"/>
    <s v="Bitácora Backup servidores"/>
    <n v="69"/>
    <m/>
    <s v="[28047, 28020, 28019]"/>
    <m/>
    <s v="04025@general.tbd"/>
    <n v="28047"/>
    <n v="0"/>
    <n v="248"/>
    <n v="8777"/>
    <s v="Mesa Ayuda Infraestructura"/>
    <n v="0"/>
    <m/>
  </r>
  <r>
    <n v="4553"/>
    <n v="0.16666666666666599"/>
    <d v="1899-12-30T00:10:00"/>
    <s v="20-Asignado"/>
    <d v="1899-12-31T00:00:00"/>
    <x v="295"/>
    <d v="2024-08-20T00:00:00"/>
    <d v="2024-08-20T14:46:08"/>
    <x v="4"/>
    <n v="0"/>
    <d v="1899-12-30T00:00:00"/>
    <d v="2024-08-20T00:00:00"/>
    <d v="2024-08-20T14:46:08"/>
    <m/>
    <d v="1899-12-31T00:00:00"/>
    <d v="1899-12-31T00:00:00"/>
    <m/>
    <d v="1899-12-31T00:00:00"/>
    <d v="2024-08-20T20:12:40"/>
    <d v="2024-08-20T20:12:40"/>
    <m/>
    <m/>
    <d v="2024-08-20T00:00:00"/>
    <s v="Actualizar Windows servidor de backups"/>
    <x v="10"/>
    <s v="Funcional"/>
    <x v="2"/>
    <s v="Cobian Backup"/>
    <m/>
    <m/>
    <s v="CANELLA, SOCIEDAD ANONIMA"/>
    <s v="INFORMATICA"/>
    <n v="4455"/>
    <n v="35"/>
    <s v="Mesa Ayuda Infraestructura"/>
    <n v="247813"/>
    <s v="OSCAR RAUL HERNANDEZ REYNA"/>
    <n v="248"/>
    <s v="CANELLA"/>
    <n v="3"/>
    <n v="25"/>
    <m/>
    <m/>
    <n v="1"/>
    <s v="CANELLA"/>
    <n v="248"/>
    <s v="Juan Carlos Barillas"/>
    <s v="&lt;p&gt;Bitácora Backup servidores&lt;/p&gt;"/>
    <s v="normal"/>
    <s v="En proceso"/>
    <s v="Bitácora Backup servidores"/>
    <n v="69"/>
    <m/>
    <s v="[28047, 28020, 28019]"/>
    <m/>
    <s v="04025@general.tbd"/>
    <n v="28020"/>
    <n v="0"/>
    <n v="248"/>
    <n v="8777"/>
    <s v="Mesa Ayuda Infraestructura"/>
    <n v="0"/>
    <m/>
  </r>
  <r>
    <n v="4553"/>
    <n v="0.66666666666666596"/>
    <d v="1899-12-30T00:40:00"/>
    <s v="20-Asignado"/>
    <d v="1899-12-31T00:00:00"/>
    <x v="295"/>
    <d v="2024-08-20T00:00:00"/>
    <d v="2024-08-20T14:46:08"/>
    <x v="4"/>
    <n v="0"/>
    <d v="1899-12-30T00:00:00"/>
    <d v="2024-08-20T00:00:00"/>
    <d v="2024-08-20T14:46:08"/>
    <m/>
    <d v="1899-12-31T00:00:00"/>
    <d v="1899-12-31T00:00:00"/>
    <m/>
    <d v="1899-12-31T00:00:00"/>
    <d v="2024-08-20T20:12:40"/>
    <d v="2024-08-20T20:12:40"/>
    <m/>
    <m/>
    <d v="2024-08-20T00:00:00"/>
    <s v="Bitácora Backup servidores"/>
    <x v="10"/>
    <s v="Funcional"/>
    <x v="2"/>
    <s v="Cobian Backup"/>
    <m/>
    <m/>
    <s v="CANELLA, SOCIEDAD ANONIMA"/>
    <s v="INFORMATICA"/>
    <n v="4455"/>
    <n v="35"/>
    <s v="Mesa Ayuda Infraestructura"/>
    <n v="247813"/>
    <s v="OSCAR RAUL HERNANDEZ REYNA"/>
    <n v="248"/>
    <s v="CANELLA"/>
    <n v="3"/>
    <n v="25"/>
    <m/>
    <m/>
    <n v="1"/>
    <s v="CANELLA"/>
    <n v="248"/>
    <s v="Juan Carlos Barillas"/>
    <s v="&lt;p&gt;Bitácora Backup servidores&lt;/p&gt;"/>
    <s v="normal"/>
    <s v="En proceso"/>
    <s v="Bitácora Backup servidores"/>
    <n v="69"/>
    <m/>
    <s v="[28047, 28020, 28019]"/>
    <m/>
    <s v="04025@general.tbd"/>
    <n v="28019"/>
    <n v="0"/>
    <n v="248"/>
    <n v="8777"/>
    <s v="Mesa Ayuda Infraestructura"/>
    <n v="0"/>
    <m/>
  </r>
  <r>
    <n v="4552"/>
    <n v="0.16666666666666599"/>
    <d v="1899-12-30T00:10:00"/>
    <s v="50-Finalizado"/>
    <d v="1899-12-31T00:00:00"/>
    <x v="296"/>
    <d v="2024-08-20T00:00:00"/>
    <d v="2024-08-20T14:45:01"/>
    <x v="145"/>
    <n v="1.58805555555555"/>
    <d v="1899-12-30T01:35:17"/>
    <d v="2024-08-20T00:00:00"/>
    <d v="2024-08-20T14:45:01"/>
    <m/>
    <d v="1899-12-31T00:00:00"/>
    <d v="2024-08-20T16:20:18"/>
    <m/>
    <d v="1899-12-31T00:00:00"/>
    <d v="2024-08-20T20:12:40"/>
    <d v="2024-08-20T20:12:40"/>
    <s v="Resuelto"/>
    <m/>
    <d v="2024-08-20T00:00:00"/>
    <s v="Revisión data center"/>
    <x v="10"/>
    <s v="Funcional"/>
    <x v="2"/>
    <s v="Data Center"/>
    <m/>
    <m/>
    <s v="CANELLA, SOCIEDAD ANONIMA"/>
    <s v="INFORMATICA"/>
    <n v="4454"/>
    <n v="35"/>
    <s v="Mesa Ayuda Infraestructura"/>
    <n v="247813"/>
    <s v="OSCAR RAUL HERNANDEZ REYNA"/>
    <n v="248"/>
    <s v="CANELLA"/>
    <n v="3"/>
    <n v="27"/>
    <m/>
    <m/>
    <n v="1"/>
    <s v="CANELLA"/>
    <n v="248"/>
    <s v="Juan Carlos Barillas"/>
    <s v="&lt;p&gt;Revisión data center&lt;/p&gt;"/>
    <s v="normal"/>
    <s v="En proceso"/>
    <s v="Revisión data center"/>
    <n v="72"/>
    <b v="1"/>
    <s v="[28018]"/>
    <n v="2"/>
    <s v="04025@general.tbd"/>
    <n v="28018"/>
    <n v="0"/>
    <n v="248"/>
    <n v="8777"/>
    <s v="Mesa Ayuda Infraestructura"/>
    <n v="1.58805555555555"/>
    <m/>
  </r>
  <r>
    <n v="4543"/>
    <n v="0.5"/>
    <d v="1899-12-30T00:30:00"/>
    <s v="50-Finalizado"/>
    <d v="1899-12-31T00:00:00"/>
    <x v="297"/>
    <d v="2024-08-19T00:00:00"/>
    <d v="2024-08-20T00:12:15"/>
    <x v="146"/>
    <n v="5.2777777777777701E-3"/>
    <d v="1899-12-30T00:00:19"/>
    <d v="2024-08-20T00:00:00"/>
    <d v="2024-08-20T00:12:15"/>
    <m/>
    <d v="1899-12-31T00:00:00"/>
    <d v="2024-08-20T00:12:34"/>
    <m/>
    <d v="1899-12-31T00:00:00"/>
    <d v="2024-08-20T19:15:38"/>
    <d v="2024-08-20T19:15:38"/>
    <m/>
    <m/>
    <d v="2024-08-19T00:00:00"/>
    <s v="Revisión de servidores en Data Center"/>
    <x v="8"/>
    <s v="Configuracion Hardware"/>
    <x v="2"/>
    <s v="Redes y Comunicaciones"/>
    <m/>
    <m/>
    <s v="CANELLA, SOCIEDAD ANONIMA"/>
    <s v="INFORMATICA"/>
    <n v="4445"/>
    <n v="35"/>
    <s v="Mesa Ayuda Infraestructura"/>
    <n v="247813"/>
    <s v="OSCAR RAUL HERNANDEZ REYNA"/>
    <n v="186"/>
    <s v="CANELLA"/>
    <n v="1"/>
    <n v="28"/>
    <m/>
    <m/>
    <n v="1"/>
    <s v="CANELLA"/>
    <n v="186"/>
    <s v="Carlos Carias"/>
    <s v="&lt;p&gt;Revisión de servidores en Data Center&lt;/p&gt;"/>
    <s v="normal"/>
    <s v="En proceso"/>
    <s v="Revisión de servidores en Data Center"/>
    <n v="72"/>
    <b v="1"/>
    <s v="[27961]"/>
    <m/>
    <s v="04025@general.tbd"/>
    <n v="27961"/>
    <n v="0"/>
    <n v="186"/>
    <n v="8777"/>
    <s v="Mesa Ayuda Infraestructura"/>
    <n v="5.2777777777777701E-3"/>
    <m/>
  </r>
  <r>
    <n v="4530"/>
    <n v="0.38333333333333303"/>
    <d v="1899-12-30T00:23:00"/>
    <s v="50-Finalizado"/>
    <d v="1899-12-31T00:00:00"/>
    <x v="298"/>
    <d v="2024-08-19T00:00:00"/>
    <d v="2024-08-19T22:15:42"/>
    <x v="147"/>
    <n v="0.33777777777777701"/>
    <d v="1899-12-30T00:20:16"/>
    <d v="2024-08-19T00:00:00"/>
    <d v="2024-08-19T22:15:42"/>
    <m/>
    <d v="1899-12-31T00:00:00"/>
    <d v="2024-08-19T22:35:58"/>
    <m/>
    <d v="1899-12-31T00:00:00"/>
    <d v="2024-08-20T19:15:38"/>
    <d v="2024-08-20T19:15:38"/>
    <m/>
    <m/>
    <d v="2024-08-19T00:00:00"/>
    <s v="/"/>
    <x v="2"/>
    <s v="Actualización de Datos"/>
    <x v="1"/>
    <s v="STOD"/>
    <s v="Recibos de Caja"/>
    <m/>
    <m/>
    <m/>
    <n v="4432"/>
    <n v="35"/>
    <s v="Mesa Ayuda Infraestructura"/>
    <n v="254952"/>
    <s v="ENMA ROCIO FIGUEROA SHITUMUL"/>
    <n v="446"/>
    <s v="CANELLA"/>
    <n v="11"/>
    <n v="8"/>
    <n v="84"/>
    <m/>
    <n v="1"/>
    <s v="CANELLA"/>
    <n v="446"/>
    <s v="Ester Daniela Lopez Cruz"/>
    <m/>
    <s v="normal"/>
    <s v="En proceso"/>
    <s v="Asignación de correlativo en recibos de caja"/>
    <n v="72"/>
    <b v="1"/>
    <s v="[27894]"/>
    <m/>
    <s v="No Extension.  partner_id: 254952 -- user_id res.users(2851,)"/>
    <n v="27894"/>
    <n v="0"/>
    <n v="446"/>
    <n v="8777"/>
    <s v="Mesa Ayuda Infraestructura"/>
    <n v="0.33777777777777701"/>
    <m/>
  </r>
  <r>
    <n v="4529"/>
    <n v="2"/>
    <d v="1899-12-30T02:00:00"/>
    <s v="20-Asignado"/>
    <d v="1899-12-31T00:00:00"/>
    <x v="299"/>
    <d v="2024-08-19T00:00:00"/>
    <d v="2024-08-19T22:05:23"/>
    <x v="4"/>
    <n v="0"/>
    <d v="1899-12-30T00:00:00"/>
    <d v="2024-08-19T00:00:00"/>
    <d v="2024-08-19T22:05:23"/>
    <m/>
    <d v="1899-12-31T00:00:00"/>
    <d v="1899-12-31T00:00:00"/>
    <m/>
    <d v="1899-12-31T00:00:00"/>
    <d v="2024-08-20T19:15:38"/>
    <d v="2024-08-20T19:15:38"/>
    <m/>
    <m/>
    <d v="2024-08-20T00:00:00"/>
    <s v="Mitigación vulnerabilidades 1281.200.110/128.1.200.147/128.1.200.94"/>
    <x v="10"/>
    <s v="Configuracion Software"/>
    <x v="2"/>
    <s v="Ciberseguridad"/>
    <m/>
    <m/>
    <s v="CANELLA, SOCIEDAD ANONIMA"/>
    <s v="INFORMATICA"/>
    <n v="4431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unión mitigación vulnerabilidades bajas&lt;/p&gt;"/>
    <s v="normal"/>
    <s v="En proceso"/>
    <s v="Reunión mitigación vulnerabilidades bajas"/>
    <n v="69"/>
    <m/>
    <s v="[28089, 27906, 27895, 27892]"/>
    <m/>
    <s v="04025@general.tbd"/>
    <n v="28089"/>
    <n v="0"/>
    <n v="248"/>
    <n v="8777"/>
    <s v="Mesa Ayuda Infraestructura"/>
    <n v="0"/>
    <m/>
  </r>
  <r>
    <n v="4529"/>
    <n v="0.75"/>
    <d v="1899-12-30T00:45:00"/>
    <s v="20-Asignado"/>
    <d v="1899-12-31T00:00:00"/>
    <x v="299"/>
    <d v="2024-08-19T00:00:00"/>
    <d v="2024-08-19T22:05:23"/>
    <x v="4"/>
    <n v="0"/>
    <d v="1899-12-30T00:00:00"/>
    <d v="2024-08-19T00:00:00"/>
    <d v="2024-08-19T22:05:23"/>
    <m/>
    <d v="1899-12-31T00:00:00"/>
    <d v="1899-12-31T00:00:00"/>
    <m/>
    <d v="1899-12-31T00:00:00"/>
    <d v="2024-08-20T19:15:38"/>
    <d v="2024-08-20T19:15:38"/>
    <m/>
    <m/>
    <d v="2024-08-19T00:00:00"/>
    <s v="Snapshot de 3 equipos para trabajar martes 20"/>
    <x v="10"/>
    <s v="Configuracion Software"/>
    <x v="2"/>
    <s v="Ciberseguridad"/>
    <m/>
    <m/>
    <s v="CANELLA, SOCIEDAD ANONIMA"/>
    <s v="INFORMATICA"/>
    <n v="4431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unión mitigación vulnerabilidades bajas&lt;/p&gt;"/>
    <s v="normal"/>
    <s v="En proceso"/>
    <s v="Reunión mitigación vulnerabilidades bajas"/>
    <n v="69"/>
    <m/>
    <s v="[28089, 27906, 27895, 27892]"/>
    <m/>
    <s v="04025@general.tbd"/>
    <n v="27906"/>
    <n v="0"/>
    <n v="248"/>
    <n v="8777"/>
    <s v="Mesa Ayuda Infraestructura"/>
    <n v="0"/>
    <m/>
  </r>
  <r>
    <n v="4529"/>
    <n v="0"/>
    <d v="1899-12-30T00:00:00"/>
    <s v="20-Asignado"/>
    <d v="1899-12-31T00:00:00"/>
    <x v="299"/>
    <d v="2024-08-19T00:00:00"/>
    <d v="2024-08-19T22:05:23"/>
    <x v="4"/>
    <n v="0"/>
    <d v="1899-12-30T00:00:00"/>
    <d v="2024-08-19T00:00:00"/>
    <d v="2024-08-19T22:05:23"/>
    <m/>
    <d v="1899-12-31T00:00:00"/>
    <d v="1899-12-31T00:00:00"/>
    <m/>
    <d v="1899-12-31T00:00:00"/>
    <d v="2024-08-20T19:15:38"/>
    <d v="2024-08-20T19:15:38"/>
    <m/>
    <m/>
    <d v="2024-08-19T00:00:00"/>
    <s v="/"/>
    <x v="10"/>
    <s v="Configuracion Software"/>
    <x v="2"/>
    <s v="Ciberseguridad"/>
    <m/>
    <m/>
    <s v="CANELLA, SOCIEDAD ANONIMA"/>
    <s v="INFORMATICA"/>
    <n v="4431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unión mitigación vulnerabilidades bajas&lt;/p&gt;"/>
    <s v="normal"/>
    <s v="En proceso"/>
    <s v="Reunión mitigación vulnerabilidades bajas"/>
    <n v="69"/>
    <m/>
    <s v="[28089, 27906, 27895, 27892]"/>
    <m/>
    <s v="04025@general.tbd"/>
    <n v="27895"/>
    <n v="0"/>
    <n v="248"/>
    <n v="8777"/>
    <s v="Mesa Ayuda Infraestructura"/>
    <n v="0"/>
    <m/>
  </r>
  <r>
    <n v="4529"/>
    <n v="2"/>
    <d v="1899-12-30T02:00:00"/>
    <s v="20-Asignado"/>
    <d v="1899-12-31T00:00:00"/>
    <x v="299"/>
    <d v="2024-08-19T00:00:00"/>
    <d v="2024-08-19T22:05:23"/>
    <x v="4"/>
    <n v="0"/>
    <d v="1899-12-30T00:00:00"/>
    <d v="2024-08-19T00:00:00"/>
    <d v="2024-08-19T22:05:23"/>
    <m/>
    <d v="1899-12-31T00:00:00"/>
    <d v="1899-12-31T00:00:00"/>
    <m/>
    <d v="1899-12-31T00:00:00"/>
    <d v="2024-08-20T19:15:38"/>
    <d v="2024-08-20T19:15:38"/>
    <m/>
    <m/>
    <d v="2024-08-19T00:00:00"/>
    <s v="Reunión mitigación vulnerabilidades bajas, validar servidores fuera de servicio"/>
    <x v="10"/>
    <s v="Configuracion Software"/>
    <x v="2"/>
    <s v="Ciberseguridad"/>
    <m/>
    <m/>
    <s v="CANELLA, SOCIEDAD ANONIMA"/>
    <s v="INFORMATICA"/>
    <n v="4431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unión mitigación vulnerabilidades bajas&lt;/p&gt;"/>
    <s v="normal"/>
    <s v="En proceso"/>
    <s v="Reunión mitigación vulnerabilidades bajas"/>
    <n v="69"/>
    <m/>
    <s v="[28089, 27906, 27895, 27892]"/>
    <m/>
    <s v="04025@general.tbd"/>
    <n v="27892"/>
    <n v="0"/>
    <n v="248"/>
    <n v="8777"/>
    <s v="Mesa Ayuda Infraestructura"/>
    <n v="0"/>
    <m/>
  </r>
  <r>
    <n v="4527"/>
    <n v="1.75"/>
    <d v="1899-12-30T01:45:00"/>
    <s v="50-Finalizado"/>
    <d v="1899-12-31T00:00:00"/>
    <x v="300"/>
    <d v="2024-08-19T00:00:00"/>
    <d v="2024-08-19T21:59:39"/>
    <x v="4"/>
    <n v="0"/>
    <d v="1899-12-30T00:00:00"/>
    <d v="2024-08-19T00:00:00"/>
    <d v="2024-08-19T21:59:39"/>
    <m/>
    <d v="1899-12-31T00:00:00"/>
    <d v="1899-12-31T00:00:00"/>
    <m/>
    <d v="1899-12-31T00:00:00"/>
    <d v="2024-08-20T19:15:38"/>
    <d v="2024-08-20T19:15:38"/>
    <m/>
    <m/>
    <d v="2024-08-19T00:00:00"/>
    <s v="Reunión para configuración de access point Aruba"/>
    <x v="8"/>
    <s v="Configuracion Software"/>
    <x v="2"/>
    <s v="Redes y Comunicaciones"/>
    <m/>
    <m/>
    <s v="CANELLA, SOCIEDAD ANONIMA"/>
    <s v="ISUZU"/>
    <n v="4429"/>
    <n v="35"/>
    <s v="Mesa Ayuda Infraestructura"/>
    <n v="247374"/>
    <s v="LUIS PEDRO LOPEZ RODAS"/>
    <n v="186"/>
    <s v="CANELLA"/>
    <n v="2"/>
    <n v="28"/>
    <m/>
    <m/>
    <n v="1"/>
    <s v="CANELLA"/>
    <n v="186"/>
    <s v="Carlos Carias"/>
    <s v="&lt;p&gt;Reunión para configuración de access point Aruba&lt;/p&gt;"/>
    <s v="normal"/>
    <s v="En proceso"/>
    <s v="Reunión para configuración de access point Aruba"/>
    <n v="72"/>
    <b v="1"/>
    <s v="[27885]"/>
    <m/>
    <s v="06070@general.tbd"/>
    <n v="27885"/>
    <n v="0"/>
    <n v="186"/>
    <n v="8777"/>
    <s v="Mesa Ayuda Infraestructura"/>
    <n v="0"/>
    <m/>
  </r>
  <r>
    <n v="4523"/>
    <n v="1"/>
    <d v="1899-12-30T01:00:00"/>
    <s v="50-Finalizado"/>
    <d v="1899-12-31T00:00:00"/>
    <x v="301"/>
    <d v="2024-08-19T00:00:00"/>
    <d v="2024-08-19T21:26:47"/>
    <x v="148"/>
    <n v="5.5555555555555497E-3"/>
    <d v="1899-12-30T00:00:20"/>
    <d v="2024-08-19T00:00:00"/>
    <d v="2024-08-19T21:26:47"/>
    <m/>
    <d v="1899-12-31T00:00:00"/>
    <d v="2024-08-19T21:27:07"/>
    <m/>
    <d v="1899-12-31T00:00:00"/>
    <d v="2024-08-20T19:15:38"/>
    <d v="2024-08-20T19:15:38"/>
    <m/>
    <m/>
    <d v="2024-08-19T00:00:00"/>
    <s v="Reunión con PRTG para agregar Kentix en las alarmas y realizar pruebas"/>
    <x v="8"/>
    <s v="Configuracion Software"/>
    <x v="2"/>
    <s v="Redes y Comunicaciones"/>
    <m/>
    <m/>
    <s v="CANELLA, SOCIEDAD ANONIMA"/>
    <s v="YAMAHA LIBERACION"/>
    <n v="4425"/>
    <n v="35"/>
    <s v="Mesa Ayuda Infraestructura"/>
    <n v="247678"/>
    <s v="NANYBANY RUBEN ARANA NUÑEZ"/>
    <n v="186"/>
    <s v="CANELLA"/>
    <n v="2"/>
    <n v="28"/>
    <m/>
    <m/>
    <n v="1"/>
    <s v="CANELLA"/>
    <n v="186"/>
    <s v="Carlos Carias"/>
    <s v="&lt;p&gt;Reunión con PRTG para agregar Kentix en las alarmas&lt;/p&gt;"/>
    <s v="normal"/>
    <s v="En proceso"/>
    <s v="Reunión con PRTG para agregar Kentix en las alarmas"/>
    <n v="72"/>
    <b v="1"/>
    <s v="[27879]"/>
    <m/>
    <s v="05030@general.tbd"/>
    <n v="27879"/>
    <n v="0"/>
    <n v="186"/>
    <n v="8777"/>
    <s v="Mesa Ayuda Infraestructura"/>
    <n v="5.5555555555555497E-3"/>
    <m/>
  </r>
  <r>
    <n v="4509"/>
    <n v="1"/>
    <d v="1899-12-30T01:00:00"/>
    <s v="50-Finalizado"/>
    <d v="1899-12-31T00:00:00"/>
    <x v="302"/>
    <d v="2024-08-19T00:00:00"/>
    <d v="2024-08-19T18:34:04"/>
    <x v="149"/>
    <n v="1.52722222222222"/>
    <d v="1899-12-30T01:31:38"/>
    <d v="2024-08-19T00:00:00"/>
    <d v="2024-08-19T18:34:04"/>
    <m/>
    <d v="1899-12-31T00:00:00"/>
    <d v="2024-08-19T20:05:42"/>
    <m/>
    <d v="1899-12-31T00:00:00"/>
    <d v="2024-08-20T19:15:38"/>
    <d v="2024-08-20T19:15:38"/>
    <m/>
    <m/>
    <d v="2024-08-19T00:00:00"/>
    <s v="Encendido de servidores Tecnobodega"/>
    <x v="10"/>
    <s v="Configuracion Hardware"/>
    <x v="0"/>
    <s v="Redes y Comunicaciones"/>
    <s v="Telefonia / Datos"/>
    <m/>
    <s v="CORPORACION INMOBILIARIA CENTRAL SOCIEDAD ANONIMA"/>
    <s v="GERENCIA FINANCIERA - ADMINISTRATIVA"/>
    <n v="4411"/>
    <n v="35"/>
    <s v="Mesa Ayuda Infraestructura"/>
    <n v="247124"/>
    <s v="JOSE PABLO CARACUN MIRANDA"/>
    <n v="248"/>
    <s v="CANELLA"/>
    <n v="1"/>
    <n v="28"/>
    <n v="25"/>
    <m/>
    <n v="1"/>
    <s v="CANELLA"/>
    <n v="248"/>
    <s v="Juan Carlos Barillas"/>
    <s v="&lt;p&gt;Encendido de servidores Tecnobodega&lt;/p&gt;"/>
    <s v="normal"/>
    <s v="En proceso"/>
    <s v="Encendido de servidores Tecnobodega"/>
    <n v="72"/>
    <b v="1"/>
    <s v="[27858]"/>
    <m/>
    <s v="06518@general.tbd"/>
    <n v="27858"/>
    <n v="0"/>
    <n v="248"/>
    <n v="8777"/>
    <s v="Mesa Ayuda Infraestructura"/>
    <n v="1.52722222222222"/>
    <m/>
  </r>
  <r>
    <n v="4508"/>
    <n v="0.233333333333333"/>
    <d v="1899-12-30T00:14:00"/>
    <s v="50-Finalizado"/>
    <d v="1899-12-31T00:00:00"/>
    <x v="303"/>
    <d v="2024-08-19T00:00:00"/>
    <d v="2024-08-19T18:25:15"/>
    <x v="150"/>
    <n v="1.16666666666666E-2"/>
    <d v="1899-12-30T00:00:42"/>
    <d v="2024-08-19T00:00:00"/>
    <d v="2024-08-19T18:25:15"/>
    <m/>
    <d v="1899-12-31T00:00:00"/>
    <d v="2024-08-19T18:25:57"/>
    <m/>
    <d v="1899-12-31T00:00:00"/>
    <d v="2024-08-20T19:15:38"/>
    <d v="2024-08-20T19:15:38"/>
    <m/>
    <m/>
    <d v="2024-08-19T00:00:00"/>
    <s v="Capacitación de activación y desactivación de Proxy y realizar pruebas"/>
    <x v="8"/>
    <s v="Configuracion Software"/>
    <x v="2"/>
    <s v="Redes y Comunicaciones"/>
    <m/>
    <m/>
    <s v="CANELLA, SOCIEDAD ANONIMA"/>
    <s v="CONTABILIDAD, CANELLA, S. A."/>
    <n v="4410"/>
    <n v="35"/>
    <s v="Mesa Ayuda Infraestructura"/>
    <n v="247002"/>
    <s v="AMI PAOLA YOC LOPEZ"/>
    <n v="186"/>
    <s v="CANELLA"/>
    <n v="2"/>
    <n v="28"/>
    <m/>
    <m/>
    <n v="1"/>
    <s v="CANELLA"/>
    <n v="186"/>
    <s v="Carlos Carias"/>
    <s v="&lt;p&gt;Capacitación de activación y desactivación de Proxy y realizar pruebas&amp;nbsp;&lt;/p&gt;"/>
    <s v="normal"/>
    <s v="En proceso"/>
    <s v="Capacitación de activación y desactivación de Proxy"/>
    <n v="72"/>
    <b v="1"/>
    <s v="[27853]"/>
    <m/>
    <s v="06678@general.tbd"/>
    <n v="27853"/>
    <n v="0"/>
    <n v="186"/>
    <n v="8777"/>
    <s v="Mesa Ayuda Infraestructura"/>
    <n v="1.16666666666666E-2"/>
    <m/>
  </r>
  <r>
    <n v="4475"/>
    <n v="1"/>
    <d v="1899-12-30T01:00:00"/>
    <s v="30-En proceso"/>
    <d v="1899-12-31T00:00:00"/>
    <x v="304"/>
    <d v="2024-08-19T00:00:00"/>
    <d v="2024-08-19T16:47:03"/>
    <x v="4"/>
    <n v="0"/>
    <d v="1899-12-30T00:00:00"/>
    <d v="2024-08-19T00:00:00"/>
    <d v="2024-08-19T16:47:03"/>
    <m/>
    <d v="1899-12-31T00:00:00"/>
    <d v="1899-12-31T00:00:00"/>
    <m/>
    <d v="1899-12-31T00:00:00"/>
    <d v="2024-08-20T19:15:38"/>
    <d v="2024-08-20T19:15:38"/>
    <m/>
    <m/>
    <d v="2024-08-19T00:00:00"/>
    <s v="Llamar a extensiones para ver si hay alguna disponible"/>
    <x v="8"/>
    <s v="Configuracion Software"/>
    <x v="2"/>
    <s v="Planta Telefonica"/>
    <m/>
    <m/>
    <s v="No Partner"/>
    <s v="No Partner"/>
    <n v="4377"/>
    <n v="35"/>
    <s v="Mesa Ayuda Infraestructura"/>
    <m/>
    <m/>
    <n v="186"/>
    <s v="CANELLA"/>
    <n v="2"/>
    <n v="14"/>
    <m/>
    <m/>
    <n v="1"/>
    <s v="CANELLA"/>
    <n v="186"/>
    <s v="Carlos Carias"/>
    <s v="&lt;p&gt;Verificar nueva extensión para Taller Periferico &lt;/p&gt;"/>
    <s v="normal"/>
    <s v="En proceso"/>
    <s v="Verificar nueva extensión para Taller Periferico"/>
    <n v="70"/>
    <m/>
    <n v="27769"/>
    <m/>
    <s v="No Partner"/>
    <n v="27884"/>
    <n v="0"/>
    <n v="186"/>
    <n v="8777"/>
    <s v="Mesa Ayuda Infraestructura"/>
    <n v="0"/>
    <m/>
  </r>
  <r>
    <n v="4475"/>
    <n v="2.3333333333333299"/>
    <d v="1899-12-30T02:20:00"/>
    <s v="30-En proceso"/>
    <d v="1899-12-31T00:00:00"/>
    <x v="304"/>
    <d v="2024-08-19T00:00:00"/>
    <d v="2024-08-19T16:47:03"/>
    <x v="4"/>
    <n v="0"/>
    <d v="1899-12-30T00:00:00"/>
    <d v="2024-08-19T00:00:00"/>
    <d v="2024-08-19T16:47:03"/>
    <m/>
    <d v="1899-12-31T00:00:00"/>
    <d v="1899-12-31T00:00:00"/>
    <m/>
    <d v="1899-12-31T00:00:00"/>
    <d v="2024-08-20T19:15:38"/>
    <d v="2024-08-20T19:15:38"/>
    <m/>
    <m/>
    <d v="2024-08-19T00:00:00"/>
    <s v="Verificar nueva extensión en la planta de Taller Periferico"/>
    <x v="8"/>
    <s v="Configuracion Software"/>
    <x v="2"/>
    <s v="Planta Telefonica"/>
    <m/>
    <m/>
    <s v="No Partner"/>
    <s v="No Partner"/>
    <n v="4377"/>
    <n v="35"/>
    <s v="Mesa Ayuda Infraestructura"/>
    <m/>
    <m/>
    <n v="186"/>
    <s v="CANELLA"/>
    <n v="2"/>
    <n v="14"/>
    <m/>
    <m/>
    <n v="1"/>
    <s v="CANELLA"/>
    <n v="186"/>
    <s v="Carlos Carias"/>
    <s v="&lt;p&gt;Verificar nueva extensión para Taller Periferico &lt;/p&gt;"/>
    <s v="normal"/>
    <s v="En proceso"/>
    <s v="Verificar nueva extensión para Taller Periferico"/>
    <n v="70"/>
    <m/>
    <n v="27769"/>
    <m/>
    <s v="No Partner"/>
    <n v="27769"/>
    <n v="0"/>
    <n v="186"/>
    <n v="8777"/>
    <s v="Mesa Ayuda Infraestructura"/>
    <n v="0"/>
    <m/>
  </r>
  <r>
    <n v="4470"/>
    <n v="0.46666666666666601"/>
    <d v="1899-12-30T00:28:00"/>
    <s v="50-Finalizado"/>
    <d v="1899-12-31T00:00:00"/>
    <x v="305"/>
    <d v="2024-08-19T00:00:00"/>
    <d v="2024-08-19T16:29:33"/>
    <x v="151"/>
    <n v="4.7222222222222197E-3"/>
    <d v="1899-12-30T00:00:17"/>
    <d v="2024-08-19T00:00:00"/>
    <d v="2024-08-19T16:29:33"/>
    <m/>
    <d v="1899-12-31T00:00:00"/>
    <d v="2024-08-19T16:29:50"/>
    <m/>
    <d v="1899-12-31T00:00:00"/>
    <d v="2024-08-20T19:15:38"/>
    <d v="2024-08-20T19:15:38"/>
    <m/>
    <m/>
    <d v="2024-08-19T00:00:00"/>
    <s v="Verificar inconvenientes con impresión doble cara y realizar pruebas"/>
    <x v="8"/>
    <s v="Configuracion Software"/>
    <x v="2"/>
    <s v="Redes y Comunicaciones"/>
    <m/>
    <m/>
    <s v="CANELLA, SOCIEDAD ANONIMA"/>
    <s v="DEPARTAMENTO LEGAL"/>
    <n v="4372"/>
    <n v="35"/>
    <s v="Mesa Ayuda Infraestructura"/>
    <n v="247899"/>
    <s v="RAUL ARTURO ALARCON-MONSANTO SOLOGAISTOA"/>
    <n v="186"/>
    <s v="CANELLA"/>
    <n v="2"/>
    <n v="28"/>
    <m/>
    <m/>
    <n v="1"/>
    <s v="CANELLA"/>
    <n v="186"/>
    <s v="Carlos Carias"/>
    <s v="&lt;p&gt;Verificar inconvenientes con impresión doble cara y realizar pruebas&amp;nbsp;&lt;/p&gt;"/>
    <s v="normal"/>
    <s v="En proceso"/>
    <s v="Verificar inconvenientes con impresión doble cara"/>
    <n v="72"/>
    <b v="1"/>
    <s v="[27753]"/>
    <m/>
    <s v="00676@general.tbd"/>
    <n v="27753"/>
    <n v="0"/>
    <n v="186"/>
    <n v="8777"/>
    <s v="Mesa Ayuda Infraestructura"/>
    <n v="4.7222222222222197E-3"/>
    <m/>
  </r>
  <r>
    <n v="4464"/>
    <n v="8.3333333333333301E-2"/>
    <d v="1899-12-30T00:05:00"/>
    <s v="50-Finalizado"/>
    <d v="1899-12-31T00:00:00"/>
    <x v="306"/>
    <d v="2024-08-19T00:00:00"/>
    <d v="2024-08-19T16:13:08"/>
    <x v="152"/>
    <n v="0.57861111111111097"/>
    <d v="1899-12-30T00:34:43"/>
    <d v="2024-08-19T00:00:00"/>
    <d v="2024-08-19T16:13:08"/>
    <m/>
    <d v="1899-12-31T00:00:00"/>
    <d v="2024-08-19T16:47:51"/>
    <m/>
    <d v="1899-12-31T00:00:00"/>
    <d v="2024-08-20T19:15:38"/>
    <d v="2024-08-20T19:15:38"/>
    <s v="Resuelto"/>
    <s v="Se procede a verificar los accesos a SAP y si contaba con usuario."/>
    <d v="2024-08-19T00:00:00"/>
    <s v="Se procede a verificar los accesos a SAP y si contaba con usuario."/>
    <x v="3"/>
    <s v="Ajuste al Sistema"/>
    <x v="0"/>
    <s v="SAP"/>
    <s v="Actualización de Datos"/>
    <m/>
    <s v="CANELLA, SOCIEDAD ANONIMA"/>
    <s v="AUDITORIA INTERNA"/>
    <n v="4366"/>
    <n v="35"/>
    <s v="Mesa Ayuda Infraestructura"/>
    <n v="246809"/>
    <s v="STEFANIE JELIAN XICAY GUILLEN"/>
    <n v="299"/>
    <s v="CANELLA"/>
    <n v="10"/>
    <n v="5"/>
    <n v="14"/>
    <m/>
    <n v="1"/>
    <s v="CANELLA"/>
    <n v="299"/>
    <s v="Rosario Lic"/>
    <s v="&lt;p&gt;Se procede a verificar los accesos a SAP y si contaba con usuario.&lt;/p&gt;"/>
    <s v="normal"/>
    <s v="En proceso"/>
    <s v="Verificación de accesos a SAP"/>
    <n v="72"/>
    <b v="1"/>
    <s v="[27768]"/>
    <n v="2"/>
    <s v="06893@general.tbd"/>
    <n v="27768"/>
    <n v="0"/>
    <n v="299"/>
    <n v="8777"/>
    <s v="Mesa Ayuda Infraestructura"/>
    <n v="0.57861111111111097"/>
    <m/>
  </r>
  <r>
    <n v="4454"/>
    <n v="0.66666666666666596"/>
    <d v="1899-12-30T00:40:00"/>
    <s v="50-Finalizado"/>
    <d v="1899-12-31T00:00:00"/>
    <x v="307"/>
    <d v="2024-08-19T00:00:00"/>
    <d v="2024-08-19T15:47:15"/>
    <x v="153"/>
    <n v="7.3036111111111097"/>
    <d v="1899-12-30T07:18:13"/>
    <d v="2024-08-19T00:00:00"/>
    <d v="2024-08-19T15:47:15"/>
    <m/>
    <d v="1899-12-31T00:00:00"/>
    <d v="2024-08-19T23:05:28"/>
    <m/>
    <d v="1899-12-31T00:00:00"/>
    <d v="2024-08-20T19:15:38"/>
    <d v="2024-08-20T19:15:38"/>
    <s v="Resuelto"/>
    <m/>
    <d v="2024-08-19T00:00:00"/>
    <s v="Revisión espacio en disco servidores origen"/>
    <x v="10"/>
    <s v="Funcional"/>
    <x v="2"/>
    <s v="Cobian Backup"/>
    <m/>
    <m/>
    <s v="CANELLA, SOCIEDAD ANONIMA"/>
    <s v="INFORMATICA"/>
    <n v="4356"/>
    <n v="35"/>
    <s v="Mesa Ayuda Infraestructura"/>
    <n v="247813"/>
    <s v="OSCAR RAUL HERNANDEZ REYNA"/>
    <n v="248"/>
    <s v="CANELLA"/>
    <n v="3"/>
    <n v="25"/>
    <m/>
    <m/>
    <n v="1"/>
    <s v="CANELLA"/>
    <n v="248"/>
    <s v="Juan Carlos Barillas"/>
    <s v="&lt;p&gt;Revisión Backup servidores&lt;/p&gt;"/>
    <s v="normal"/>
    <s v="En proceso"/>
    <s v="Revisión Backup servidores"/>
    <n v="72"/>
    <b v="1"/>
    <n v="27734"/>
    <n v="2"/>
    <s v="04025@general.tbd"/>
    <n v="27850"/>
    <n v="0"/>
    <n v="248"/>
    <n v="8777"/>
    <s v="Mesa Ayuda Infraestructura"/>
    <n v="7.3036111111111097"/>
    <m/>
  </r>
  <r>
    <n v="4454"/>
    <n v="1"/>
    <d v="1899-12-30T01:00:00"/>
    <s v="50-Finalizado"/>
    <d v="1899-12-31T00:00:00"/>
    <x v="307"/>
    <d v="2024-08-19T00:00:00"/>
    <d v="2024-08-19T15:47:15"/>
    <x v="153"/>
    <n v="7.3036111111111097"/>
    <d v="1899-12-30T07:18:13"/>
    <d v="2024-08-19T00:00:00"/>
    <d v="2024-08-19T15:47:15"/>
    <m/>
    <d v="1899-12-31T00:00:00"/>
    <d v="2024-08-19T23:05:28"/>
    <m/>
    <d v="1899-12-31T00:00:00"/>
    <d v="2024-08-20T19:15:38"/>
    <d v="2024-08-20T19:15:38"/>
    <s v="Resuelto"/>
    <m/>
    <d v="2024-08-19T00:00:00"/>
    <s v="Revisión Backup servidores"/>
    <x v="10"/>
    <s v="Funcional"/>
    <x v="2"/>
    <s v="Cobian Backup"/>
    <m/>
    <m/>
    <s v="CANELLA, SOCIEDAD ANONIMA"/>
    <s v="INFORMATICA"/>
    <n v="4356"/>
    <n v="35"/>
    <s v="Mesa Ayuda Infraestructura"/>
    <n v="247813"/>
    <s v="OSCAR RAUL HERNANDEZ REYNA"/>
    <n v="248"/>
    <s v="CANELLA"/>
    <n v="3"/>
    <n v="25"/>
    <m/>
    <m/>
    <n v="1"/>
    <s v="CANELLA"/>
    <n v="248"/>
    <s v="Juan Carlos Barillas"/>
    <s v="&lt;p&gt;Revisión Backup servidores&lt;/p&gt;"/>
    <s v="normal"/>
    <s v="En proceso"/>
    <s v="Revisión Backup servidores"/>
    <n v="72"/>
    <b v="1"/>
    <n v="27734"/>
    <n v="2"/>
    <s v="04025@general.tbd"/>
    <n v="27734"/>
    <n v="0"/>
    <n v="248"/>
    <n v="8777"/>
    <s v="Mesa Ayuda Infraestructura"/>
    <n v="7.3036111111111097"/>
    <m/>
  </r>
  <r>
    <n v="4434"/>
    <n v="0.16666666666666599"/>
    <d v="1899-12-30T00:10:00"/>
    <s v="50-Finalizado"/>
    <d v="1899-12-31T00:00:00"/>
    <x v="308"/>
    <d v="2024-08-19T00:00:00"/>
    <d v="2024-08-19T14:46:37"/>
    <x v="154"/>
    <n v="0.82749999999999901"/>
    <d v="1899-12-30T00:49:39"/>
    <d v="2024-08-19T00:00:00"/>
    <d v="2024-08-19T14:46:37"/>
    <m/>
    <d v="1899-12-31T00:00:00"/>
    <d v="2024-08-19T15:36:16"/>
    <m/>
    <d v="1899-12-31T00:00:00"/>
    <d v="2024-08-20T19:15:38"/>
    <d v="2024-08-20T19:15:38"/>
    <s v="Resuelto"/>
    <m/>
    <d v="2024-08-19T00:00:00"/>
    <s v="Revisión física data center"/>
    <x v="10"/>
    <s v="Funcional"/>
    <x v="2"/>
    <s v="Data Center"/>
    <m/>
    <m/>
    <s v="CANELLA, SOCIEDAD ANONIMA"/>
    <s v="INFORMATICA"/>
    <n v="4336"/>
    <n v="35"/>
    <s v="Mesa Ayuda Infraestructura"/>
    <n v="247813"/>
    <s v="OSCAR RAUL HERNANDEZ REYNA"/>
    <n v="248"/>
    <s v="CANELLA"/>
    <n v="3"/>
    <n v="27"/>
    <m/>
    <m/>
    <n v="1"/>
    <s v="CANELLA"/>
    <n v="248"/>
    <s v="Juan Carlos Barillas"/>
    <s v="&lt;p&gt;Revisión física data center&lt;/p&gt;"/>
    <s v="normal"/>
    <s v="En proceso"/>
    <s v="Revisión física data center"/>
    <n v="72"/>
    <b v="1"/>
    <s v="[27698]"/>
    <n v="2"/>
    <s v="04025@general.tbd"/>
    <n v="27698"/>
    <n v="0"/>
    <n v="248"/>
    <n v="8777"/>
    <s v="Mesa Ayuda Infraestructura"/>
    <n v="0.82749999999999901"/>
    <m/>
  </r>
  <r>
    <n v="4432"/>
    <n v="0.16666666666666599"/>
    <d v="1899-12-30T00:10:00"/>
    <s v="50-Finalizado"/>
    <d v="1899-12-31T00:00:00"/>
    <x v="309"/>
    <d v="2024-08-19T00:00:00"/>
    <d v="2024-08-19T14:38:05"/>
    <x v="155"/>
    <n v="8.4997222222222195"/>
    <d v="1899-12-30T08:29:59"/>
    <d v="2024-08-19T00:00:00"/>
    <d v="2024-08-19T14:38:05"/>
    <m/>
    <d v="1899-12-31T00:00:00"/>
    <d v="2024-08-19T23:08:04"/>
    <m/>
    <d v="1899-12-31T00:00:00"/>
    <d v="2024-08-20T19:15:38"/>
    <d v="2024-08-20T19:15:38"/>
    <m/>
    <m/>
    <d v="2024-08-19T00:00:00"/>
    <s v="No se recibió mensaje de la persona de soporte de PIENSOM"/>
    <x v="0"/>
    <s v="Configuracion Software"/>
    <x v="0"/>
    <s v="Odoo HP Helpdesk"/>
    <s v="Otros (no específico)"/>
    <m/>
    <s v="CANELLA, SOCIEDAD ANONIMA"/>
    <s v="INFORMATICA"/>
    <n v="4334"/>
    <n v="35"/>
    <s v="Mesa Ayuda Infraestructura"/>
    <n v="247119"/>
    <s v="BRAYAN ROBERTO ALEXANDER SOLORZANO AGUILAR"/>
    <n v="339"/>
    <s v="CANELLA"/>
    <n v="2"/>
    <n v="3"/>
    <n v="10"/>
    <m/>
    <n v="1"/>
    <s v="CANELLA"/>
    <n v="339"/>
    <s v="Alex Solorzano"/>
    <m/>
    <s v="normal"/>
    <s v="En proceso"/>
    <s v="Validación de error al enviar correo con piensom"/>
    <n v="72"/>
    <b v="1"/>
    <s v="[27908]"/>
    <m/>
    <s v="06523@general.tbd"/>
    <n v="27908"/>
    <n v="0"/>
    <n v="339"/>
    <n v="8777"/>
    <s v="Mesa Ayuda Infraestructura"/>
    <n v="8.4997222222222195"/>
    <m/>
  </r>
  <r>
    <n v="4431"/>
    <n v="0.25"/>
    <d v="1899-12-30T00:15:00"/>
    <s v="50-Finalizado"/>
    <d v="1899-12-31T00:00:00"/>
    <x v="310"/>
    <d v="2024-08-19T00:00:00"/>
    <d v="2024-08-19T14:37:54"/>
    <x v="156"/>
    <n v="1.1211111111111101"/>
    <d v="1899-12-30T01:07:16"/>
    <d v="2024-08-19T00:00:00"/>
    <d v="2024-08-19T14:37:54"/>
    <m/>
    <d v="1899-12-31T00:00:00"/>
    <d v="2024-08-19T15:45:10"/>
    <m/>
    <d v="1899-12-31T00:00:00"/>
    <d v="2024-08-20T19:15:38"/>
    <d v="2024-08-20T19:15:38"/>
    <m/>
    <m/>
    <d v="2024-08-19T00:00:00"/>
    <s v="/"/>
    <x v="2"/>
    <s v="Generación de reportes"/>
    <x v="1"/>
    <s v="STOD"/>
    <s v="Administración de Usuarios"/>
    <m/>
    <s v="CANELLA, SOCIEDAD ANONIMA"/>
    <s v="GERENCIA DE SERVICIOS/TALLER ISUZU"/>
    <n v="4333"/>
    <n v="35"/>
    <s v="Mesa Ayuda Infraestructura"/>
    <n v="247614"/>
    <s v="LEIDI PAOLA ESQUIVEL RAMIREZ"/>
    <n v="446"/>
    <s v="CANELLA"/>
    <n v="9"/>
    <n v="8"/>
    <n v="34"/>
    <m/>
    <n v="1"/>
    <s v="CANELLA"/>
    <n v="446"/>
    <s v="Ester Daniela Lopez Cruz"/>
    <m/>
    <s v="normal"/>
    <s v="En proceso"/>
    <s v="Reporte para devoluciones en STOD"/>
    <n v="72"/>
    <b v="1"/>
    <n v="27697"/>
    <m/>
    <s v="05438@general.tbd"/>
    <n v="27729"/>
    <n v="0"/>
    <n v="446"/>
    <n v="8777"/>
    <s v="Mesa Ayuda Infraestructura"/>
    <n v="1.1211111111111101"/>
    <m/>
  </r>
  <r>
    <n v="4431"/>
    <n v="1"/>
    <d v="1899-12-30T01:00:00"/>
    <s v="50-Finalizado"/>
    <d v="1899-12-31T00:00:00"/>
    <x v="310"/>
    <d v="2024-08-19T00:00:00"/>
    <d v="2024-08-19T14:37:54"/>
    <x v="156"/>
    <n v="1.1211111111111101"/>
    <d v="1899-12-30T01:07:16"/>
    <d v="2024-08-19T00:00:00"/>
    <d v="2024-08-19T14:37:54"/>
    <m/>
    <d v="1899-12-31T00:00:00"/>
    <d v="2024-08-19T15:45:10"/>
    <m/>
    <d v="1899-12-31T00:00:00"/>
    <d v="2024-08-20T19:15:38"/>
    <d v="2024-08-20T19:15:38"/>
    <m/>
    <m/>
    <d v="2024-08-19T00:00:00"/>
    <s v="Agregar usuario que crea la devolución"/>
    <x v="2"/>
    <s v="Generación de reportes"/>
    <x v="1"/>
    <s v="STOD"/>
    <s v="Administración de Usuarios"/>
    <m/>
    <s v="CANELLA, SOCIEDAD ANONIMA"/>
    <s v="GERENCIA DE SERVICIOS/TALLER ISUZU"/>
    <n v="4333"/>
    <n v="35"/>
    <s v="Mesa Ayuda Infraestructura"/>
    <n v="247614"/>
    <s v="LEIDI PAOLA ESQUIVEL RAMIREZ"/>
    <n v="446"/>
    <s v="CANELLA"/>
    <n v="9"/>
    <n v="8"/>
    <n v="34"/>
    <m/>
    <n v="1"/>
    <s v="CANELLA"/>
    <n v="446"/>
    <s v="Ester Daniela Lopez Cruz"/>
    <m/>
    <s v="normal"/>
    <s v="En proceso"/>
    <s v="Reporte para devoluciones en STOD"/>
    <n v="72"/>
    <b v="1"/>
    <n v="27697"/>
    <m/>
    <s v="05438@general.tbd"/>
    <n v="27697"/>
    <n v="0"/>
    <n v="446"/>
    <n v="8777"/>
    <s v="Mesa Ayuda Infraestructura"/>
    <n v="1.1211111111111101"/>
    <m/>
  </r>
  <r>
    <n v="4430"/>
    <n v="0.3"/>
    <d v="1899-12-30T00:18:00"/>
    <s v="50-Finalizado"/>
    <d v="1899-12-31T00:00:00"/>
    <x v="311"/>
    <d v="2024-08-19T00:00:00"/>
    <d v="2024-08-19T14:28:00"/>
    <x v="157"/>
    <n v="1.8597222222222201"/>
    <d v="1899-12-30T01:51:35"/>
    <d v="2024-08-19T00:00:00"/>
    <d v="2024-08-19T14:28:00"/>
    <m/>
    <d v="1899-12-31T00:00:00"/>
    <d v="2024-08-19T16:19:35"/>
    <m/>
    <d v="1899-12-31T00:00:00"/>
    <d v="2024-08-20T19:15:38"/>
    <d v="2024-08-20T19:15:38"/>
    <m/>
    <m/>
    <d v="2024-08-19T00:00:00"/>
    <s v="/"/>
    <x v="2"/>
    <s v="Capacitaciones"/>
    <x v="1"/>
    <s v="SAP"/>
    <s v="Otros (no específico)"/>
    <m/>
    <m/>
    <m/>
    <n v="4332"/>
    <n v="35"/>
    <s v="Mesa Ayuda Infraestructura"/>
    <n v="254952"/>
    <s v="ENMA ROCIO FIGUEROA SHITUMUL"/>
    <n v="446"/>
    <s v="CANELLA"/>
    <n v="4"/>
    <n v="5"/>
    <n v="12"/>
    <m/>
    <n v="1"/>
    <s v="CANELLA"/>
    <n v="446"/>
    <s v="Ester Daniela Lopez Cruz"/>
    <m/>
    <s v="normal"/>
    <s v="En proceso"/>
    <s v="Propietario en Oferta de ventas"/>
    <n v="72"/>
    <b v="1"/>
    <n v="27693"/>
    <m/>
    <s v="No Extension.  partner_id: 254952 -- user_id res.users(2851,)"/>
    <n v="27750"/>
    <n v="0"/>
    <n v="446"/>
    <n v="8777"/>
    <s v="Mesa Ayuda Infraestructura"/>
    <n v="1.8597222222222201"/>
    <m/>
  </r>
  <r>
    <n v="4430"/>
    <n v="0.16666666666666599"/>
    <d v="1899-12-30T00:10:00"/>
    <s v="50-Finalizado"/>
    <d v="1899-12-31T00:00:00"/>
    <x v="311"/>
    <d v="2024-08-19T00:00:00"/>
    <d v="2024-08-19T14:28:00"/>
    <x v="157"/>
    <n v="1.8597222222222201"/>
    <d v="1899-12-30T01:51:35"/>
    <d v="2024-08-19T00:00:00"/>
    <d v="2024-08-19T14:28:00"/>
    <m/>
    <d v="1899-12-31T00:00:00"/>
    <d v="2024-08-19T16:19:35"/>
    <m/>
    <d v="1899-12-31T00:00:00"/>
    <d v="2024-08-20T19:15:38"/>
    <d v="2024-08-20T19:15:38"/>
    <m/>
    <m/>
    <d v="2024-08-19T00:00:00"/>
    <s v="Llamamos al usuario"/>
    <x v="2"/>
    <s v="Capacitaciones"/>
    <x v="1"/>
    <s v="SAP"/>
    <s v="Otros (no específico)"/>
    <m/>
    <m/>
    <m/>
    <n v="4332"/>
    <n v="35"/>
    <s v="Mesa Ayuda Infraestructura"/>
    <n v="254952"/>
    <s v="ENMA ROCIO FIGUEROA SHITUMUL"/>
    <n v="446"/>
    <s v="CANELLA"/>
    <n v="4"/>
    <n v="5"/>
    <n v="12"/>
    <m/>
    <n v="1"/>
    <s v="CANELLA"/>
    <n v="446"/>
    <s v="Ester Daniela Lopez Cruz"/>
    <m/>
    <s v="normal"/>
    <s v="En proceso"/>
    <s v="Propietario en Oferta de ventas"/>
    <n v="72"/>
    <b v="1"/>
    <n v="27693"/>
    <m/>
    <s v="No Extension.  partner_id: 254952 -- user_id res.users(2851,)"/>
    <n v="27693"/>
    <n v="0"/>
    <n v="446"/>
    <n v="8777"/>
    <s v="Mesa Ayuda Infraestructura"/>
    <n v="1.8597222222222201"/>
    <m/>
  </r>
  <r>
    <n v="4424"/>
    <n v="8.3333333333333301E-2"/>
    <d v="1899-12-30T00:05:00"/>
    <s v="40-Esperando cliente"/>
    <d v="1899-12-31T00:00:00"/>
    <x v="312"/>
    <d v="2024-08-17T00:00:00"/>
    <d v="2024-08-17T17:09:28"/>
    <x v="4"/>
    <n v="0"/>
    <d v="1899-12-30T00:00:00"/>
    <d v="2024-08-17T00:00:00"/>
    <d v="2024-08-17T17:09:28"/>
    <m/>
    <d v="1899-12-31T00:00:00"/>
    <d v="1899-12-31T00:00:00"/>
    <m/>
    <d v="1899-12-31T00:00:00"/>
    <d v="2024-08-20T19:15:38"/>
    <d v="2024-08-20T19:15:38"/>
    <m/>
    <m/>
    <d v="2024-08-17T00:00:00"/>
    <s v="Reciclaje de cajas de equipo de computo"/>
    <x v="6"/>
    <s v="Configuracion Software"/>
    <x v="2"/>
    <s v="Laptop"/>
    <m/>
    <m/>
    <s v="No Partner"/>
    <s v="No Partner"/>
    <n v="4326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Instalación de Office y configuración contraseña de VNC"/>
    <n v="71"/>
    <m/>
    <s v="[27643, 27642, 27641, 27640, 27639, 27636, 27635, 27634]"/>
    <m/>
    <s v="No Partner"/>
    <n v="27643"/>
    <n v="0"/>
    <n v="2766"/>
    <n v="8777"/>
    <s v="Mesa Ayuda Infraestructura"/>
    <n v="0"/>
    <m/>
  </r>
  <r>
    <n v="4424"/>
    <n v="8.3333333333333301E-2"/>
    <d v="1899-12-30T00:05:00"/>
    <s v="40-Esperando cliente"/>
    <d v="1899-12-31T00:00:00"/>
    <x v="312"/>
    <d v="2024-08-17T00:00:00"/>
    <d v="2024-08-17T17:09:28"/>
    <x v="4"/>
    <n v="0"/>
    <d v="1899-12-30T00:00:00"/>
    <d v="2024-08-17T00:00:00"/>
    <d v="2024-08-17T17:09:28"/>
    <m/>
    <d v="1899-12-31T00:00:00"/>
    <d v="1899-12-31T00:00:00"/>
    <m/>
    <d v="1899-12-31T00:00:00"/>
    <d v="2024-08-20T19:15:38"/>
    <d v="2024-08-20T19:15:38"/>
    <m/>
    <m/>
    <d v="2024-08-17T00:00:00"/>
    <s v="Almacenamiento de equipo terminado"/>
    <x v="6"/>
    <s v="Configuracion Software"/>
    <x v="2"/>
    <s v="Laptop"/>
    <m/>
    <m/>
    <s v="No Partner"/>
    <s v="No Partner"/>
    <n v="4326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Instalación de Office y configuración contraseña de VNC"/>
    <n v="71"/>
    <m/>
    <s v="[27643, 27642, 27641, 27640, 27639, 27636, 27635, 27634]"/>
    <m/>
    <s v="No Partner"/>
    <n v="27642"/>
    <n v="0"/>
    <n v="2766"/>
    <n v="8777"/>
    <s v="Mesa Ayuda Infraestructura"/>
    <n v="0"/>
    <m/>
  </r>
  <r>
    <n v="4424"/>
    <n v="0.41666666666666602"/>
    <d v="1899-12-30T00:25:00"/>
    <s v="40-Esperando cliente"/>
    <d v="1899-12-31T00:00:00"/>
    <x v="312"/>
    <d v="2024-08-17T00:00:00"/>
    <d v="2024-08-17T17:09:28"/>
    <x v="4"/>
    <n v="0"/>
    <d v="1899-12-30T00:00:00"/>
    <d v="2024-08-17T00:00:00"/>
    <d v="2024-08-17T17:09:28"/>
    <m/>
    <d v="1899-12-31T00:00:00"/>
    <d v="1899-12-31T00:00:00"/>
    <m/>
    <d v="1899-12-31T00:00:00"/>
    <d v="2024-08-20T19:15:38"/>
    <d v="2024-08-20T19:15:38"/>
    <m/>
    <m/>
    <d v="2024-08-17T00:00:00"/>
    <s v="Instalación de Office y configuración de contraseña de VNC, computadora 5CD3511H2Y"/>
    <x v="6"/>
    <s v="Configuracion Software"/>
    <x v="2"/>
    <s v="Laptop"/>
    <m/>
    <m/>
    <s v="No Partner"/>
    <s v="No Partner"/>
    <n v="4326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Instalación de Office y configuración contraseña de VNC"/>
    <n v="71"/>
    <m/>
    <s v="[27643, 27642, 27641, 27640, 27639, 27636, 27635, 27634]"/>
    <m/>
    <s v="No Partner"/>
    <n v="27641"/>
    <n v="0"/>
    <n v="2766"/>
    <n v="8777"/>
    <s v="Mesa Ayuda Infraestructura"/>
    <n v="0"/>
    <m/>
  </r>
  <r>
    <n v="4424"/>
    <n v="0.41666666666666602"/>
    <d v="1899-12-30T00:25:00"/>
    <s v="40-Esperando cliente"/>
    <d v="1899-12-31T00:00:00"/>
    <x v="312"/>
    <d v="2024-08-17T00:00:00"/>
    <d v="2024-08-17T17:09:28"/>
    <x v="4"/>
    <n v="0"/>
    <d v="1899-12-30T00:00:00"/>
    <d v="2024-08-17T00:00:00"/>
    <d v="2024-08-17T17:09:28"/>
    <m/>
    <d v="1899-12-31T00:00:00"/>
    <d v="1899-12-31T00:00:00"/>
    <m/>
    <d v="1899-12-31T00:00:00"/>
    <d v="2024-08-20T19:15:38"/>
    <d v="2024-08-20T19:15:38"/>
    <m/>
    <m/>
    <d v="2024-08-17T00:00:00"/>
    <s v="Instalación de Office y configuración de contraseña de VNC, computadora 5CD3511H3L"/>
    <x v="6"/>
    <s v="Configuracion Software"/>
    <x v="2"/>
    <s v="Laptop"/>
    <m/>
    <m/>
    <s v="No Partner"/>
    <s v="No Partner"/>
    <n v="4326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Instalación de Office y configuración contraseña de VNC"/>
    <n v="71"/>
    <m/>
    <s v="[27643, 27642, 27641, 27640, 27639, 27636, 27635, 27634]"/>
    <m/>
    <s v="No Partner"/>
    <n v="27640"/>
    <n v="0"/>
    <n v="2766"/>
    <n v="8777"/>
    <s v="Mesa Ayuda Infraestructura"/>
    <n v="0"/>
    <m/>
  </r>
  <r>
    <n v="4424"/>
    <n v="0.41666666666666602"/>
    <d v="1899-12-30T00:25:00"/>
    <s v="40-Esperando cliente"/>
    <d v="1899-12-31T00:00:00"/>
    <x v="312"/>
    <d v="2024-08-17T00:00:00"/>
    <d v="2024-08-17T17:09:28"/>
    <x v="4"/>
    <n v="0"/>
    <d v="1899-12-30T00:00:00"/>
    <d v="2024-08-17T00:00:00"/>
    <d v="2024-08-17T17:09:28"/>
    <m/>
    <d v="1899-12-31T00:00:00"/>
    <d v="1899-12-31T00:00:00"/>
    <m/>
    <d v="1899-12-31T00:00:00"/>
    <d v="2024-08-20T19:15:38"/>
    <d v="2024-08-20T19:15:38"/>
    <m/>
    <m/>
    <d v="2024-08-17T00:00:00"/>
    <s v="Instalación de Office y configuración de contraseña de VNC, computadora 5CD3511H1N"/>
    <x v="6"/>
    <s v="Configuracion Software"/>
    <x v="2"/>
    <s v="Laptop"/>
    <m/>
    <m/>
    <s v="No Partner"/>
    <s v="No Partner"/>
    <n v="4326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Instalación de Office y configuración contraseña de VNC"/>
    <n v="71"/>
    <m/>
    <s v="[27643, 27642, 27641, 27640, 27639, 27636, 27635, 27634]"/>
    <m/>
    <s v="No Partner"/>
    <n v="27639"/>
    <n v="0"/>
    <n v="2766"/>
    <n v="8777"/>
    <s v="Mesa Ayuda Infraestructura"/>
    <n v="0"/>
    <m/>
  </r>
  <r>
    <n v="4424"/>
    <n v="0.41666666666666602"/>
    <d v="1899-12-30T00:25:00"/>
    <s v="40-Esperando cliente"/>
    <d v="1899-12-31T00:00:00"/>
    <x v="312"/>
    <d v="2024-08-17T00:00:00"/>
    <d v="2024-08-17T17:09:28"/>
    <x v="4"/>
    <n v="0"/>
    <d v="1899-12-30T00:00:00"/>
    <d v="2024-08-17T00:00:00"/>
    <d v="2024-08-17T17:09:28"/>
    <m/>
    <d v="1899-12-31T00:00:00"/>
    <d v="1899-12-31T00:00:00"/>
    <m/>
    <d v="1899-12-31T00:00:00"/>
    <d v="2024-08-20T19:15:38"/>
    <d v="2024-08-20T19:15:38"/>
    <m/>
    <m/>
    <d v="2024-08-17T00:00:00"/>
    <s v="Instalación de Office y configuración de contraseña de VNC, computadora 5CD3511H7P"/>
    <x v="6"/>
    <s v="Configuracion Software"/>
    <x v="2"/>
    <s v="Laptop"/>
    <m/>
    <m/>
    <s v="No Partner"/>
    <s v="No Partner"/>
    <n v="4326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Instalación de Office y configuración contraseña de VNC"/>
    <n v="71"/>
    <m/>
    <s v="[27643, 27642, 27641, 27640, 27639, 27636, 27635, 27634]"/>
    <m/>
    <s v="No Partner"/>
    <n v="27636"/>
    <n v="0"/>
    <n v="2766"/>
    <n v="8777"/>
    <s v="Mesa Ayuda Infraestructura"/>
    <n v="0"/>
    <m/>
  </r>
  <r>
    <n v="4424"/>
    <n v="0.41666666666666602"/>
    <d v="1899-12-30T00:25:00"/>
    <s v="40-Esperando cliente"/>
    <d v="1899-12-31T00:00:00"/>
    <x v="312"/>
    <d v="2024-08-17T00:00:00"/>
    <d v="2024-08-17T17:09:28"/>
    <x v="4"/>
    <n v="0"/>
    <d v="1899-12-30T00:00:00"/>
    <d v="2024-08-17T00:00:00"/>
    <d v="2024-08-17T17:09:28"/>
    <m/>
    <d v="1899-12-31T00:00:00"/>
    <d v="1899-12-31T00:00:00"/>
    <m/>
    <d v="1899-12-31T00:00:00"/>
    <d v="2024-08-20T19:15:38"/>
    <d v="2024-08-20T19:15:38"/>
    <m/>
    <m/>
    <d v="2024-08-17T00:00:00"/>
    <s v="Instalación de Office y configuración de contraseña de VNC, computadora 5CD3511H7B"/>
    <x v="6"/>
    <s v="Configuracion Software"/>
    <x v="2"/>
    <s v="Laptop"/>
    <m/>
    <m/>
    <s v="No Partner"/>
    <s v="No Partner"/>
    <n v="4326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Instalación de Office y configuración contraseña de VNC"/>
    <n v="71"/>
    <m/>
    <s v="[27643, 27642, 27641, 27640, 27639, 27636, 27635, 27634]"/>
    <m/>
    <s v="No Partner"/>
    <n v="27635"/>
    <n v="0"/>
    <n v="2766"/>
    <n v="8777"/>
    <s v="Mesa Ayuda Infraestructura"/>
    <n v="0"/>
    <m/>
  </r>
  <r>
    <n v="4424"/>
    <n v="0.41666666666666602"/>
    <d v="1899-12-30T00:25:00"/>
    <s v="40-Esperando cliente"/>
    <d v="1899-12-31T00:00:00"/>
    <x v="312"/>
    <d v="2024-08-17T00:00:00"/>
    <d v="2024-08-17T17:09:28"/>
    <x v="4"/>
    <n v="0"/>
    <d v="1899-12-30T00:00:00"/>
    <d v="2024-08-17T00:00:00"/>
    <d v="2024-08-17T17:09:28"/>
    <m/>
    <d v="1899-12-31T00:00:00"/>
    <d v="1899-12-31T00:00:00"/>
    <m/>
    <d v="1899-12-31T00:00:00"/>
    <d v="2024-08-20T19:15:38"/>
    <d v="2024-08-20T19:15:38"/>
    <m/>
    <m/>
    <d v="2024-08-17T00:00:00"/>
    <s v="Instalación de Office y configuración de contraseña de VNC, computadora 5CD3511H7N"/>
    <x v="6"/>
    <s v="Configuracion Software"/>
    <x v="2"/>
    <s v="Laptop"/>
    <m/>
    <m/>
    <s v="No Partner"/>
    <s v="No Partner"/>
    <n v="4326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Instalación de Office y configuración contraseña de VNC"/>
    <n v="71"/>
    <m/>
    <s v="[27643, 27642, 27641, 27640, 27639, 27636, 27635, 27634]"/>
    <m/>
    <s v="No Partner"/>
    <n v="27634"/>
    <n v="0"/>
    <n v="2766"/>
    <n v="8777"/>
    <s v="Mesa Ayuda Infraestructura"/>
    <n v="0"/>
    <m/>
  </r>
  <r>
    <n v="4418"/>
    <n v="0.66666666666666596"/>
    <d v="1899-12-30T00:40:00"/>
    <s v="50-Finalizado"/>
    <d v="1899-12-31T00:00:00"/>
    <x v="313"/>
    <d v="2024-08-16T00:00:00"/>
    <d v="2024-08-16T23:16:25"/>
    <x v="158"/>
    <n v="0.32305555555555499"/>
    <d v="1899-12-30T00:19:23"/>
    <d v="2024-08-16T00:00:00"/>
    <d v="2024-08-16T23:16:25"/>
    <m/>
    <d v="1899-12-31T00:00:00"/>
    <d v="2024-08-16T23:35:48"/>
    <m/>
    <d v="1899-12-31T00:00:00"/>
    <d v="2024-08-20T19:15:38"/>
    <d v="2024-08-20T19:15:38"/>
    <m/>
    <m/>
    <d v="2024-08-16T00:00:00"/>
    <s v="Bitácora de servidores físicos en Data Center"/>
    <x v="8"/>
    <s v="Configuracion Hardware"/>
    <x v="2"/>
    <s v="Redes y Comunicaciones"/>
    <m/>
    <m/>
    <s v="CANELLA, SOCIEDAD ANONIMA"/>
    <s v="INFORMATICA"/>
    <n v="4320"/>
    <n v="35"/>
    <s v="Mesa Ayuda Infraestructura"/>
    <n v="247813"/>
    <s v="OSCAR RAUL HERNANDEZ REYNA"/>
    <n v="186"/>
    <s v="CANELLA"/>
    <n v="1"/>
    <n v="28"/>
    <m/>
    <m/>
    <n v="1"/>
    <s v="CANELLA"/>
    <n v="186"/>
    <s v="Carlos Carias"/>
    <s v="&lt;p&gt;Bitácora de servidores físicos en Data Center &lt;/p&gt;"/>
    <s v="normal"/>
    <s v="En proceso"/>
    <s v="Bitácora de servidores físicos en Data Center"/>
    <n v="72"/>
    <b v="1"/>
    <s v="[27426]"/>
    <m/>
    <s v="04025@general.tbd"/>
    <n v="27426"/>
    <n v="0"/>
    <n v="186"/>
    <n v="8777"/>
    <s v="Mesa Ayuda Infraestructura"/>
    <n v="0.32305555555555499"/>
    <m/>
  </r>
  <r>
    <n v="4414"/>
    <n v="1.5"/>
    <d v="1899-12-30T01:30:00"/>
    <s v="50-Finalizado"/>
    <d v="1899-12-31T00:00:00"/>
    <x v="314"/>
    <d v="2024-08-16T00:00:00"/>
    <d v="2024-08-16T22:08:46"/>
    <x v="159"/>
    <n v="70.038055555555502"/>
    <d v="1900-01-01T22:02:17"/>
    <d v="2024-08-16T00:00:00"/>
    <d v="2024-08-16T22:08:46"/>
    <m/>
    <d v="1899-12-31T00:00:00"/>
    <d v="2024-08-19T20:11:03"/>
    <m/>
    <d v="1899-12-31T00:00:00"/>
    <d v="2024-08-20T19:15:38"/>
    <d v="2024-08-20T19:15:38"/>
    <s v="Resuelto"/>
    <m/>
    <d v="2024-08-16T00:00:00"/>
    <s v="Pruebas de conexión y configuración Petapolis"/>
    <x v="10"/>
    <s v="Configuracion Hardware"/>
    <x v="2"/>
    <s v="Redes y Comunicaciones"/>
    <s v="Telefonia / Datos"/>
    <m/>
    <s v="CANELLA, SOCIEDAD ANONIMA"/>
    <s v="CANAL DIRECTO"/>
    <n v="4316"/>
    <n v="35"/>
    <s v="Mesa Ayuda Infraestructura"/>
    <n v="247759"/>
    <s v="DAVID JOSUE FLORES SEQUEIDA"/>
    <n v="248"/>
    <s v="CANELLA"/>
    <n v="1"/>
    <n v="28"/>
    <n v="25"/>
    <m/>
    <n v="1"/>
    <s v="CANELLA"/>
    <n v="248"/>
    <s v="Juan Carlos Barillas"/>
    <s v="&lt;p&gt;Pruebas de conexión y configuración Petapolis&lt;/p&gt;"/>
    <s v="normal"/>
    <s v="En proceso"/>
    <s v="Pruebas de conexión y configuración Petapolis"/>
    <n v="72"/>
    <b v="1"/>
    <s v="[27342]"/>
    <n v="2"/>
    <s v="04505@general.tbd"/>
    <n v="27342"/>
    <n v="0"/>
    <n v="248"/>
    <n v="8777"/>
    <s v="Mesa Ayuda Infraestructura"/>
    <n v="70.038055555555502"/>
    <m/>
  </r>
  <r>
    <n v="4413"/>
    <n v="2"/>
    <d v="1899-12-30T02:00:00"/>
    <s v="50-Finalizado"/>
    <d v="1899-12-31T00:00:00"/>
    <x v="315"/>
    <d v="2024-08-16T00:00:00"/>
    <d v="2024-08-16T22:03:51"/>
    <x v="160"/>
    <n v="0.59194444444444405"/>
    <d v="1899-12-30T00:35:31"/>
    <d v="2024-08-16T00:00:00"/>
    <d v="2024-08-16T22:03:51"/>
    <m/>
    <d v="1899-12-31T00:00:00"/>
    <d v="2024-08-16T22:39:22"/>
    <m/>
    <d v="1899-12-31T00:00:00"/>
    <d v="2024-08-20T19:15:38"/>
    <d v="2024-08-20T19:15:38"/>
    <m/>
    <m/>
    <d v="2024-08-16T00:00:00"/>
    <s v="Realizar programador de extensiones de Isuzu Mazatenango"/>
    <x v="8"/>
    <s v="Configuracion Software"/>
    <x v="2"/>
    <s v="Planta Telefonica"/>
    <m/>
    <m/>
    <s v="CANELLA, SOCIEDAD ANONIMA"/>
    <s v="ISUZU"/>
    <n v="4315"/>
    <n v="35"/>
    <s v="Mesa Ayuda Infraestructura"/>
    <n v="247374"/>
    <s v="LUIS PEDRO LOPEZ RODAS"/>
    <n v="186"/>
    <s v="CANELLA"/>
    <n v="2"/>
    <n v="14"/>
    <m/>
    <m/>
    <n v="1"/>
    <s v="CANELLA"/>
    <n v="186"/>
    <s v="Carlos Carias"/>
    <s v="&lt;p&gt;Realizar programador de extensiones de Isuzu Mazatenango &lt;/p&gt;"/>
    <s v="normal"/>
    <s v="En proceso"/>
    <s v="Realizar programador de extensiones de Isuzu Mazatenango"/>
    <n v="72"/>
    <b v="1"/>
    <s v="[27341]"/>
    <m/>
    <s v="06070@general.tbd"/>
    <n v="27341"/>
    <n v="0"/>
    <n v="186"/>
    <n v="8777"/>
    <s v="Mesa Ayuda Infraestructura"/>
    <n v="0.59194444444444405"/>
    <m/>
  </r>
  <r>
    <n v="4412"/>
    <n v="0.2"/>
    <d v="1899-12-30T00:12:00"/>
    <s v="50-Finalizado"/>
    <d v="1899-12-31T00:00:00"/>
    <x v="316"/>
    <d v="2024-08-16T00:00:00"/>
    <d v="2024-08-16T21:17:46"/>
    <x v="161"/>
    <n v="1.84361111111111"/>
    <d v="1899-12-30T01:50:37"/>
    <d v="2024-08-16T00:00:00"/>
    <d v="2024-08-16T21:17:46"/>
    <m/>
    <d v="1899-12-31T00:00:00"/>
    <d v="2024-08-16T23:08:23"/>
    <m/>
    <d v="1899-12-31T00:00:00"/>
    <d v="2024-08-20T19:15:38"/>
    <d v="2024-08-20T19:15:38"/>
    <m/>
    <m/>
    <d v="2024-08-16T00:00:00"/>
    <s v="Crear usuario según checklist Josue Flores"/>
    <x v="9"/>
    <s v="Configuracion Software"/>
    <x v="2"/>
    <s v="AD y Portal Office"/>
    <m/>
    <m/>
    <s v="CANELLA, SOCIEDAD ANONIMA"/>
    <s v="OPERACIONES/DIVISION AUTOMOTRIZ"/>
    <n v="4314"/>
    <n v="35"/>
    <s v="Mesa Ayuda Infraestructura"/>
    <n v="247503"/>
    <s v="MARIO RENE ARRIAZA ESTRADA"/>
    <n v="314"/>
    <s v="CANELLA"/>
    <n v="2"/>
    <n v="26"/>
    <m/>
    <m/>
    <n v="1"/>
    <s v="CANELLA"/>
    <n v="314"/>
    <s v="Yosselyn Ignacio"/>
    <m/>
    <s v="normal"/>
    <s v="En proceso"/>
    <s v="Crear usuario según checklist Josue Flores"/>
    <n v="72"/>
    <b v="1"/>
    <s v="[27418]"/>
    <m/>
    <s v="05810@general.tbd"/>
    <n v="27418"/>
    <n v="0"/>
    <n v="314"/>
    <n v="8777"/>
    <s v="Mesa Ayuda Infraestructura"/>
    <n v="1.84361111111111"/>
    <m/>
  </r>
  <r>
    <n v="4405"/>
    <n v="0.16666666666666599"/>
    <d v="1899-12-30T00:10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Almacenamiento de teclado y mouse, se verifico el estado de estos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417"/>
    <n v="0"/>
    <n v="2766"/>
    <n v="8777"/>
    <s v="Mesa Ayuda Infraestructura"/>
    <n v="21.081388888888799"/>
    <m/>
  </r>
  <r>
    <n v="4405"/>
    <n v="0.33333333333333298"/>
    <d v="1899-12-30T00:20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Revisión de teclado y mouse inalámbrico buen estado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409"/>
    <n v="0"/>
    <n v="2766"/>
    <n v="8777"/>
    <s v="Mesa Ayuda Infraestructura"/>
    <n v="21.081388888888799"/>
    <m/>
  </r>
  <r>
    <n v="4405"/>
    <n v="0.25"/>
    <d v="1899-12-30T00:15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Revisión de mouse alámbrico en mal estado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360"/>
    <n v="0"/>
    <n v="2766"/>
    <n v="8777"/>
    <s v="Mesa Ayuda Infraestructura"/>
    <n v="21.081388888888799"/>
    <m/>
  </r>
  <r>
    <n v="4405"/>
    <n v="0.5"/>
    <d v="1899-12-30T00:30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Procederé a la extracción de Monitor, teclado y mouse para entrega a usuario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358"/>
    <n v="0"/>
    <n v="2766"/>
    <n v="8777"/>
    <s v="Mesa Ayuda Infraestructura"/>
    <n v="21.081388888888799"/>
    <m/>
  </r>
  <r>
    <n v="4405"/>
    <n v="0.25"/>
    <d v="1899-12-30T00:15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Revisión de teclado y mouse alámbrico en buen estado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333"/>
    <n v="0"/>
    <n v="2766"/>
    <n v="8777"/>
    <s v="Mesa Ayuda Infraestructura"/>
    <n v="21.081388888888799"/>
    <m/>
  </r>
  <r>
    <n v="4405"/>
    <n v="0.25"/>
    <d v="1899-12-30T00:15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Revisión de mouse alámbrico en buen estado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328"/>
    <n v="0"/>
    <n v="2766"/>
    <n v="8777"/>
    <s v="Mesa Ayuda Infraestructura"/>
    <n v="21.081388888888799"/>
    <m/>
  </r>
  <r>
    <n v="4405"/>
    <n v="0.16666666666666599"/>
    <d v="1899-12-30T00:10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Procederé a la extracción de teclado y mouse para verificación de estado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261"/>
    <n v="0"/>
    <n v="2766"/>
    <n v="8777"/>
    <s v="Mesa Ayuda Infraestructura"/>
    <n v="21.081388888888799"/>
    <m/>
  </r>
  <r>
    <n v="4405"/>
    <n v="0.25"/>
    <d v="1899-12-30T00:15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Procederé a la extracción de cargador LG de bodega informática para uso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259"/>
    <n v="0"/>
    <n v="2766"/>
    <n v="8777"/>
    <s v="Mesa Ayuda Infraestructura"/>
    <n v="21.081388888888799"/>
    <m/>
  </r>
  <r>
    <n v="4405"/>
    <n v="0.16666666666666599"/>
    <d v="1899-12-30T00:10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Almacenamiento en bodega de teclado y mouse en buen estado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256"/>
    <n v="0"/>
    <n v="2766"/>
    <n v="8777"/>
    <s v="Mesa Ayuda Infraestructura"/>
    <n v="21.081388888888799"/>
    <m/>
  </r>
  <r>
    <n v="4405"/>
    <n v="0.25"/>
    <d v="1899-12-30T00:15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Revisión de teclado alámbrico en buen estado sin Fallas Microsoft y mouse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216"/>
    <n v="0"/>
    <n v="2766"/>
    <n v="8777"/>
    <s v="Mesa Ayuda Infraestructura"/>
    <n v="21.081388888888799"/>
    <m/>
  </r>
  <r>
    <n v="4405"/>
    <n v="0.16666666666666599"/>
    <d v="1899-12-30T00:10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Revisión de teclado alámbrico en buen estado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184"/>
    <n v="0"/>
    <n v="2766"/>
    <n v="8777"/>
    <s v="Mesa Ayuda Infraestructura"/>
    <n v="21.081388888888799"/>
    <m/>
  </r>
  <r>
    <n v="4399"/>
    <n v="0.58333333333333304"/>
    <d v="1899-12-30T00:35:00"/>
    <s v="30-En proceso"/>
    <d v="1899-12-31T00:00:00"/>
    <x v="318"/>
    <d v="2024-08-17T00:00:00"/>
    <d v="2024-08-16T18:11:25"/>
    <x v="4"/>
    <n v="0"/>
    <d v="1899-12-30T00:00:00"/>
    <d v="2024-08-16T00:00:00"/>
    <d v="2024-08-16T18:11:25"/>
    <m/>
    <d v="1899-12-31T00:00:00"/>
    <d v="1899-12-31T00:00:00"/>
    <m/>
    <d v="1899-12-31T00:00:00"/>
    <d v="2024-08-20T19:15:38"/>
    <d v="2024-08-20T19:15:38"/>
    <s v="Resuelto"/>
    <m/>
    <d v="2024-08-16T00:00:00"/>
    <s v="Compra teclados y mouse para contabilidad y bodega IT, solicitud de orden de compra, tomar de requerimientos totales"/>
    <x v="9"/>
    <s v="Configuracion Hardware"/>
    <x v="2"/>
    <s v="Desktop"/>
    <m/>
    <m/>
    <s v="CANELLA, SOCIEDAD ANONIMA"/>
    <s v="CONTABILIDAD, CANELLA, S. A."/>
    <n v="4301"/>
    <n v="35"/>
    <s v="Mesa Ayuda Infraestructura"/>
    <n v="247795"/>
    <s v="SANDRA JUDITH LOARCA HERNANDEZ de PEREZ"/>
    <n v="314"/>
    <s v="CANELLA"/>
    <n v="1"/>
    <n v="21"/>
    <m/>
    <m/>
    <n v="1"/>
    <s v="CANELLA"/>
    <n v="314"/>
    <s v="Yosselyn Ignacio"/>
    <m/>
    <s v="normal"/>
    <s v="En proceso"/>
    <s v="Compra teclados y mouse para contabilidad y bodega IT"/>
    <n v="70"/>
    <m/>
    <s v="[27117]"/>
    <n v="2"/>
    <s v="04206@general.tbd"/>
    <n v="27117"/>
    <n v="0"/>
    <n v="314"/>
    <n v="8777"/>
    <s v="Mesa Ayuda Infraestructura"/>
    <n v="0"/>
    <m/>
  </r>
  <r>
    <n v="4398"/>
    <m/>
    <m/>
    <s v="20-Asignado"/>
    <d v="1899-12-31T00:00:00"/>
    <x v="319"/>
    <d v="2024-08-16T00:00:00"/>
    <d v="2024-08-16T18:07:36"/>
    <x v="4"/>
    <n v="0"/>
    <d v="1899-12-30T00:00:00"/>
    <d v="2024-08-16T00:00:00"/>
    <d v="2024-08-16T18:07:36"/>
    <m/>
    <d v="1899-12-31T00:00:00"/>
    <d v="1899-12-31T00:00:00"/>
    <m/>
    <d v="1899-12-31T00:00:00"/>
    <d v="2024-08-20T19:15:38"/>
    <d v="2024-08-20T19:15:38"/>
    <m/>
    <m/>
    <m/>
    <m/>
    <x v="10"/>
    <s v="Configuracion Software"/>
    <x v="2"/>
    <s v="Ciberseguridad"/>
    <m/>
    <m/>
    <s v="CANELLA, SOCIEDAD ANONIMA"/>
    <s v="INFORMATICA"/>
    <n v="4300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m/>
    <s v="normal"/>
    <s v="En proceso"/>
    <s v="Regla para retiro de licencias ESET a usuarios retirados"/>
    <n v="69"/>
    <m/>
    <s v="[]"/>
    <m/>
    <s v="04025@general.tbd"/>
    <m/>
    <m/>
    <m/>
    <m/>
    <m/>
    <n v="0"/>
    <m/>
  </r>
  <r>
    <n v="4393"/>
    <n v="0.68333333333333302"/>
    <d v="1899-12-30T00:41:00"/>
    <s v="50-Finalizado"/>
    <d v="1899-12-31T00:00:00"/>
    <x v="320"/>
    <d v="2024-08-16T00:00:00"/>
    <d v="2024-08-16T17:19:13"/>
    <x v="163"/>
    <n v="0.48055555555555501"/>
    <d v="1899-12-30T00:28:50"/>
    <d v="2024-08-16T00:00:00"/>
    <d v="2024-08-16T17:19:13"/>
    <m/>
    <d v="1899-12-31T00:00:00"/>
    <d v="2024-08-16T17:48:03"/>
    <m/>
    <d v="1899-12-31T00:00:00"/>
    <d v="2024-08-20T19:15:38"/>
    <d v="2024-08-20T19:15:38"/>
    <m/>
    <m/>
    <d v="2024-08-16T00:00:00"/>
    <s v="Instalar 2 diademas en MR. Credit"/>
    <x v="8"/>
    <s v="Configuracion Hardware"/>
    <x v="2"/>
    <s v="Planta Telefonica"/>
    <m/>
    <m/>
    <s v="SOLUCIONES EN COLOCACION Y RECUPERACION, S.A."/>
    <s v="GERENCIA GENERAL"/>
    <n v="4295"/>
    <n v="35"/>
    <s v="Mesa Ayuda Infraestructura"/>
    <n v="247444"/>
    <s v="LUIS EDUARDO GOMEZ ALVAREZ"/>
    <n v="186"/>
    <s v="CANELLA"/>
    <n v="1"/>
    <n v="14"/>
    <m/>
    <m/>
    <n v="1"/>
    <s v="CANELLA"/>
    <n v="186"/>
    <s v="Carlos Carias"/>
    <s v="&lt;p&gt;Instalar 2 diademas en MR. Credit&lt;/p&gt;"/>
    <s v="normal"/>
    <s v="En proceso"/>
    <s v="Instalar 2 diademas en MR. Credit"/>
    <n v="72"/>
    <b v="1"/>
    <s v="[27114]"/>
    <m/>
    <s v="05950@general.tbd"/>
    <n v="27114"/>
    <n v="0"/>
    <n v="186"/>
    <n v="8777"/>
    <s v="Mesa Ayuda Infraestructura"/>
    <n v="0.48055555555555501"/>
    <m/>
  </r>
  <r>
    <n v="4390"/>
    <n v="0.1"/>
    <d v="1899-12-30T00:06:00"/>
    <s v="50-Finalizado"/>
    <d v="1899-12-31T00:00:00"/>
    <x v="321"/>
    <d v="2024-08-16T00:00:00"/>
    <d v="2024-08-16T17:04:58"/>
    <x v="164"/>
    <n v="6.0655555555555498"/>
    <d v="1899-12-30T06:03:56"/>
    <d v="2024-08-16T00:00:00"/>
    <d v="2024-08-16T17:04:58"/>
    <m/>
    <d v="1899-12-31T00:00:00"/>
    <d v="2024-08-16T23:08:54"/>
    <m/>
    <d v="1899-12-31T00:00:00"/>
    <d v="2024-08-20T19:15:38"/>
    <d v="2024-08-20T19:15:38"/>
    <m/>
    <m/>
    <d v="2024-08-16T00:00:00"/>
    <s v="Reseteo de contraseña para backup de equipo de cómputo por Jose Julajuj"/>
    <x v="9"/>
    <s v="Configuracion Software"/>
    <x v="2"/>
    <s v="AD y Portal Office"/>
    <m/>
    <m/>
    <s v="VEHICULOS ECONOMICOS, SOCIEDAD ANONIMA"/>
    <s v="GERENCIA  VEHICULOS ECONOMICOS"/>
    <n v="4292"/>
    <n v="35"/>
    <s v="Mesa Ayuda Infraestructura"/>
    <n v="247134"/>
    <s v="KIMBERLY ZUCELY RODRIGUEZ VALDEZ de BARRIOS"/>
    <n v="314"/>
    <s v="CANELLA"/>
    <n v="2"/>
    <n v="26"/>
    <m/>
    <m/>
    <n v="1"/>
    <s v="CANELLA"/>
    <n v="314"/>
    <s v="Yosselyn Ignacio"/>
    <m/>
    <s v="normal"/>
    <s v="En proceso"/>
    <s v="cambio de contraseña Edicar Quiñonez"/>
    <n v="72"/>
    <b v="1"/>
    <s v="[27092]"/>
    <m/>
    <s v="06504@general.tbd"/>
    <n v="27092"/>
    <n v="0"/>
    <n v="314"/>
    <n v="8777"/>
    <s v="Mesa Ayuda Infraestructura"/>
    <n v="6.0655555555555498"/>
    <m/>
  </r>
  <r>
    <n v="4388"/>
    <n v="0.63333333333333297"/>
    <d v="1899-12-30T00:38:00"/>
    <s v="30-En proceso"/>
    <d v="1899-12-31T00:00:00"/>
    <x v="322"/>
    <d v="2024-08-16T00:00:00"/>
    <d v="2024-08-16T16:40:20"/>
    <x v="4"/>
    <n v="0"/>
    <d v="1899-12-30T00:00:00"/>
    <d v="2024-08-16T00:00:00"/>
    <d v="2024-08-16T16:40:20"/>
    <m/>
    <d v="1899-12-31T00:00:00"/>
    <d v="1899-12-31T00:00:00"/>
    <m/>
    <d v="1899-12-31T00:00:00"/>
    <d v="2024-08-20T19:15:38"/>
    <d v="2024-08-20T19:15:38"/>
    <m/>
    <m/>
    <d v="2024-08-16T00:00:00"/>
    <s v="Verificar permisos en la plataforma de Ucontact"/>
    <x v="8"/>
    <s v="Configuracion Software"/>
    <x v="2"/>
    <s v="Redes y Comunicaciones"/>
    <m/>
    <m/>
    <s v="CANELLA, SOCIEDAD ANONIMA"/>
    <s v="AGENCIA ISUZU MAJADAS"/>
    <n v="4290"/>
    <n v="35"/>
    <s v="Mesa Ayuda Infraestructura"/>
    <n v="246971"/>
    <s v="MARIA FERNANDA DIAZ CASTILLO"/>
    <n v="186"/>
    <s v="CANELLA"/>
    <n v="2"/>
    <n v="28"/>
    <m/>
    <m/>
    <n v="1"/>
    <s v="CANELLA"/>
    <n v="186"/>
    <s v="Carlos Carias"/>
    <s v="&lt;p&gt;Verificar permisos en la plataforma de Ucontact&lt;/p&gt;"/>
    <s v="normal"/>
    <s v="En proceso"/>
    <s v="Verificar permisos en la plataforma de Ucontact"/>
    <n v="70"/>
    <m/>
    <s v="[27077]"/>
    <m/>
    <s v="06713@general.tbd"/>
    <n v="27077"/>
    <n v="0"/>
    <n v="186"/>
    <n v="8777"/>
    <s v="Mesa Ayuda Infraestructura"/>
    <n v="0"/>
    <m/>
  </r>
  <r>
    <n v="4385"/>
    <n v="1.68333333333333"/>
    <d v="1899-12-30T01:41:00"/>
    <s v="50-Finalizado"/>
    <d v="1899-12-31T00:00:00"/>
    <x v="323"/>
    <d v="2024-08-16T00:00:00"/>
    <d v="2024-08-16T16:25:12"/>
    <x v="165"/>
    <n v="6.8152777777777702"/>
    <d v="1899-12-30T06:48:55"/>
    <d v="2024-08-16T00:00:00"/>
    <d v="2024-08-16T16:25:12"/>
    <m/>
    <d v="1899-12-31T00:00:00"/>
    <d v="2024-08-16T23:14:07"/>
    <m/>
    <d v="1899-12-31T00:00:00"/>
    <d v="2024-08-20T19:15:38"/>
    <d v="2024-08-20T19:15:38"/>
    <m/>
    <m/>
    <d v="2024-08-16T00:00:00"/>
    <s v="Desinstalar Office 2016, instalar office 365, agregar licencia visio y project 2013"/>
    <x v="9"/>
    <s v="Configuracion Software"/>
    <x v="2"/>
    <s v="Office 365"/>
    <m/>
    <m/>
    <s v="CANELLA, SOCIEDAD ANONIMA"/>
    <s v="INFORMATICA"/>
    <n v="4287"/>
    <n v="35"/>
    <s v="Mesa Ayuda Infraestructura"/>
    <n v="247813"/>
    <s v="OSCAR RAUL HERNANDEZ REYNA"/>
    <n v="314"/>
    <s v="CANELLA"/>
    <n v="2"/>
    <n v="7"/>
    <m/>
    <m/>
    <n v="1"/>
    <s v="CANELLA"/>
    <n v="314"/>
    <s v="Yosselyn Ignacio"/>
    <m/>
    <s v="normal"/>
    <s v="En proceso"/>
    <s v="Instalación Office 365 Ing. Raúl Hernandez"/>
    <n v="72"/>
    <b v="1"/>
    <s v="[27075]"/>
    <m/>
    <s v="04025@general.tbd"/>
    <n v="27075"/>
    <n v="0"/>
    <n v="314"/>
    <n v="8777"/>
    <s v="Mesa Ayuda Infraestructura"/>
    <n v="6.8152777777777702"/>
    <m/>
  </r>
  <r>
    <n v="4382"/>
    <n v="0.33333333333333298"/>
    <d v="1899-12-30T00:20:00"/>
    <s v="40-Esperando cliente"/>
    <d v="1899-12-31T00:00:00"/>
    <x v="324"/>
    <d v="2024-08-16T00:00:00"/>
    <d v="2024-08-16T16:05:44"/>
    <x v="4"/>
    <n v="0"/>
    <d v="1899-12-30T00:00:00"/>
    <d v="2024-08-16T00:00:00"/>
    <d v="2024-08-16T16:05:44"/>
    <m/>
    <d v="1899-12-31T00:00:00"/>
    <d v="1899-12-31T00:00:00"/>
    <m/>
    <d v="1899-12-31T00:00:00"/>
    <d v="2024-08-20T19:15:38"/>
    <d v="2024-08-20T19:15:38"/>
    <m/>
    <m/>
    <d v="2024-08-20T00:00:00"/>
    <s v="Seguimiento de punto muerto en la planta"/>
    <x v="8"/>
    <s v="Configuracion Hardware"/>
    <x v="2"/>
    <s v="Planta Telefonica"/>
    <m/>
    <m/>
    <s v="CANELLA, SOCIEDAD ANONIMA"/>
    <s v="TIENDAS PROPIAS"/>
    <n v="4284"/>
    <n v="35"/>
    <s v="Mesa Ayuda Infraestructura"/>
    <n v="247775"/>
    <s v="INGRID ARACELY VELASQUEZ SOLIS"/>
    <n v="186"/>
    <s v="CANELLA"/>
    <n v="1"/>
    <n v="14"/>
    <m/>
    <m/>
    <n v="1"/>
    <s v="CANELLA"/>
    <n v="186"/>
    <s v="Carlos Carias"/>
    <s v="&lt;p&gt;Verificar extensión 104 de recepción Mezanine y realizar pruebas&lt;/p&gt;"/>
    <s v="normal"/>
    <s v="En proceso"/>
    <s v="Verificar extensión 104 de recepción Mezanine"/>
    <n v="71"/>
    <m/>
    <s v="[28054, 27761, 27054]"/>
    <m/>
    <s v="04411@general.tbd"/>
    <n v="28054"/>
    <n v="0"/>
    <n v="186"/>
    <n v="8777"/>
    <s v="Mesa Ayuda Infraestructura"/>
    <n v="0"/>
    <m/>
  </r>
  <r>
    <n v="4382"/>
    <n v="0.33333333333333298"/>
    <d v="1899-12-30T00:20:00"/>
    <s v="40-Esperando cliente"/>
    <d v="1899-12-31T00:00:00"/>
    <x v="324"/>
    <d v="2024-08-16T00:00:00"/>
    <d v="2024-08-16T16:05:44"/>
    <x v="4"/>
    <n v="0"/>
    <d v="1899-12-30T00:00:00"/>
    <d v="2024-08-16T00:00:00"/>
    <d v="2024-08-16T16:05:44"/>
    <m/>
    <d v="1899-12-31T00:00:00"/>
    <d v="1899-12-31T00:00:00"/>
    <m/>
    <d v="1899-12-31T00:00:00"/>
    <d v="2024-08-20T19:15:38"/>
    <d v="2024-08-20T19:15:38"/>
    <m/>
    <m/>
    <d v="2024-08-19T00:00:00"/>
    <s v="Aperturar ticket con Revtec para la revisión del puerto en la planta Telefónica"/>
    <x v="8"/>
    <s v="Configuracion Hardware"/>
    <x v="2"/>
    <s v="Planta Telefonica"/>
    <m/>
    <m/>
    <s v="CANELLA, SOCIEDAD ANONIMA"/>
    <s v="TIENDAS PROPIAS"/>
    <n v="4284"/>
    <n v="35"/>
    <s v="Mesa Ayuda Infraestructura"/>
    <n v="247775"/>
    <s v="INGRID ARACELY VELASQUEZ SOLIS"/>
    <n v="186"/>
    <s v="CANELLA"/>
    <n v="1"/>
    <n v="14"/>
    <m/>
    <m/>
    <n v="1"/>
    <s v="CANELLA"/>
    <n v="186"/>
    <s v="Carlos Carias"/>
    <s v="&lt;p&gt;Verificar extensión 104 de recepción Mezanine y realizar pruebas&lt;/p&gt;"/>
    <s v="normal"/>
    <s v="En proceso"/>
    <s v="Verificar extensión 104 de recepción Mezanine"/>
    <n v="71"/>
    <m/>
    <s v="[28054, 27761, 27054]"/>
    <m/>
    <s v="04411@general.tbd"/>
    <n v="27761"/>
    <n v="0"/>
    <n v="186"/>
    <n v="8777"/>
    <s v="Mesa Ayuda Infraestructura"/>
    <n v="0"/>
    <m/>
  </r>
  <r>
    <n v="4382"/>
    <n v="1.3333333333333299"/>
    <d v="1899-12-30T01:20:00"/>
    <s v="40-Esperando cliente"/>
    <d v="1899-12-31T00:00:00"/>
    <x v="324"/>
    <d v="2024-08-16T00:00:00"/>
    <d v="2024-08-16T16:05:44"/>
    <x v="4"/>
    <n v="0"/>
    <d v="1899-12-30T00:00:00"/>
    <d v="2024-08-16T00:00:00"/>
    <d v="2024-08-16T16:05:44"/>
    <m/>
    <d v="1899-12-31T00:00:00"/>
    <d v="1899-12-31T00:00:00"/>
    <m/>
    <d v="1899-12-31T00:00:00"/>
    <d v="2024-08-20T19:15:38"/>
    <d v="2024-08-20T19:15:38"/>
    <m/>
    <m/>
    <d v="2024-08-16T00:00:00"/>
    <s v="Verificar extensión 104 de recepción Mezanine y realizar pruebas"/>
    <x v="8"/>
    <s v="Configuracion Hardware"/>
    <x v="2"/>
    <s v="Planta Telefonica"/>
    <m/>
    <m/>
    <s v="CANELLA, SOCIEDAD ANONIMA"/>
    <s v="TIENDAS PROPIAS"/>
    <n v="4284"/>
    <n v="35"/>
    <s v="Mesa Ayuda Infraestructura"/>
    <n v="247775"/>
    <s v="INGRID ARACELY VELASQUEZ SOLIS"/>
    <n v="186"/>
    <s v="CANELLA"/>
    <n v="1"/>
    <n v="14"/>
    <m/>
    <m/>
    <n v="1"/>
    <s v="CANELLA"/>
    <n v="186"/>
    <s v="Carlos Carias"/>
    <s v="&lt;p&gt;Verificar extensión 104 de recepción Mezanine y realizar pruebas&lt;/p&gt;"/>
    <s v="normal"/>
    <s v="En proceso"/>
    <s v="Verificar extensión 104 de recepción Mezanine"/>
    <n v="71"/>
    <m/>
    <s v="[28054, 27761, 27054]"/>
    <m/>
    <s v="04411@general.tbd"/>
    <n v="27054"/>
    <n v="0"/>
    <n v="186"/>
    <n v="8777"/>
    <s v="Mesa Ayuda Infraestructura"/>
    <n v="0"/>
    <m/>
  </r>
  <r>
    <n v="4379"/>
    <n v="0.1"/>
    <d v="1899-12-30T00:06:00"/>
    <s v="50-Finalizado"/>
    <d v="1899-12-31T00:00:00"/>
    <x v="325"/>
    <d v="2024-08-16T00:00:00"/>
    <d v="2024-08-16T15:33:40"/>
    <x v="166"/>
    <n v="0.13166666666666599"/>
    <d v="1899-12-30T00:07:54"/>
    <d v="2024-08-16T00:00:00"/>
    <d v="2024-08-16T15:33:40"/>
    <m/>
    <d v="1899-12-31T00:00:00"/>
    <d v="2024-08-16T15:41:34"/>
    <m/>
    <d v="1899-12-31T00:00:00"/>
    <d v="2024-08-20T19:15:38"/>
    <d v="2024-08-20T19:15:38"/>
    <s v="Resuelto"/>
    <m/>
    <d v="2024-08-16T00:00:00"/>
    <s v="eshabilitar usuario de Edwin Delgado en Active Directory"/>
    <x v="9"/>
    <s v="Configuracion Software"/>
    <x v="2"/>
    <s v="AD y Portal Office"/>
    <m/>
    <m/>
    <s v="CANELLA, SOCIEDAD ANONIMA"/>
    <s v="ISUZU"/>
    <n v="4281"/>
    <n v="35"/>
    <s v="Mesa Ayuda Infraestructura"/>
    <n v="247791"/>
    <s v="ASTRID VICTORIA PEÑA DIEGUEZ"/>
    <n v="314"/>
    <s v="CANELLA"/>
    <n v="2"/>
    <n v="26"/>
    <m/>
    <m/>
    <n v="1"/>
    <s v="CANELLA"/>
    <n v="314"/>
    <s v="Yosselyn Ignacio"/>
    <m/>
    <s v="normal"/>
    <s v="En proceso"/>
    <s v="Deshabilitar usuario de Edwin Delgado en Active Directory"/>
    <n v="72"/>
    <b v="1"/>
    <s v="[27040]"/>
    <n v="2"/>
    <s v="04243@general.tbd"/>
    <n v="27040"/>
    <n v="0"/>
    <n v="314"/>
    <n v="8777"/>
    <s v="Mesa Ayuda Infraestructura"/>
    <n v="0.1316666666666659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2C3ACE-5DC3-42BC-A1BA-449C0ECFF832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5">
  <location ref="B2:C111" firstHeaderRow="1" firstDataRow="1" firstDataCol="1"/>
  <pivotFields count="70">
    <pivotField dataField="1" showAll="0"/>
    <pivotField showAll="0"/>
    <pivotField showAll="0"/>
    <pivotField showAll="0"/>
    <pivotField showAll="0"/>
    <pivotField axis="axisRow" numFmtId="164" showAll="0">
      <items count="341">
        <item m="1" x="339"/>
        <item m="1" x="338"/>
        <item m="1" x="332"/>
        <item m="1" x="331"/>
        <item m="1" x="330"/>
        <item m="1" x="329"/>
        <item m="1" x="337"/>
        <item m="1" x="336"/>
        <item m="1" x="335"/>
        <item m="1" x="334"/>
        <item m="1" x="328"/>
        <item m="1" x="327"/>
        <item m="1" x="333"/>
        <item m="1" x="32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t="default"/>
      </items>
    </pivotField>
    <pivotField numFmtId="164" showAll="0"/>
    <pivotField numFmtId="164" showAll="0"/>
    <pivotField numFmtId="164" showAll="0">
      <items count="172">
        <item x="4"/>
        <item m="1" x="167"/>
        <item m="1" x="170"/>
        <item m="1" x="168"/>
        <item m="1" x="169"/>
        <item x="0"/>
        <item x="1"/>
        <item x="2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t="default"/>
      </items>
    </pivotField>
    <pivotField showAll="0"/>
    <pivotField numFmtId="165" showAll="0"/>
    <pivotField numFmtId="14" showAll="0"/>
    <pivotField numFmtId="164" showAll="0"/>
    <pivotField showAll="0"/>
    <pivotField numFmtId="164" showAll="0"/>
    <pivotField numFmtId="164" showAll="0"/>
    <pivotField showAll="0"/>
    <pivotField numFmtId="164" showAll="0"/>
    <pivotField numFmtId="164" showAll="0"/>
    <pivotField numFmtId="164" showAll="0"/>
    <pivotField showAll="0"/>
    <pivotField showAll="0"/>
    <pivotField showAll="0"/>
    <pivotField showAll="0"/>
    <pivotField axis="axisRow" showAll="0">
      <items count="14">
        <item m="1" x="11"/>
        <item m="1" x="12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>
      <items count="4">
        <item x="1"/>
        <item h="1" x="0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Row"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Row"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axis="axisRow"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2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t="default"/>
      </items>
    </pivotField>
  </pivotFields>
  <rowFields count="9">
    <field x="24"/>
    <field x="66"/>
    <field x="65"/>
    <field x="64"/>
    <field x="63"/>
    <field x="5"/>
    <field x="69"/>
    <field x="68"/>
    <field x="67"/>
  </rowFields>
  <rowItems count="109">
    <i>
      <x v="2"/>
    </i>
    <i r="1">
      <x v="225"/>
    </i>
    <i r="1">
      <x v="231"/>
    </i>
    <i r="1">
      <x v="232"/>
    </i>
    <i>
      <x v="3"/>
    </i>
    <i r="1">
      <x v="231"/>
    </i>
    <i r="1">
      <x v="232"/>
    </i>
    <i>
      <x v="4"/>
    </i>
    <i r="1">
      <x v="225"/>
    </i>
    <i r="1">
      <x v="231"/>
    </i>
    <i r="1">
      <x v="232"/>
    </i>
    <i>
      <x v="5"/>
    </i>
    <i r="1">
      <x v="197"/>
    </i>
    <i r="1">
      <x v="198"/>
    </i>
    <i r="1">
      <x v="199"/>
    </i>
    <i r="1">
      <x v="200"/>
    </i>
    <i r="1">
      <x v="203"/>
    </i>
    <i r="1">
      <x v="204"/>
    </i>
    <i r="1">
      <x v="205"/>
    </i>
    <i r="1">
      <x v="206"/>
    </i>
    <i r="1">
      <x v="207"/>
    </i>
    <i r="1">
      <x v="210"/>
    </i>
    <i r="1">
      <x v="211"/>
    </i>
    <i r="1">
      <x v="212"/>
    </i>
    <i r="1">
      <x v="214"/>
    </i>
    <i r="1">
      <x v="217"/>
    </i>
    <i r="1">
      <x v="218"/>
    </i>
    <i r="1">
      <x v="219"/>
    </i>
    <i r="1">
      <x v="220"/>
    </i>
    <i r="1">
      <x v="221"/>
    </i>
    <i r="1">
      <x v="224"/>
    </i>
    <i r="1">
      <x v="225"/>
    </i>
    <i r="1">
      <x v="226"/>
    </i>
    <i r="1">
      <x v="228"/>
    </i>
    <i r="1">
      <x v="231"/>
    </i>
    <i r="1">
      <x v="232"/>
    </i>
    <i>
      <x v="6"/>
    </i>
    <i r="1">
      <x v="231"/>
    </i>
    <i>
      <x v="7"/>
    </i>
    <i r="1">
      <x v="225"/>
    </i>
    <i>
      <x v="8"/>
    </i>
    <i r="1">
      <x v="199"/>
    </i>
    <i r="1">
      <x v="200"/>
    </i>
    <i r="1">
      <x v="203"/>
    </i>
    <i r="1">
      <x v="204"/>
    </i>
    <i r="1">
      <x v="206"/>
    </i>
    <i r="1">
      <x v="207"/>
    </i>
    <i r="1">
      <x v="208"/>
    </i>
    <i r="1">
      <x v="210"/>
    </i>
    <i r="1">
      <x v="211"/>
    </i>
    <i r="1">
      <x v="213"/>
    </i>
    <i r="1">
      <x v="218"/>
    </i>
    <i r="1">
      <x v="219"/>
    </i>
    <i r="1">
      <x v="220"/>
    </i>
    <i r="1">
      <x v="221"/>
    </i>
    <i r="1">
      <x v="222"/>
    </i>
    <i r="1">
      <x v="224"/>
    </i>
    <i r="1">
      <x v="225"/>
    </i>
    <i r="1">
      <x v="226"/>
    </i>
    <i r="1">
      <x v="228"/>
    </i>
    <i r="1">
      <x v="229"/>
    </i>
    <i r="1">
      <x v="231"/>
    </i>
    <i r="1">
      <x v="232"/>
    </i>
    <i>
      <x v="9"/>
    </i>
    <i r="1">
      <x v="196"/>
    </i>
    <i r="1">
      <x v="199"/>
    </i>
    <i r="1">
      <x v="200"/>
    </i>
    <i r="1">
      <x v="206"/>
    </i>
    <i r="1">
      <x v="212"/>
    </i>
    <i r="1">
      <x v="219"/>
    </i>
    <i>
      <x v="10"/>
    </i>
    <i r="1">
      <x v="197"/>
    </i>
    <i r="1">
      <x v="198"/>
    </i>
    <i r="1">
      <x v="199"/>
    </i>
    <i r="1">
      <x v="200"/>
    </i>
    <i r="1">
      <x v="207"/>
    </i>
    <i r="1">
      <x v="210"/>
    </i>
    <i r="1">
      <x v="212"/>
    </i>
    <i r="1">
      <x v="217"/>
    </i>
    <i r="1">
      <x v="219"/>
    </i>
    <i r="1">
      <x v="226"/>
    </i>
    <i r="1">
      <x v="228"/>
    </i>
    <i r="1">
      <x v="231"/>
    </i>
    <i r="1">
      <x v="232"/>
    </i>
    <i>
      <x v="11"/>
    </i>
    <i r="1">
      <x v="199"/>
    </i>
    <i r="1">
      <x v="204"/>
    </i>
    <i r="1">
      <x v="207"/>
    </i>
    <i r="1">
      <x v="217"/>
    </i>
    <i r="1">
      <x v="226"/>
    </i>
    <i r="1">
      <x v="228"/>
    </i>
    <i>
      <x v="12"/>
    </i>
    <i r="1">
      <x v="196"/>
    </i>
    <i r="1">
      <x v="198"/>
    </i>
    <i r="1">
      <x v="199"/>
    </i>
    <i r="1">
      <x v="200"/>
    </i>
    <i r="1">
      <x v="203"/>
    </i>
    <i r="1">
      <x v="206"/>
    </i>
    <i r="1">
      <x v="207"/>
    </i>
    <i r="1">
      <x v="210"/>
    </i>
    <i r="1">
      <x v="211"/>
    </i>
    <i r="1">
      <x v="212"/>
    </i>
    <i r="1">
      <x v="213"/>
    </i>
    <i r="1">
      <x v="218"/>
    </i>
    <i r="1">
      <x v="225"/>
    </i>
    <i r="1">
      <x v="228"/>
    </i>
    <i r="1">
      <x v="231"/>
    </i>
    <i r="1">
      <x v="232"/>
    </i>
    <i t="grand">
      <x/>
    </i>
  </rowItems>
  <colItems count="1">
    <i/>
  </colItems>
  <dataFields count="1">
    <dataField name="Cuenta de TCK TICKET" fld="0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C34417-F69B-42FB-B00A-F2BDE098B6D1}" name="_tblTemplate" displayName="_tblTemplate" ref="A1:AC5" totalsRowShown="0" headerRowDxfId="106">
  <tableColumns count="29">
    <tableColumn id="1" xr3:uid="{644193DA-5B1C-44DF-B183-9225E2523B76}" name="tck ticket"/>
    <tableColumn id="2" xr3:uid="{213878CE-1139-49D7-A4C9-470892E51EDE}" name="tiempo_efectivo"/>
    <tableColumn id="3" xr3:uid="{DED182DC-4BB7-4CCB-9D91-35F38E771611}" name="tiempo_efectivo_60" dataDxfId="105"/>
    <tableColumn id="4" xr3:uid="{E9097F55-79CB-47B1-BD59-4B79C7E97802}" name="tck tiempo abierto"/>
    <tableColumn id="5" xr3:uid="{63CC7C31-DE61-4218-B1C3-5B5AB5868CDC}" name="tck tiempo abierto 60" dataDxfId="104"/>
    <tableColumn id="6" xr3:uid="{0C61E6B1-79D9-4A75-9C6A-381EB77DAF26}" name="tck dif"/>
    <tableColumn id="7" xr3:uid="{37CB5047-785F-48D7-9155-7FBE3CC46F38}" name="tck dif 60" dataDxfId="103"/>
    <tableColumn id="8" xr3:uid="{E9B6F444-C532-4E7C-9F3F-E0C3E3F519CC}" name="tck valido"/>
    <tableColumn id="9" xr3:uid="{F1CFBA35-0323-472B-A48F-4BACF2AB86E4}" name="tck etapa"/>
    <tableColumn id="10" xr3:uid="{DB94BD21-9EF0-446E-A57F-1448B78DBB26}" name="tck prioridad" dataDxfId="102"/>
    <tableColumn id="11" xr3:uid="{61D0D1C1-2909-43C9-A8CF-28AF5FA31D95}" name="tck cn003_fecha_apertura_reporte" dataDxfId="101"/>
    <tableColumn id="12" xr3:uid="{986144BB-8C9B-468A-8E5E-B70E4959F8FF}" name="tck cn003_fecha_cierre_reporte" dataDxfId="100"/>
    <tableColumn id="13" xr3:uid="{1E0C54E3-99BB-4B10-98DE-4A11ABA2668C}" name="tck fecha creación" dataDxfId="99"/>
    <tableColumn id="14" xr3:uid="{F1143229-1941-4729-B019-AD2F0CEB910D}" name="tck fecha operación"/>
    <tableColumn id="15" xr3:uid="{3B70893C-F0FA-4C43-984E-8BB24A93A9B3}" name="tck técnico"/>
    <tableColumn id="16" xr3:uid="{FF972477-3D38-421A-A6F9-6F38AEC25666}" name="tck cliente"/>
    <tableColumn id="17" xr3:uid="{DAD9A768-C78C-4D4F-B080-0E0039335CD1}" name="tck tipo soporte"/>
    <tableColumn id="18" xr3:uid="{8513AF2E-49EB-4910-9D08-69FBC48F9E96}" name="tck canal atención"/>
    <tableColumn id="19" xr3:uid="{024C7906-F80C-4EE1-845A-A8A987D2CF99}" name="tck aplicación"/>
    <tableColumn id="20" xr3:uid="{0C420D19-11DE-4093-B621-8A1E1607F062}" name="tck módulo"/>
    <tableColumn id="21" xr3:uid="{1B8AD7FB-949F-4C18-953B-A01C60DEA4FB}" name="tck proyecto"/>
    <tableColumn id="22" xr3:uid="{A2E6A866-E4BF-4ADB-A94D-8AEDC1C1EEAE}" name="tck cliente empresa"/>
    <tableColumn id="23" xr3:uid="{D20C7356-7F80-4C94-BD51-D5A0E83B25BA}" name="tck cliente departamento"/>
    <tableColumn id="24" xr3:uid="{AB0AECE6-56BF-48FF-8C97-7F48072F8675}" name="tck cierre tipo"/>
    <tableColumn id="25" xr3:uid="{66E26C51-2AF3-4ACF-879E-6CE331B9FF36}" name="tck cierre descripción"/>
    <tableColumn id="26" xr3:uid="{F201684E-DAF2-452F-BDF1-278CFD681E70}" name="tck kanban"/>
    <tableColumn id="27" xr3:uid="{218447DA-0CE6-42BF-BFD3-93D02301684F}" name="tck stage_fold"/>
    <tableColumn id="28" xr3:uid="{453237B9-1A1B-42F4-BA96-CAC9616612A7}" name="tck descripción corta"/>
    <tableColumn id="29" xr3:uid="{D7D0FCCE-5A9E-44CD-9962-36238D77D197}" name="__tck_interno_empresa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D086B4-C35E-4D96-9F86-720973CDFB0E}" name="_tblResumen" displayName="_tblResumen" ref="A1:AD92" totalsRowShown="0" headerRowDxfId="97" dataDxfId="96">
  <tableColumns count="30">
    <tableColumn id="1" xr3:uid="{674026A5-D91B-42E1-BB19-D4A82F389D42}" name="tck ticket" dataDxfId="95"/>
    <tableColumn id="2" xr3:uid="{B502A25D-4D2C-4D6E-A787-5BD256D63C05}" name="tiempo_efectivo" dataDxfId="94"/>
    <tableColumn id="3" xr3:uid="{7ED4D581-7531-42E9-B22A-2C375B6A21CB}" name="tiempo_efectivo_60" dataDxfId="93"/>
    <tableColumn id="4" xr3:uid="{D5B5A3F4-1903-44E5-BF49-167D05E624B1}" name="tck tiempo abierto" dataDxfId="92"/>
    <tableColumn id="5" xr3:uid="{8830974E-7D41-4146-816F-6CFC69EC4B2F}" name="tck tiempo abierto 60" dataDxfId="91"/>
    <tableColumn id="6" xr3:uid="{09422E26-696F-4A0A-806C-DD7362909A79}" name="tck dif" dataDxfId="90"/>
    <tableColumn id="7" xr3:uid="{09B0881B-F656-4A8D-B110-582014294D4B}" name="tck dif 60" dataDxfId="89"/>
    <tableColumn id="8" xr3:uid="{9952CFE4-55B4-4BDE-8FA6-B55FAB302B4E}" name="tck valido" dataDxfId="88"/>
    <tableColumn id="9" xr3:uid="{04913654-E91A-45DF-943C-79EA0C40F368}" name="tck etapa" dataDxfId="87"/>
    <tableColumn id="10" xr3:uid="{07E869B3-2C9C-487E-A4FC-8650B1F8FF35}" name="tck prioridad" dataDxfId="86"/>
    <tableColumn id="11" xr3:uid="{8B42EBCA-24E4-44A5-AB84-5BF92878E885}" name="tck cn003_fecha_apertura_reporte" dataDxfId="85"/>
    <tableColumn id="12" xr3:uid="{76BA526D-FFEC-4326-87CD-09A88AE5FE12}" name="tck cn003_fecha_cierre_reporte" dataDxfId="84"/>
    <tableColumn id="13" xr3:uid="{E8902329-7E79-414F-8A4C-E2F1658D75CD}" name="tck fecha creación" dataDxfId="83"/>
    <tableColumn id="14" xr3:uid="{4A54F449-4037-4CA2-B163-135014422C09}" name="tck cn003_fecha_cierre_ofrecida" dataDxfId="82"/>
    <tableColumn id="15" xr3:uid="{95B46FFE-0990-4A80-89CB-3C09CA7ABB54}" name="tck fecha operación" dataDxfId="81"/>
    <tableColumn id="16" xr3:uid="{DBAFA7E5-654E-457E-9C04-6B7E091AAC65}" name="tck técnico" dataDxfId="80"/>
    <tableColumn id="17" xr3:uid="{467AF890-5EE9-4F20-BF75-B0F5F69DDCD5}" name="tck cliente" dataDxfId="79"/>
    <tableColumn id="18" xr3:uid="{9385AC76-1719-4F83-886A-200F801D9A01}" name="tck tipo soporte" dataDxfId="78"/>
    <tableColumn id="19" xr3:uid="{2A4C126B-FA10-4937-9B5A-DACB559D81F2}" name="tck canal atención" dataDxfId="77"/>
    <tableColumn id="20" xr3:uid="{A75839FB-FFA8-4943-8B4C-4FF067D23826}" name="tck aplicación" dataDxfId="76"/>
    <tableColumn id="21" xr3:uid="{11049E8C-E06D-40D7-813D-170B9FE16167}" name="tck módulo" dataDxfId="75"/>
    <tableColumn id="22" xr3:uid="{22CA6683-99C8-4C92-849C-345534B2F77D}" name="tck proyecto" dataDxfId="74"/>
    <tableColumn id="23" xr3:uid="{D8FE7A1D-3868-43A3-8D5D-C4978BAFB74C}" name="tck cliente empresa" dataDxfId="73"/>
    <tableColumn id="24" xr3:uid="{3EB72970-EBBF-4116-B007-79107520FCFA}" name="tck cliente departamento" dataDxfId="72"/>
    <tableColumn id="25" xr3:uid="{E06BBFD5-10A6-4310-9231-E41B7E6B240F}" name="tck cierre tipo" dataDxfId="71"/>
    <tableColumn id="26" xr3:uid="{7D8E68A7-E5CA-4479-B5A6-CCCD0160C8E0}" name="tck cierre descripción" dataDxfId="70"/>
    <tableColumn id="27" xr3:uid="{72004FBE-F8F1-40E0-AA84-4649DA7DC11F}" name="tck kanban" dataDxfId="69"/>
    <tableColumn id="28" xr3:uid="{C64DF826-9FED-48EB-A2EC-03A783C760EF}" name="tck stage_fold" dataDxfId="68"/>
    <tableColumn id="29" xr3:uid="{83F61138-7580-42D5-B067-12BE5AA0F803}" name="tck descripción corta" dataDxfId="67"/>
    <tableColumn id="30" xr3:uid="{98B78875-F535-4A87-A293-F584AA41B0E0}" name="__tck_interno_empresa" dataDxfId="6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259E61-CE5B-4FE4-8F0A-F8B6EAE834C2}" name="_tbldatosOdoo" displayName="_tbldatosOdoo" ref="A1:BK102" totalsRowShown="0" headerRowDxfId="65" dataDxfId="64">
  <tableColumns count="63">
    <tableColumn id="1" xr3:uid="{2786F766-7EC7-4929-A38B-218CAA7ACAB8}" name="TCK TICKET" dataDxfId="63"/>
    <tableColumn id="2" xr3:uid="{8A0409DD-65BD-482C-97E6-5A1B2A1D7899}" name="PH TIEMPO" dataDxfId="62"/>
    <tableColumn id="3" xr3:uid="{CB6853DA-A890-458E-BC94-CE2E307763D8}" name="PH TIEMPO 60" dataDxfId="61"/>
    <tableColumn id="4" xr3:uid="{F5663BC1-839C-4C90-AA83-A797A5026BD6}" name="TCK ETAPA" dataDxfId="60"/>
    <tableColumn id="5" xr3:uid="{F7227C04-6FF1-4548-9CCF-A803108667A9}" name="TCK PRIORIDAD" dataDxfId="59"/>
    <tableColumn id="6" xr3:uid="{A951CB28-CB6F-4A5D-8EEC-8B33ACEE6466}" name="TCK FECHA CREACIÓN" dataDxfId="58"/>
    <tableColumn id="7" xr3:uid="{69EAFBAC-8007-4CC3-856F-7A91793E232D}" name="TCK CN003_FECHA_CIERRE_OFRECIDA" dataDxfId="57"/>
    <tableColumn id="8" xr3:uid="{95FD63FC-9720-4E49-B68A-6C5462E274D0}" name="TCK CN003_FECHA_APERTURA_REPORTE" dataDxfId="56"/>
    <tableColumn id="9" xr3:uid="{3B445657-1C56-4543-A44E-C1178B5F204E}" name="TCK CN003_FECHA_CIERRE_REPORTE" dataDxfId="55"/>
    <tableColumn id="10" xr3:uid="{308224E9-C4FA-4F6C-B5E3-0EAE3B4855A2}" name="TCK TIEMPO ABIERTO" dataDxfId="54"/>
    <tableColumn id="11" xr3:uid="{0083917D-F811-4377-B2A5-6B2ADE87F1E2}" name="TCK TIEMPO ABIERTO 60" dataDxfId="53"/>
    <tableColumn id="12" xr3:uid="{7E5CB544-9F8E-4BC1-AE81-B37F123EF5DC}" name="TCK FECHA OPERACIÓN" dataDxfId="52"/>
    <tableColumn id="13" xr3:uid="{D9E3E47D-A9EA-4CD4-9D11-F3991D3DDDAD}" name="TCK CN003_FECHA_APERTURA" dataDxfId="51"/>
    <tableColumn id="14" xr3:uid="{F3A4F3A1-D52D-471E-973E-FAC4E88580E1}" name="TCK CN003_FECHA_APERTURA_FLAG" dataDxfId="50"/>
    <tableColumn id="15" xr3:uid="{01AFF49D-1936-4817-B52E-211A36718777}" name="TCK CN003_FECHA_APERTURA_MANUAL" dataDxfId="49"/>
    <tableColumn id="16" xr3:uid="{D05B6F1E-441B-445A-BA90-9DFD5A9B8FB2}" name="TCK CN003_FECHA_CIERRE" dataDxfId="48"/>
    <tableColumn id="17" xr3:uid="{CA342269-6678-4D90-80DE-AB901AB3637A}" name="TCK CN003_FECHA_CIERRE_FLAG" dataDxfId="47"/>
    <tableColumn id="18" xr3:uid="{FDCFE153-02DF-4CCF-AF75-9544B9F4705C}" name="TCK CN003_FECHA_CIERRE_MANUAL" dataDxfId="46"/>
    <tableColumn id="19" xr3:uid="{93C597D0-CE9F-40A0-B238-9AA80F0891E4}" name="TCK FECHA ÚLTIMA ACTUALIZACIÓN" dataDxfId="45"/>
    <tableColumn id="20" xr3:uid="{52981316-46A3-49F4-B7C6-A374B1679174}" name="TCK FECHA MODIFICACIÓN" dataDxfId="44"/>
    <tableColumn id="21" xr3:uid="{447309E0-C722-4E04-9C76-AFCB06011486}" name="TCK CIERRE TIPO" dataDxfId="43"/>
    <tableColumn id="22" xr3:uid="{01D5F6F5-50FF-4B20-8D81-3E036FE5D644}" name="TCK CIERRE DESCRIPCIÓN" dataDxfId="42"/>
    <tableColumn id="23" xr3:uid="{600D6F6B-D61E-4CC1-8603-51EB683C8E3C}" name="PH FECHA" dataDxfId="41"/>
    <tableColumn id="24" xr3:uid="{555CC918-A6CB-49EC-B83B-469B42327A42}" name="PH DESCRIPCIÓN" dataDxfId="40"/>
    <tableColumn id="25" xr3:uid="{F2903C41-DEFC-45C5-B321-DB7E040FA2A1}" name="TCK TÉCNICO" dataDxfId="39"/>
    <tableColumn id="26" xr3:uid="{0FC999DE-FC0B-476C-A1D0-54B994D406C3}" name="TCK TIPO SOPORTE" dataDxfId="38"/>
    <tableColumn id="27" xr3:uid="{163C71B9-5A30-4AF8-B642-A6D82419E185}" name="TCK CANAL ATENCIÓN" dataDxfId="37"/>
    <tableColumn id="28" xr3:uid="{CC5EA59E-F3CF-44A6-89B0-66A85472E72F}" name="TCK APLICACIÓN" dataDxfId="36"/>
    <tableColumn id="29" xr3:uid="{F6CB9F6F-68E5-4057-8D91-04958023BD8B}" name="TCK MÓDULO" dataDxfId="35"/>
    <tableColumn id="30" xr3:uid="{72BBDE6F-3760-41F8-8B88-C813E53EFC4B}" name="TCK PROYECTO" dataDxfId="34"/>
    <tableColumn id="31" xr3:uid="{4C5C17C5-A44F-4A5D-A2C9-E2F816F23107}" name="TCK CLIENTE EMPRESA" dataDxfId="33"/>
    <tableColumn id="32" xr3:uid="{89E44C64-0317-4047-B7AD-8A316A5324AB}" name="TCK CLIENTE DEPARTAMENTO" dataDxfId="32"/>
    <tableColumn id="33" xr3:uid="{C82AF936-D693-4B39-8048-2CAF4BF82255}" name="__TCK_INTERNO_ID" dataDxfId="31"/>
    <tableColumn id="34" xr3:uid="{55A131F7-CB15-4D38-85EC-B85B4F9508DE}" name="TCK MESA ID" dataDxfId="30"/>
    <tableColumn id="35" xr3:uid="{84AC117A-F3EA-497A-A312-8540764BA864}" name="TCK MESA" dataDxfId="29"/>
    <tableColumn id="36" xr3:uid="{0A276A3D-833B-4C39-9736-0F4CB6EDB783}" name="TCK CLIENTE ID" dataDxfId="28"/>
    <tableColumn id="37" xr3:uid="{CA6B7ED7-9E84-44EF-B923-118D1CD85E98}" name="TCK CLIENTE" dataDxfId="27"/>
    <tableColumn id="38" xr3:uid="{9ABAC986-F588-4445-BC83-A08089BE7FB4}" name="TCK TÉCNICO ID" dataDxfId="26"/>
    <tableColumn id="39" xr3:uid="{D016A75F-579F-40E2-B977-612F9F63BC19}" name="__TCK_INTERNO_EMPRESA" dataDxfId="25"/>
    <tableColumn id="40" xr3:uid="{A01ACB3D-57A6-4F8C-A8D7-A9869A9453E5}" name="TCK TIPO SOPORTE ID" dataDxfId="24"/>
    <tableColumn id="41" xr3:uid="{23F3D850-079B-4B22-B559-5EC1300D1CBB}" name="TCK APLICACIÓN ID" dataDxfId="23"/>
    <tableColumn id="42" xr3:uid="{502AB3E0-33F4-4294-BD6E-B3D8B2CFBE83}" name="TCK MÓDULO ID" dataDxfId="22"/>
    <tableColumn id="43" xr3:uid="{74953D4D-4399-478C-9ACC-C3DA8398DFD4}" name="TCK PROYECTO ID" dataDxfId="21"/>
    <tableColumn id="44" xr3:uid="{8CD83601-182D-46A0-BB80-A04D2C555048}" name="__TCK_INTERNO_COMPANY_ID" dataDxfId="20"/>
    <tableColumn id="45" xr3:uid="{D8F7B9A8-201C-46D7-9F40-72D0AA4B72BF}" name="__TCK_INTERNO_COMPANY" dataDxfId="19"/>
    <tableColumn id="46" xr3:uid="{739808F3-7DE3-4163-86B7-1ED87C37B3B8}" name="__TCK_INTERNO_CREATE_UID_ID" dataDxfId="18"/>
    <tableColumn id="47" xr3:uid="{207DB277-E078-4499-90B1-AA6F63DCA2A7}" name="__INTERNO_TCK_CREATE_UID" dataDxfId="17"/>
    <tableColumn id="48" xr3:uid="{AED33A3A-14A6-4C56-B0FB-A5C40F922208}" name="TCK DESCRIPTION" dataDxfId="16"/>
    <tableColumn id="49" xr3:uid="{DAB589FE-6123-42E0-89C7-8803BF9F7502}" name="TCK KANBAN_STATE" dataDxfId="15"/>
    <tableColumn id="50" xr3:uid="{B59D56F3-226C-4E34-A971-8474350B6881}" name="TCK KANBAN" dataDxfId="14"/>
    <tableColumn id="51" xr3:uid="{7772A893-E6C0-4E00-90C0-4B3D99346D08}" name="TCK DESCRIPCIÓN CORTA" dataDxfId="13"/>
    <tableColumn id="52" xr3:uid="{C8F4FBDD-D5FB-40BF-9584-2B93E54CB570}" name="TCK STAGE_ID" dataDxfId="12"/>
    <tableColumn id="53" xr3:uid="{CC407BAC-E4C8-4BAA-B5AD-E6646F9EFE9D}" name="TCK STAGE_FOLD" dataDxfId="11"/>
    <tableColumn id="54" xr3:uid="{6FB7FDE0-4CEB-4509-B20F-61D1E749A7E5}" name="TCK PARTES DE HORAS ASOCIADOS" dataDxfId="10"/>
    <tableColumn id="55" xr3:uid="{64DDB4C1-1818-411A-9C2A-E7C6D3FDEB42}" name="TCK CIERRE TIPO ID" dataDxfId="9"/>
    <tableColumn id="56" xr3:uid="{F22146EF-A0A6-4A56-A576-68DEFF18BE50}" name="TCK CLIENTE EMAIL" dataDxfId="8"/>
    <tableColumn id="57" xr3:uid="{07BB91BE-9B34-4167-93D6-86A3CAD3A93D}" name="PH PARTE DE HORAS" dataDxfId="7"/>
    <tableColumn id="58" xr3:uid="{1673665D-AE6C-4C79-9385-E390FA8D4BEF}" name="__INTERNO_TIMESHEET_AMOUNT" dataDxfId="6"/>
    <tableColumn id="59" xr3:uid="{985D7C1C-841B-4356-90D3-893041D11DFD}" name="PH TÉCNICO ID" dataDxfId="5"/>
    <tableColumn id="60" xr3:uid="{673FBF69-EBA0-4B0A-AE52-6FE94A7BD27E}" name="__INTERNO_TIMESHEET_ACCOUNT_ID" dataDxfId="4"/>
    <tableColumn id="61" xr3:uid="{AD4883DD-3B4C-4E4E-9E3A-13A2865A8C55}" name="__INTERNO_TIMESHEET_ACCOUNT" dataDxfId="3"/>
    <tableColumn id="62" xr3:uid="{85DD2940-3EB9-4D3D-AB45-BC3536EBA6D0}" name="C60" dataDxfId="2"/>
    <tableColumn id="63" xr3:uid="{759678DB-8C0A-4EA2-A0CC-866785D26DE0}" name="C61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canella.odoo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1943D-82C0-4426-A455-CB26C11E4A58}">
  <sheetPr codeName="Hoja10">
    <tabColor rgb="FF66FFFF"/>
    <outlinePr summaryBelow="0" summaryRight="0"/>
  </sheetPr>
  <dimension ref="A1:AC43"/>
  <sheetViews>
    <sheetView showGridLines="0" zoomScale="90" zoomScaleNormal="90" workbookViewId="0"/>
  </sheetViews>
  <sheetFormatPr baseColWidth="10" defaultColWidth="11.44140625" defaultRowHeight="14.4" outlineLevelRow="2" x14ac:dyDescent="0.3"/>
  <cols>
    <col min="2" max="2" width="17" customWidth="1"/>
    <col min="3" max="3" width="20.109375" customWidth="1"/>
    <col min="4" max="4" width="19" customWidth="1"/>
    <col min="5" max="5" width="21.6640625" customWidth="1"/>
    <col min="6" max="6" width="13.6640625" customWidth="1"/>
    <col min="7" max="7" width="25.88671875" bestFit="1" customWidth="1"/>
    <col min="8" max="8" width="30.5546875" customWidth="1"/>
    <col min="9" max="9" width="33.5546875" customWidth="1"/>
    <col min="10" max="10" width="14.5546875" customWidth="1"/>
    <col min="11" max="11" width="33.109375" customWidth="1"/>
    <col min="12" max="12" width="30.5546875" customWidth="1"/>
    <col min="13" max="13" width="19" customWidth="1"/>
    <col min="14" max="14" width="20.33203125" customWidth="1"/>
    <col min="15" max="15" width="12.5546875" customWidth="1"/>
    <col min="16" max="16" width="12" customWidth="1"/>
    <col min="17" max="17" width="16.88671875" customWidth="1"/>
    <col min="18" max="18" width="19.109375" customWidth="1"/>
    <col min="19" max="19" width="15.5546875" customWidth="1"/>
    <col min="20" max="20" width="12.88671875" customWidth="1"/>
    <col min="21" max="21" width="13.88671875" customWidth="1"/>
    <col min="22" max="22" width="20" customWidth="1"/>
    <col min="23" max="23" width="24.6640625" customWidth="1"/>
    <col min="24" max="24" width="15.33203125" customWidth="1"/>
    <col min="25" max="25" width="22" customWidth="1"/>
    <col min="26" max="26" width="12.6640625" customWidth="1"/>
    <col min="27" max="27" width="15.33203125" customWidth="1"/>
    <col min="28" max="28" width="21.5546875" customWidth="1"/>
    <col min="29" max="29" width="23.33203125" customWidth="1"/>
  </cols>
  <sheetData>
    <row r="1" spans="1:29" ht="48" customHeight="1" x14ac:dyDescent="0.3">
      <c r="A1" s="3" t="s">
        <v>226</v>
      </c>
      <c r="B1" s="3" t="s">
        <v>227</v>
      </c>
      <c r="C1" s="17" t="s">
        <v>228</v>
      </c>
      <c r="D1" s="17" t="s">
        <v>229</v>
      </c>
      <c r="E1" s="17" t="s">
        <v>230</v>
      </c>
      <c r="F1" s="3" t="s">
        <v>231</v>
      </c>
      <c r="G1" s="17" t="s">
        <v>232</v>
      </c>
      <c r="H1" s="3" t="s">
        <v>233</v>
      </c>
      <c r="I1" s="3" t="s">
        <v>234</v>
      </c>
      <c r="J1" s="13" t="s">
        <v>235</v>
      </c>
      <c r="K1" s="13" t="s">
        <v>236</v>
      </c>
      <c r="L1" s="13" t="s">
        <v>237</v>
      </c>
      <c r="M1" s="3" t="s">
        <v>238</v>
      </c>
      <c r="N1" s="3" t="s">
        <v>239</v>
      </c>
      <c r="O1" s="3" t="s">
        <v>240</v>
      </c>
      <c r="P1" s="3" t="s">
        <v>241</v>
      </c>
      <c r="Q1" s="3" t="s">
        <v>242</v>
      </c>
      <c r="R1" s="3" t="s">
        <v>243</v>
      </c>
      <c r="S1" s="3" t="s">
        <v>244</v>
      </c>
      <c r="T1" s="3" t="s">
        <v>245</v>
      </c>
      <c r="U1" s="3" t="s">
        <v>246</v>
      </c>
      <c r="V1" s="3" t="s">
        <v>247</v>
      </c>
      <c r="W1" s="3" t="s">
        <v>248</v>
      </c>
      <c r="X1" s="3" t="s">
        <v>249</v>
      </c>
      <c r="Y1" s="3" t="s">
        <v>250</v>
      </c>
      <c r="Z1" s="3" t="s">
        <v>251</v>
      </c>
      <c r="AA1" s="3" t="s">
        <v>252</v>
      </c>
      <c r="AB1" s="3" t="s">
        <v>253</v>
      </c>
      <c r="AC1" t="s">
        <v>254</v>
      </c>
    </row>
    <row r="2" spans="1:29" x14ac:dyDescent="0.3">
      <c r="A2">
        <v>4782</v>
      </c>
      <c r="B2">
        <v>0.16666666666666599</v>
      </c>
      <c r="C2" s="16">
        <v>6.9444444444444397E-3</v>
      </c>
      <c r="D2">
        <v>0.19305555555555501</v>
      </c>
      <c r="E2" s="16">
        <v>8.0439814814814801E-3</v>
      </c>
      <c r="F2">
        <v>2.6388888888888899E-2</v>
      </c>
      <c r="G2" s="16">
        <v>1.09953703703703E-3</v>
      </c>
      <c r="H2">
        <v>1</v>
      </c>
      <c r="I2" t="s">
        <v>96</v>
      </c>
      <c r="J2" s="15">
        <v>3</v>
      </c>
      <c r="K2" s="15">
        <v>45526.900972222204</v>
      </c>
      <c r="L2" s="15">
        <v>45526.909016203703</v>
      </c>
      <c r="M2" s="8">
        <v>45526.900972222204</v>
      </c>
      <c r="N2">
        <v>45526</v>
      </c>
      <c r="O2" t="s">
        <v>149</v>
      </c>
      <c r="P2" t="s">
        <v>207</v>
      </c>
      <c r="Q2" t="s">
        <v>157</v>
      </c>
      <c r="R2" t="s">
        <v>131</v>
      </c>
      <c r="S2" t="s">
        <v>27</v>
      </c>
      <c r="T2" t="s">
        <v>152</v>
      </c>
      <c r="V2" t="s">
        <v>26</v>
      </c>
      <c r="W2" t="s">
        <v>30</v>
      </c>
      <c r="Z2" t="s">
        <v>6</v>
      </c>
      <c r="AA2" t="b">
        <v>1</v>
      </c>
      <c r="AB2" t="s">
        <v>208</v>
      </c>
      <c r="AC2" t="s">
        <v>39</v>
      </c>
    </row>
    <row r="3" spans="1:29" x14ac:dyDescent="0.3">
      <c r="A3">
        <v>4761</v>
      </c>
      <c r="B3">
        <v>3</v>
      </c>
      <c r="C3" s="16">
        <v>0.125</v>
      </c>
      <c r="D3">
        <v>4.7358333333333302</v>
      </c>
      <c r="E3" s="16">
        <v>0.19732638888888801</v>
      </c>
      <c r="F3">
        <v>1.73583333333333</v>
      </c>
      <c r="G3" s="16">
        <v>7.2326388888888898E-2</v>
      </c>
      <c r="H3">
        <v>0</v>
      </c>
      <c r="I3" t="s">
        <v>96</v>
      </c>
      <c r="J3" s="15">
        <v>3</v>
      </c>
      <c r="K3" s="15">
        <v>45526.721319444398</v>
      </c>
      <c r="L3" s="15">
        <v>45526.918645833299</v>
      </c>
      <c r="M3" s="8">
        <v>45526.721319444398</v>
      </c>
      <c r="N3">
        <v>45526</v>
      </c>
      <c r="O3" t="s">
        <v>149</v>
      </c>
      <c r="P3" t="s">
        <v>141</v>
      </c>
      <c r="Q3" t="s">
        <v>140</v>
      </c>
      <c r="R3" t="s">
        <v>133</v>
      </c>
      <c r="S3" t="s">
        <v>27</v>
      </c>
      <c r="T3" t="s">
        <v>148</v>
      </c>
      <c r="V3" t="s">
        <v>26</v>
      </c>
      <c r="W3" t="s">
        <v>28</v>
      </c>
      <c r="Z3" t="s">
        <v>6</v>
      </c>
      <c r="AA3" t="b">
        <v>1</v>
      </c>
      <c r="AB3" t="s">
        <v>209</v>
      </c>
      <c r="AC3" t="s">
        <v>39</v>
      </c>
    </row>
    <row r="4" spans="1:29" x14ac:dyDescent="0.3">
      <c r="A4">
        <v>4722</v>
      </c>
      <c r="B4">
        <v>5</v>
      </c>
      <c r="C4" s="16">
        <v>0.20833333333333301</v>
      </c>
      <c r="D4">
        <v>0</v>
      </c>
      <c r="E4" s="16">
        <v>0</v>
      </c>
      <c r="F4">
        <v>-5</v>
      </c>
      <c r="G4" s="16">
        <v>0.20833333333333301</v>
      </c>
      <c r="H4">
        <v>0</v>
      </c>
      <c r="I4" t="s">
        <v>137</v>
      </c>
      <c r="J4" s="15">
        <v>3</v>
      </c>
      <c r="K4" s="15">
        <v>45526.5441319444</v>
      </c>
      <c r="L4" s="15">
        <v>1</v>
      </c>
      <c r="M4" s="8">
        <v>45526.5441319444</v>
      </c>
      <c r="N4">
        <v>45526</v>
      </c>
      <c r="O4" t="s">
        <v>149</v>
      </c>
      <c r="P4" t="s">
        <v>151</v>
      </c>
      <c r="Q4" t="s">
        <v>135</v>
      </c>
      <c r="R4" t="s">
        <v>133</v>
      </c>
      <c r="S4" t="s">
        <v>172</v>
      </c>
      <c r="T4" t="s">
        <v>213</v>
      </c>
      <c r="U4" t="s">
        <v>214</v>
      </c>
      <c r="V4" t="s">
        <v>26</v>
      </c>
      <c r="W4" t="s">
        <v>36</v>
      </c>
      <c r="Z4" t="s">
        <v>6</v>
      </c>
      <c r="AB4" t="s">
        <v>215</v>
      </c>
      <c r="AC4" t="s">
        <v>39</v>
      </c>
    </row>
    <row r="5" spans="1:29" x14ac:dyDescent="0.3">
      <c r="A5">
        <v>4787</v>
      </c>
      <c r="B5">
        <v>1</v>
      </c>
      <c r="C5" s="16">
        <v>4.1666666666666602E-2</v>
      </c>
      <c r="D5">
        <v>1.02138888888888</v>
      </c>
      <c r="E5" s="16">
        <v>4.2557870370370302E-2</v>
      </c>
      <c r="F5">
        <v>2.1388888888888902E-2</v>
      </c>
      <c r="G5" s="16">
        <v>8.9120370370370395E-4</v>
      </c>
      <c r="H5">
        <v>1</v>
      </c>
      <c r="I5" t="s">
        <v>96</v>
      </c>
      <c r="J5" s="15">
        <v>2</v>
      </c>
      <c r="K5" s="15">
        <v>45526.920497685103</v>
      </c>
      <c r="L5" s="15">
        <v>45526.963055555498</v>
      </c>
      <c r="M5" s="8">
        <v>45526.920497685103</v>
      </c>
      <c r="N5">
        <v>45526</v>
      </c>
      <c r="O5" t="s">
        <v>149</v>
      </c>
      <c r="P5" t="s">
        <v>170</v>
      </c>
      <c r="Q5" t="s">
        <v>155</v>
      </c>
      <c r="R5" t="s">
        <v>131</v>
      </c>
      <c r="S5" t="s">
        <v>27</v>
      </c>
      <c r="T5" t="s">
        <v>150</v>
      </c>
      <c r="V5" t="s">
        <v>26</v>
      </c>
      <c r="W5" t="s">
        <v>33</v>
      </c>
      <c r="Z5" t="s">
        <v>6</v>
      </c>
      <c r="AA5" t="b">
        <v>1</v>
      </c>
      <c r="AB5" t="s">
        <v>218</v>
      </c>
      <c r="AC5" t="s">
        <v>39</v>
      </c>
    </row>
    <row r="6" spans="1:29" x14ac:dyDescent="0.3">
      <c r="D6" s="16"/>
      <c r="K6" s="8"/>
    </row>
    <row r="7" spans="1:29" x14ac:dyDescent="0.3">
      <c r="D7" s="16"/>
      <c r="K7" s="8"/>
    </row>
    <row r="8" spans="1:29" x14ac:dyDescent="0.3">
      <c r="D8" s="16"/>
      <c r="K8" s="8"/>
    </row>
    <row r="9" spans="1:29" x14ac:dyDescent="0.3">
      <c r="D9" s="16"/>
      <c r="K9" s="8"/>
    </row>
    <row r="10" spans="1:29" x14ac:dyDescent="0.3">
      <c r="D10" s="16"/>
      <c r="K10" s="8"/>
    </row>
    <row r="11" spans="1:29" x14ac:dyDescent="0.3">
      <c r="D11" s="16"/>
      <c r="K11" s="8"/>
    </row>
    <row r="12" spans="1:29" ht="15" thickBot="1" x14ac:dyDescent="0.35">
      <c r="F12" s="16"/>
    </row>
    <row r="13" spans="1:29" ht="15" thickBot="1" x14ac:dyDescent="0.35">
      <c r="D13" s="93" t="s">
        <v>98</v>
      </c>
      <c r="E13" s="85"/>
      <c r="F13" s="85"/>
      <c r="G13" s="86"/>
      <c r="H13" s="87"/>
    </row>
    <row r="14" spans="1:29" ht="15.75" customHeight="1" outlineLevel="2" thickBot="1" x14ac:dyDescent="0.35">
      <c r="D14" s="95" t="s">
        <v>1</v>
      </c>
      <c r="E14" s="22" t="s">
        <v>99</v>
      </c>
      <c r="F14" s="23">
        <f>kFechaDesde</f>
        <v>45586</v>
      </c>
      <c r="G14" s="24"/>
      <c r="H14" s="24"/>
    </row>
    <row r="15" spans="1:29" ht="15.75" customHeight="1" outlineLevel="2" thickBot="1" x14ac:dyDescent="0.35">
      <c r="D15" s="25" t="s">
        <v>102</v>
      </c>
      <c r="E15" s="26" t="s">
        <v>103</v>
      </c>
      <c r="F15" s="27" t="s">
        <v>104</v>
      </c>
      <c r="G15" s="102" t="s">
        <v>107</v>
      </c>
      <c r="H15" s="29" t="s">
        <v>106</v>
      </c>
    </row>
    <row r="16" spans="1:29" ht="15.75" customHeight="1" outlineLevel="2" thickBot="1" x14ac:dyDescent="0.35">
      <c r="D16" s="31"/>
      <c r="E16" s="24"/>
      <c r="F16" s="24"/>
      <c r="G16" s="24"/>
      <c r="H16" s="24"/>
    </row>
    <row r="17" spans="2:11" ht="15" outlineLevel="2" thickBot="1" x14ac:dyDescent="0.35">
      <c r="B17" s="111" t="s">
        <v>108</v>
      </c>
      <c r="C17" s="112"/>
      <c r="D17" s="113"/>
      <c r="E17" s="82">
        <f>_kPeso01</f>
        <v>0.35</v>
      </c>
      <c r="F17" s="34">
        <f>_kMeta01</f>
        <v>0.93</v>
      </c>
      <c r="G17" s="90">
        <f>E30</f>
        <v>0.5</v>
      </c>
      <c r="H17" s="35">
        <f>+G17*E17</f>
        <v>0.17499999999999999</v>
      </c>
      <c r="I17" s="111" t="s">
        <v>109</v>
      </c>
      <c r="J17" s="112"/>
      <c r="K17" s="113"/>
    </row>
    <row r="18" spans="2:11" ht="15" outlineLevel="2" thickBot="1" x14ac:dyDescent="0.35">
      <c r="B18" s="111" t="s">
        <v>111</v>
      </c>
      <c r="C18" s="112"/>
      <c r="D18" s="113"/>
      <c r="E18" s="83">
        <f>_kPeso02</f>
        <v>0.2</v>
      </c>
      <c r="F18" s="22">
        <f>_kMeta02</f>
        <v>25</v>
      </c>
      <c r="G18" s="91">
        <f>E34</f>
        <v>0.18181818181818182</v>
      </c>
      <c r="H18" s="43">
        <f>+G18*E18</f>
        <v>3.6363636363636369E-2</v>
      </c>
      <c r="I18" s="111" t="s">
        <v>112</v>
      </c>
      <c r="J18" s="112"/>
      <c r="K18" s="113"/>
    </row>
    <row r="19" spans="2:11" ht="15" outlineLevel="2" thickBot="1" x14ac:dyDescent="0.35">
      <c r="B19" s="111" t="s">
        <v>114</v>
      </c>
      <c r="C19" s="112"/>
      <c r="D19" s="113"/>
      <c r="E19" s="84">
        <f>_kPeso03</f>
        <v>0.25</v>
      </c>
      <c r="F19" s="50">
        <f>_kMeta03</f>
        <v>50</v>
      </c>
      <c r="G19" s="94">
        <f>E38</f>
        <v>0.56019793660426809</v>
      </c>
      <c r="H19" s="52">
        <f>+G19*E19</f>
        <v>0.14004948415106702</v>
      </c>
      <c r="I19" s="111" t="s">
        <v>115</v>
      </c>
      <c r="J19" s="112"/>
      <c r="K19" s="113"/>
    </row>
    <row r="20" spans="2:11" ht="15" outlineLevel="2" thickBot="1" x14ac:dyDescent="0.35">
      <c r="B20" s="111" t="s">
        <v>117</v>
      </c>
      <c r="C20" s="112"/>
      <c r="D20" s="113"/>
      <c r="E20" s="83">
        <f>_kPeso04</f>
        <v>0.2</v>
      </c>
      <c r="F20" s="42">
        <f>_kMeta04</f>
        <v>0.93</v>
      </c>
      <c r="G20" s="91">
        <f>E42</f>
        <v>0.75</v>
      </c>
      <c r="H20" s="43">
        <f>+G20*E20</f>
        <v>0.15000000000000002</v>
      </c>
      <c r="I20" s="111" t="s">
        <v>118</v>
      </c>
      <c r="J20" s="112"/>
      <c r="K20" s="113"/>
    </row>
    <row r="21" spans="2:11" ht="18.600000000000001" outlineLevel="2" thickBot="1" x14ac:dyDescent="0.35">
      <c r="B21" s="111" t="s">
        <v>120</v>
      </c>
      <c r="C21" s="112"/>
      <c r="D21" s="113"/>
      <c r="E21" s="96">
        <f>+SUM(E17:E20)</f>
        <v>1</v>
      </c>
      <c r="F21" s="24"/>
      <c r="G21" s="24"/>
      <c r="H21" s="97">
        <f>SUM(H17:H20)</f>
        <v>0.50141312051470344</v>
      </c>
      <c r="I21" s="59"/>
      <c r="J21" s="59"/>
      <c r="K21" s="59"/>
    </row>
    <row r="22" spans="2:11" ht="15" customHeight="1" outlineLevel="2" x14ac:dyDescent="0.3"/>
    <row r="25" spans="2:11" s="88" customFormat="1" x14ac:dyDescent="0.3">
      <c r="D25" s="89" t="s">
        <v>130</v>
      </c>
    </row>
    <row r="26" spans="2:11" x14ac:dyDescent="0.3">
      <c r="E26" s="104" t="s">
        <v>198</v>
      </c>
      <c r="F26" s="104"/>
    </row>
    <row r="27" spans="2:11" ht="27.6" x14ac:dyDescent="0.3">
      <c r="D27" s="103" t="s">
        <v>0</v>
      </c>
      <c r="E27" s="103" t="s">
        <v>199</v>
      </c>
      <c r="F27" s="110" t="s">
        <v>200</v>
      </c>
    </row>
    <row r="28" spans="2:11" outlineLevel="1" x14ac:dyDescent="0.3">
      <c r="D28" s="2" t="s">
        <v>122</v>
      </c>
      <c r="E28" s="1">
        <f>COUNTIF(_tblTemplate[tck valido],1)</f>
        <v>2</v>
      </c>
    </row>
    <row r="29" spans="2:11" outlineLevel="1" x14ac:dyDescent="0.3">
      <c r="D29" s="2" t="s">
        <v>124</v>
      </c>
      <c r="E29">
        <f>COUNT(_tblTemplate[tck ticket])</f>
        <v>4</v>
      </c>
    </row>
    <row r="30" spans="2:11" outlineLevel="1" x14ac:dyDescent="0.3">
      <c r="D30" s="92" t="s">
        <v>125</v>
      </c>
      <c r="E30" s="65">
        <f>IF(E28=0,0,E28/E29)</f>
        <v>0.5</v>
      </c>
      <c r="F30" s="106"/>
    </row>
    <row r="31" spans="2:11" outlineLevel="1" x14ac:dyDescent="0.3">
      <c r="D31" s="2"/>
    </row>
    <row r="32" spans="2:11" outlineLevel="1" x14ac:dyDescent="0.3">
      <c r="D32" s="2" t="s">
        <v>126</v>
      </c>
      <c r="E32">
        <f>AVERAGE(_tblTemplate[tiempo_efectivo])</f>
        <v>2.2916666666666665</v>
      </c>
      <c r="F32" s="16">
        <f>E32/24</f>
        <v>9.5486111111111105E-2</v>
      </c>
    </row>
    <row r="33" spans="4:6" outlineLevel="1" x14ac:dyDescent="0.3">
      <c r="D33" s="2" t="s">
        <v>127</v>
      </c>
      <c r="E33">
        <f>E32*60</f>
        <v>137.5</v>
      </c>
      <c r="F33" s="105"/>
    </row>
    <row r="34" spans="4:6" outlineLevel="1" x14ac:dyDescent="0.3">
      <c r="D34" s="92" t="s">
        <v>125</v>
      </c>
      <c r="E34" s="64">
        <f>IF(E33=0,0,F18/E33)</f>
        <v>0.18181818181818182</v>
      </c>
      <c r="F34" s="106"/>
    </row>
    <row r="35" spans="4:6" outlineLevel="1" x14ac:dyDescent="0.3">
      <c r="D35" s="2"/>
    </row>
    <row r="36" spans="4:6" outlineLevel="1" x14ac:dyDescent="0.3">
      <c r="D36" s="2" t="s">
        <v>128</v>
      </c>
      <c r="E36">
        <f>AVERAGE(_tblTemplate[tck tiempo abierto])</f>
        <v>1.4875694444444412</v>
      </c>
      <c r="F36" s="16">
        <f>E36/24</f>
        <v>6.1982060185185046E-2</v>
      </c>
    </row>
    <row r="37" spans="4:6" outlineLevel="1" x14ac:dyDescent="0.3">
      <c r="D37" s="2" t="s">
        <v>127</v>
      </c>
      <c r="E37">
        <f>E36*60</f>
        <v>89.254166666666464</v>
      </c>
    </row>
    <row r="38" spans="4:6" outlineLevel="1" x14ac:dyDescent="0.3">
      <c r="D38" s="92" t="s">
        <v>125</v>
      </c>
      <c r="E38" s="64">
        <f>IF(E37=0,0,F19/E37)</f>
        <v>0.56019793660426809</v>
      </c>
      <c r="F38" s="64"/>
    </row>
    <row r="39" spans="4:6" outlineLevel="1" x14ac:dyDescent="0.3">
      <c r="D39" s="2"/>
    </row>
    <row r="40" spans="4:6" outlineLevel="1" x14ac:dyDescent="0.3">
      <c r="D40" s="2" t="s">
        <v>129</v>
      </c>
      <c r="E40">
        <f>COUNTIF(_tblTemplate[tck etapa],"50-Finalizado")</f>
        <v>3</v>
      </c>
    </row>
    <row r="41" spans="4:6" outlineLevel="1" x14ac:dyDescent="0.3">
      <c r="D41" s="2" t="s">
        <v>124</v>
      </c>
      <c r="E41">
        <f>COUNT(_tblTemplate[tck ticket])</f>
        <v>4</v>
      </c>
    </row>
    <row r="42" spans="4:6" outlineLevel="1" x14ac:dyDescent="0.3">
      <c r="D42" s="92" t="s">
        <v>125</v>
      </c>
      <c r="E42" s="64">
        <f>IF(E41=0,0,E40/E41)</f>
        <v>0.75</v>
      </c>
      <c r="F42" s="64"/>
    </row>
    <row r="43" spans="4:6" outlineLevel="1" x14ac:dyDescent="0.3"/>
  </sheetData>
  <mergeCells count="9">
    <mergeCell ref="B21:D21"/>
    <mergeCell ref="I17:K17"/>
    <mergeCell ref="I18:K18"/>
    <mergeCell ref="I19:K19"/>
    <mergeCell ref="I20:K20"/>
    <mergeCell ref="B17:D17"/>
    <mergeCell ref="B18:D18"/>
    <mergeCell ref="B19:D19"/>
    <mergeCell ref="B20:D20"/>
  </mergeCell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8AFFF-605B-49CF-9E13-46AE54F76DB7}">
  <sheetPr codeName="Hoja12">
    <tabColor rgb="FF66FFFF"/>
  </sheetPr>
  <dimension ref="B2:I10"/>
  <sheetViews>
    <sheetView showGridLines="0" workbookViewId="0">
      <selection activeCell="B14" sqref="B14"/>
    </sheetView>
  </sheetViews>
  <sheetFormatPr baseColWidth="10" defaultColWidth="11.44140625" defaultRowHeight="14.4" x14ac:dyDescent="0.3"/>
  <cols>
    <col min="2" max="2" width="28.88671875" customWidth="1"/>
    <col min="9" max="9" width="34.33203125" customWidth="1"/>
  </cols>
  <sheetData>
    <row r="2" spans="2:9" x14ac:dyDescent="0.3">
      <c r="C2" s="101" t="s">
        <v>197</v>
      </c>
      <c r="D2" s="107">
        <v>20</v>
      </c>
      <c r="E2" t="str">
        <f>IF(TRIM(kMargenAceptacionMinutos)="","Por default será 15 min.",IF(kMargenAceptacionMinutos&lt;0,"Se tomará el valor absoluto del margen.",""))</f>
        <v/>
      </c>
    </row>
    <row r="3" spans="2:9" x14ac:dyDescent="0.3">
      <c r="C3" s="101" t="s">
        <v>201</v>
      </c>
      <c r="D3" s="108">
        <f>ABS(IF(kMargenAceptacionMinutos="",15,kMargenAceptacionMinutos)/60/24)</f>
        <v>1.3888888888888888E-2</v>
      </c>
    </row>
    <row r="4" spans="2:9" ht="15" thickBot="1" x14ac:dyDescent="0.35">
      <c r="C4" s="101"/>
    </row>
    <row r="5" spans="2:9" x14ac:dyDescent="0.3">
      <c r="B5" s="66" t="s">
        <v>102</v>
      </c>
      <c r="C5" s="67" t="s">
        <v>103</v>
      </c>
      <c r="D5" s="67" t="s">
        <v>104</v>
      </c>
      <c r="E5" s="68" t="s">
        <v>105</v>
      </c>
      <c r="F5" s="69" t="s">
        <v>106</v>
      </c>
      <c r="G5" s="70"/>
      <c r="H5" s="79"/>
      <c r="I5" s="79"/>
    </row>
    <row r="6" spans="2:9" ht="28.8" x14ac:dyDescent="0.3">
      <c r="B6" s="71" t="s">
        <v>108</v>
      </c>
      <c r="C6" s="75">
        <v>0.35</v>
      </c>
      <c r="D6" s="75">
        <v>0.93</v>
      </c>
      <c r="E6" s="72">
        <v>0.90900000000000003</v>
      </c>
      <c r="F6" s="73">
        <f>C6*E6</f>
        <v>0.31814999999999999</v>
      </c>
      <c r="G6" s="114" t="s">
        <v>109</v>
      </c>
      <c r="H6" s="114"/>
      <c r="I6" s="114"/>
    </row>
    <row r="7" spans="2:9" ht="28.8" x14ac:dyDescent="0.3">
      <c r="B7" s="71" t="s">
        <v>111</v>
      </c>
      <c r="C7" s="75">
        <v>0.2</v>
      </c>
      <c r="D7" s="76">
        <v>25</v>
      </c>
      <c r="E7" s="72">
        <v>0.75700000000000001</v>
      </c>
      <c r="F7" s="73">
        <f>+E7*C7</f>
        <v>0.15140000000000001</v>
      </c>
      <c r="G7" s="114" t="s">
        <v>112</v>
      </c>
      <c r="H7" s="114"/>
      <c r="I7" s="114"/>
    </row>
    <row r="8" spans="2:9" ht="28.8" x14ac:dyDescent="0.3">
      <c r="B8" s="71" t="s">
        <v>114</v>
      </c>
      <c r="C8" s="75">
        <v>0.25</v>
      </c>
      <c r="D8" s="76">
        <v>50</v>
      </c>
      <c r="E8" s="72">
        <v>0.82</v>
      </c>
      <c r="F8" s="73">
        <f>+E8*C8</f>
        <v>0.20499999999999999</v>
      </c>
      <c r="G8" s="114" t="s">
        <v>115</v>
      </c>
      <c r="H8" s="114"/>
      <c r="I8" s="114"/>
    </row>
    <row r="9" spans="2:9" ht="28.8" x14ac:dyDescent="0.3">
      <c r="B9" s="71" t="s">
        <v>117</v>
      </c>
      <c r="C9" s="75">
        <v>0.2</v>
      </c>
      <c r="D9" s="75">
        <v>0.93</v>
      </c>
      <c r="E9" s="72">
        <v>0.90900000000000003</v>
      </c>
      <c r="F9" s="73">
        <f>+E9*C9</f>
        <v>0.18180000000000002</v>
      </c>
      <c r="G9" s="114" t="s">
        <v>118</v>
      </c>
      <c r="H9" s="114"/>
      <c r="I9" s="114"/>
    </row>
    <row r="10" spans="2:9" ht="18.600000000000001" thickBot="1" x14ac:dyDescent="0.35">
      <c r="B10" s="80" t="s">
        <v>120</v>
      </c>
      <c r="C10" s="74">
        <f>+SUM(C6:C9)</f>
        <v>1</v>
      </c>
      <c r="D10" s="77"/>
      <c r="E10" s="78"/>
      <c r="F10" s="74">
        <f>SUM(F6:F9)</f>
        <v>0.85634999999999994</v>
      </c>
      <c r="G10" s="77"/>
      <c r="H10" s="81"/>
      <c r="I10" s="81"/>
    </row>
  </sheetData>
  <mergeCells count="4">
    <mergeCell ref="G6:I6"/>
    <mergeCell ref="G7:I7"/>
    <mergeCell ref="G8:I8"/>
    <mergeCell ref="G9:I9"/>
  </mergeCells>
  <conditionalFormatting sqref="E2">
    <cfRule type="containsText" dxfId="98" priority="1" operator="containsText" text="eRR">
      <formula>NOT(ISERROR(SEARCH("eRR",E2)))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E9456-89E6-4971-8FB6-3B5634087674}">
  <sheetPr codeName="Hoja8">
    <tabColor theme="3"/>
  </sheetPr>
  <dimension ref="A1:BJ92"/>
  <sheetViews>
    <sheetView showGridLines="0" topLeftCell="E1" zoomScaleNormal="100" workbookViewId="0">
      <pane ySplit="1" topLeftCell="A69" activePane="bottomLeft" state="frozen"/>
      <selection pane="bottomLeft" activeCell="P1" sqref="P1"/>
    </sheetView>
  </sheetViews>
  <sheetFormatPr baseColWidth="10" defaultColWidth="11.44140625" defaultRowHeight="14.4" x14ac:dyDescent="0.3"/>
  <cols>
    <col min="1" max="2" width="12" customWidth="1"/>
    <col min="3" max="3" width="14.5546875" customWidth="1"/>
    <col min="4" max="4" width="18.33203125" customWidth="1"/>
    <col min="5" max="5" width="15.6640625" customWidth="1"/>
    <col min="6" max="6" width="12" customWidth="1"/>
    <col min="7" max="7" width="10.6640625" bestFit="1" customWidth="1"/>
    <col min="8" max="8" width="11.44140625" bestFit="1" customWidth="1"/>
    <col min="9" max="9" width="12.6640625" bestFit="1" customWidth="1"/>
    <col min="10" max="10" width="14.5546875" bestFit="1" customWidth="1"/>
    <col min="11" max="11" width="21.6640625" bestFit="1" customWidth="1"/>
    <col min="12" max="12" width="18.109375" bestFit="1" customWidth="1"/>
    <col min="13" max="13" width="18.109375" customWidth="1"/>
    <col min="14" max="31" width="13" customWidth="1"/>
    <col min="34" max="34" width="18.109375" bestFit="1" customWidth="1"/>
    <col min="52" max="52" width="14.5546875" customWidth="1"/>
  </cols>
  <sheetData>
    <row r="1" spans="1:62" ht="57.6" x14ac:dyDescent="0.3">
      <c r="A1" s="3" t="s">
        <v>226</v>
      </c>
      <c r="B1" s="3" t="s">
        <v>227</v>
      </c>
      <c r="C1" s="3" t="s">
        <v>228</v>
      </c>
      <c r="D1" s="3" t="s">
        <v>229</v>
      </c>
      <c r="E1" s="3" t="s">
        <v>230</v>
      </c>
      <c r="F1" s="3" t="s">
        <v>231</v>
      </c>
      <c r="G1" s="3" t="s">
        <v>232</v>
      </c>
      <c r="H1" s="3" t="s">
        <v>233</v>
      </c>
      <c r="I1" s="3" t="s">
        <v>234</v>
      </c>
      <c r="J1" s="3" t="s">
        <v>235</v>
      </c>
      <c r="K1" s="3" t="s">
        <v>236</v>
      </c>
      <c r="L1" s="3" t="s">
        <v>237</v>
      </c>
      <c r="M1" s="3" t="s">
        <v>238</v>
      </c>
      <c r="N1" s="3" t="s">
        <v>279</v>
      </c>
      <c r="O1" s="3" t="s">
        <v>239</v>
      </c>
      <c r="P1" s="3" t="s">
        <v>240</v>
      </c>
      <c r="Q1" s="3" t="s">
        <v>241</v>
      </c>
      <c r="R1" s="3" t="s">
        <v>242</v>
      </c>
      <c r="S1" s="3" t="s">
        <v>243</v>
      </c>
      <c r="T1" s="3" t="s">
        <v>244</v>
      </c>
      <c r="U1" s="3" t="s">
        <v>245</v>
      </c>
      <c r="V1" s="3" t="s">
        <v>246</v>
      </c>
      <c r="W1" s="3" t="s">
        <v>247</v>
      </c>
      <c r="X1" s="3" t="s">
        <v>248</v>
      </c>
      <c r="Y1" s="3" t="s">
        <v>249</v>
      </c>
      <c r="Z1" s="3" t="s">
        <v>250</v>
      </c>
      <c r="AA1" s="3" t="s">
        <v>251</v>
      </c>
      <c r="AB1" s="3" t="s">
        <v>252</v>
      </c>
      <c r="AC1" s="3" t="s">
        <v>253</v>
      </c>
      <c r="AD1" s="3" t="s">
        <v>254</v>
      </c>
      <c r="AE1" s="3"/>
      <c r="AF1" s="3"/>
      <c r="AG1" s="3"/>
      <c r="AH1" s="1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</row>
    <row r="2" spans="1:62" x14ac:dyDescent="0.3">
      <c r="A2">
        <v>6079</v>
      </c>
      <c r="B2">
        <v>0.61666666666666603</v>
      </c>
      <c r="C2" s="16">
        <v>2.5694444444444402E-2</v>
      </c>
      <c r="D2">
        <v>0</v>
      </c>
      <c r="E2" s="16">
        <v>0</v>
      </c>
      <c r="F2">
        <v>-0.61666666666666603</v>
      </c>
      <c r="G2" s="16">
        <v>2.5694444444444402E-2</v>
      </c>
      <c r="H2" s="109">
        <v>0</v>
      </c>
      <c r="I2" t="s">
        <v>210</v>
      </c>
      <c r="J2" s="109">
        <v>3</v>
      </c>
      <c r="K2" s="15">
        <v>45545.533900462899</v>
      </c>
      <c r="L2" s="15">
        <v>1</v>
      </c>
      <c r="M2" s="15">
        <v>45545.533900462899</v>
      </c>
      <c r="N2" s="8">
        <v>45544.75</v>
      </c>
      <c r="O2" s="8">
        <v>45545</v>
      </c>
      <c r="P2" t="s">
        <v>142</v>
      </c>
      <c r="Q2" t="s">
        <v>139</v>
      </c>
      <c r="R2" t="s">
        <v>145</v>
      </c>
      <c r="S2" t="s">
        <v>133</v>
      </c>
      <c r="T2" t="s">
        <v>203</v>
      </c>
      <c r="U2" t="s">
        <v>204</v>
      </c>
      <c r="W2" t="s">
        <v>26</v>
      </c>
      <c r="X2" t="s">
        <v>37</v>
      </c>
      <c r="Z2" t="s">
        <v>325</v>
      </c>
      <c r="AA2" t="s">
        <v>6</v>
      </c>
      <c r="AC2" t="s">
        <v>328</v>
      </c>
      <c r="AD2" t="s">
        <v>39</v>
      </c>
      <c r="AH2" s="15"/>
    </row>
    <row r="3" spans="1:62" x14ac:dyDescent="0.3">
      <c r="A3">
        <v>6083</v>
      </c>
      <c r="B3">
        <v>0.25</v>
      </c>
      <c r="C3" s="16">
        <v>1.04166666666666E-2</v>
      </c>
      <c r="D3">
        <v>0</v>
      </c>
      <c r="E3" s="16">
        <v>0</v>
      </c>
      <c r="F3">
        <v>-0.25</v>
      </c>
      <c r="G3" s="16">
        <v>1.04166666666666E-2</v>
      </c>
      <c r="H3" s="109">
        <v>0</v>
      </c>
      <c r="I3" t="s">
        <v>210</v>
      </c>
      <c r="J3" s="109">
        <v>1</v>
      </c>
      <c r="K3" s="15">
        <v>45545.591909722199</v>
      </c>
      <c r="L3" s="15">
        <v>1</v>
      </c>
      <c r="M3" s="15">
        <v>45545.591909722199</v>
      </c>
      <c r="N3">
        <v>45544.75</v>
      </c>
      <c r="O3" s="8">
        <v>45545</v>
      </c>
      <c r="P3" t="s">
        <v>136</v>
      </c>
      <c r="Q3" t="s">
        <v>139</v>
      </c>
      <c r="R3" t="s">
        <v>140</v>
      </c>
      <c r="S3" t="s">
        <v>133</v>
      </c>
      <c r="T3" t="s">
        <v>220</v>
      </c>
      <c r="W3" t="s">
        <v>26</v>
      </c>
      <c r="X3" t="s">
        <v>37</v>
      </c>
      <c r="AA3" t="s">
        <v>6</v>
      </c>
      <c r="AC3" t="s">
        <v>292</v>
      </c>
      <c r="AD3" t="s">
        <v>39</v>
      </c>
      <c r="AH3" s="15"/>
    </row>
    <row r="4" spans="1:62" x14ac:dyDescent="0.3">
      <c r="A4">
        <v>7505</v>
      </c>
      <c r="B4">
        <v>0.266666666666666</v>
      </c>
      <c r="C4" s="16">
        <v>1.1111111111111099E-2</v>
      </c>
      <c r="D4">
        <v>0</v>
      </c>
      <c r="E4" s="16">
        <v>0</v>
      </c>
      <c r="F4">
        <v>-0.266666666666666</v>
      </c>
      <c r="G4" s="16">
        <v>1.1111111111111099E-2</v>
      </c>
      <c r="H4" s="109">
        <v>0</v>
      </c>
      <c r="I4" t="s">
        <v>283</v>
      </c>
      <c r="J4" s="109">
        <v>2</v>
      </c>
      <c r="K4" s="15">
        <v>45568.6433101851</v>
      </c>
      <c r="L4" s="15">
        <v>1</v>
      </c>
      <c r="M4" s="15">
        <v>45568.6433101851</v>
      </c>
      <c r="N4">
        <v>45567.75</v>
      </c>
      <c r="O4" s="8">
        <v>45568</v>
      </c>
      <c r="P4" t="s">
        <v>142</v>
      </c>
      <c r="Q4" t="s">
        <v>139</v>
      </c>
      <c r="R4" t="s">
        <v>211</v>
      </c>
      <c r="S4" t="s">
        <v>133</v>
      </c>
      <c r="T4" t="s">
        <v>203</v>
      </c>
      <c r="U4" t="s">
        <v>204</v>
      </c>
      <c r="W4" t="s">
        <v>26</v>
      </c>
      <c r="X4" t="s">
        <v>37</v>
      </c>
      <c r="Z4" t="s">
        <v>332</v>
      </c>
      <c r="AA4" t="s">
        <v>6</v>
      </c>
      <c r="AC4" t="s">
        <v>335</v>
      </c>
      <c r="AD4" t="s">
        <v>39</v>
      </c>
      <c r="AH4" s="15"/>
    </row>
    <row r="5" spans="1:62" x14ac:dyDescent="0.3">
      <c r="A5">
        <v>7927</v>
      </c>
      <c r="B5">
        <v>2.3833333333333302</v>
      </c>
      <c r="C5" s="16">
        <v>9.9305555555555494E-2</v>
      </c>
      <c r="D5">
        <v>0</v>
      </c>
      <c r="E5" s="16">
        <v>0</v>
      </c>
      <c r="F5">
        <v>-2.3833333333333302</v>
      </c>
      <c r="G5" s="16">
        <v>9.9305555555555494E-2</v>
      </c>
      <c r="H5" s="109">
        <v>0</v>
      </c>
      <c r="I5" t="s">
        <v>210</v>
      </c>
      <c r="J5" s="109">
        <v>1</v>
      </c>
      <c r="K5" s="15">
        <v>45575.615914351802</v>
      </c>
      <c r="L5" s="15">
        <v>1</v>
      </c>
      <c r="M5" s="15">
        <v>45575.615914351802</v>
      </c>
      <c r="N5">
        <v>45574.75</v>
      </c>
      <c r="O5" s="8">
        <v>45575</v>
      </c>
      <c r="P5" t="s">
        <v>136</v>
      </c>
      <c r="Q5" t="s">
        <v>295</v>
      </c>
      <c r="R5" t="s">
        <v>338</v>
      </c>
      <c r="S5" t="s">
        <v>133</v>
      </c>
      <c r="T5" t="s">
        <v>220</v>
      </c>
      <c r="W5" t="s">
        <v>26</v>
      </c>
      <c r="X5" t="s">
        <v>294</v>
      </c>
      <c r="AA5" t="s">
        <v>6</v>
      </c>
      <c r="AC5" t="s">
        <v>340</v>
      </c>
      <c r="AD5" t="s">
        <v>39</v>
      </c>
    </row>
    <row r="6" spans="1:62" x14ac:dyDescent="0.3">
      <c r="A6">
        <v>7928</v>
      </c>
      <c r="B6">
        <v>0.3</v>
      </c>
      <c r="C6" s="16">
        <v>1.24999999999999E-2</v>
      </c>
      <c r="D6">
        <v>0</v>
      </c>
      <c r="E6" s="16">
        <v>0</v>
      </c>
      <c r="F6">
        <v>-0.3</v>
      </c>
      <c r="G6" s="16">
        <v>1.24999999999999E-2</v>
      </c>
      <c r="H6" s="109">
        <v>0</v>
      </c>
      <c r="I6" t="s">
        <v>210</v>
      </c>
      <c r="J6" s="109">
        <v>1</v>
      </c>
      <c r="K6" s="15">
        <v>45575.617164351803</v>
      </c>
      <c r="L6" s="15">
        <v>1</v>
      </c>
      <c r="M6" s="15">
        <v>45575.617164351803</v>
      </c>
      <c r="N6">
        <v>45574.75</v>
      </c>
      <c r="O6" s="8">
        <v>45575</v>
      </c>
      <c r="P6" t="s">
        <v>136</v>
      </c>
      <c r="Q6" t="s">
        <v>347</v>
      </c>
      <c r="R6" t="s">
        <v>140</v>
      </c>
      <c r="S6" t="s">
        <v>133</v>
      </c>
      <c r="T6" t="s">
        <v>220</v>
      </c>
      <c r="W6" t="s">
        <v>26</v>
      </c>
      <c r="X6" t="s">
        <v>346</v>
      </c>
      <c r="AA6" t="s">
        <v>6</v>
      </c>
      <c r="AC6" t="s">
        <v>349</v>
      </c>
      <c r="AD6" t="s">
        <v>39</v>
      </c>
    </row>
    <row r="7" spans="1:62" x14ac:dyDescent="0.3">
      <c r="A7">
        <v>8108</v>
      </c>
      <c r="B7">
        <v>0.133333333333333</v>
      </c>
      <c r="C7" s="16">
        <v>5.5555555555555497E-3</v>
      </c>
      <c r="D7">
        <v>216.622777777777</v>
      </c>
      <c r="E7" s="16">
        <v>9.0259490740740702</v>
      </c>
      <c r="F7">
        <v>216.48944444444399</v>
      </c>
      <c r="G7" s="16">
        <v>9.0203935185185191</v>
      </c>
      <c r="H7" s="109">
        <v>0</v>
      </c>
      <c r="I7" t="s">
        <v>96</v>
      </c>
      <c r="J7" s="109">
        <v>3</v>
      </c>
      <c r="K7" s="15">
        <v>45579.425648148099</v>
      </c>
      <c r="L7" s="15">
        <v>45588.4515972222</v>
      </c>
      <c r="M7" s="15">
        <v>45579.425648148099</v>
      </c>
      <c r="N7">
        <v>45578.75</v>
      </c>
      <c r="O7" s="8">
        <v>45579</v>
      </c>
      <c r="P7" t="s">
        <v>142</v>
      </c>
      <c r="Q7" t="s">
        <v>139</v>
      </c>
      <c r="R7" t="s">
        <v>211</v>
      </c>
      <c r="S7" t="s">
        <v>133</v>
      </c>
      <c r="T7" t="s">
        <v>203</v>
      </c>
      <c r="U7" t="s">
        <v>204</v>
      </c>
      <c r="W7" t="s">
        <v>26</v>
      </c>
      <c r="X7" t="s">
        <v>37</v>
      </c>
      <c r="Z7" t="s">
        <v>352</v>
      </c>
      <c r="AA7" t="s">
        <v>6</v>
      </c>
      <c r="AB7" t="b">
        <v>1</v>
      </c>
      <c r="AC7" t="s">
        <v>355</v>
      </c>
      <c r="AD7" t="s">
        <v>39</v>
      </c>
    </row>
    <row r="8" spans="1:62" x14ac:dyDescent="0.3">
      <c r="A8">
        <v>8153</v>
      </c>
      <c r="B8">
        <v>0.41666666666666602</v>
      </c>
      <c r="C8" s="16">
        <v>1.7361111111111101E-2</v>
      </c>
      <c r="D8">
        <v>0</v>
      </c>
      <c r="E8" s="16">
        <v>0</v>
      </c>
      <c r="F8">
        <v>-0.41666666666666602</v>
      </c>
      <c r="G8" s="16">
        <v>1.7361111111111101E-2</v>
      </c>
      <c r="H8" s="109">
        <v>0</v>
      </c>
      <c r="I8" t="s">
        <v>210</v>
      </c>
      <c r="J8" s="109">
        <v>1</v>
      </c>
      <c r="K8" s="15">
        <v>45579.710069444402</v>
      </c>
      <c r="L8" s="15">
        <v>1</v>
      </c>
      <c r="M8" s="15">
        <v>45579.710069444402</v>
      </c>
      <c r="N8">
        <v>45578.75</v>
      </c>
      <c r="O8" s="8">
        <v>45579</v>
      </c>
      <c r="P8" t="s">
        <v>136</v>
      </c>
      <c r="Q8" t="s">
        <v>360</v>
      </c>
      <c r="R8" t="s">
        <v>358</v>
      </c>
      <c r="S8" t="s">
        <v>133</v>
      </c>
      <c r="T8" t="s">
        <v>220</v>
      </c>
      <c r="U8" t="s">
        <v>359</v>
      </c>
      <c r="W8" t="s">
        <v>26</v>
      </c>
      <c r="X8" t="s">
        <v>32</v>
      </c>
      <c r="AA8" t="s">
        <v>6</v>
      </c>
      <c r="AC8" t="s">
        <v>362</v>
      </c>
      <c r="AD8" t="s">
        <v>39</v>
      </c>
    </row>
    <row r="9" spans="1:62" x14ac:dyDescent="0.3">
      <c r="A9">
        <v>8278</v>
      </c>
      <c r="B9">
        <v>1.68333333333333</v>
      </c>
      <c r="C9" s="16">
        <v>7.0138888888888806E-2</v>
      </c>
      <c r="D9">
        <v>0</v>
      </c>
      <c r="E9" s="16">
        <v>0</v>
      </c>
      <c r="F9">
        <v>-1.68333333333333</v>
      </c>
      <c r="G9" s="16">
        <v>7.0138888888888806E-2</v>
      </c>
      <c r="H9" s="109">
        <v>0</v>
      </c>
      <c r="I9" t="s">
        <v>283</v>
      </c>
      <c r="J9" s="109">
        <v>3</v>
      </c>
      <c r="K9" s="15">
        <v>45581.535694444399</v>
      </c>
      <c r="L9" s="15">
        <v>1</v>
      </c>
      <c r="M9" s="15">
        <v>45581.535694444399</v>
      </c>
      <c r="N9">
        <v>45580.75</v>
      </c>
      <c r="O9" s="8">
        <v>45581</v>
      </c>
      <c r="P9" t="s">
        <v>142</v>
      </c>
      <c r="Q9" t="s">
        <v>368</v>
      </c>
      <c r="R9" t="s">
        <v>358</v>
      </c>
      <c r="S9" t="s">
        <v>133</v>
      </c>
      <c r="T9" t="s">
        <v>367</v>
      </c>
      <c r="U9" t="s">
        <v>204</v>
      </c>
      <c r="W9" t="s">
        <v>26</v>
      </c>
      <c r="X9" t="s">
        <v>30</v>
      </c>
      <c r="Z9" t="s">
        <v>365</v>
      </c>
      <c r="AA9" t="s">
        <v>6</v>
      </c>
      <c r="AC9" t="s">
        <v>370</v>
      </c>
      <c r="AD9" t="s">
        <v>39</v>
      </c>
    </row>
    <row r="10" spans="1:62" x14ac:dyDescent="0.3">
      <c r="A10">
        <v>8303</v>
      </c>
      <c r="B10">
        <v>0.83333333333333304</v>
      </c>
      <c r="C10" s="16">
        <v>3.4722222222222203E-2</v>
      </c>
      <c r="D10">
        <v>0</v>
      </c>
      <c r="E10" s="16">
        <v>0</v>
      </c>
      <c r="F10">
        <v>-0.83333333333333304</v>
      </c>
      <c r="G10" s="16">
        <v>3.4722222222222203E-2</v>
      </c>
      <c r="H10" s="109">
        <v>0</v>
      </c>
      <c r="I10" t="s">
        <v>210</v>
      </c>
      <c r="J10" s="109">
        <v>1</v>
      </c>
      <c r="K10" s="15">
        <v>45581.726967592498</v>
      </c>
      <c r="L10" s="15">
        <v>1</v>
      </c>
      <c r="M10" s="15">
        <v>45581.726967592498</v>
      </c>
      <c r="N10">
        <v>45580.75</v>
      </c>
      <c r="O10" s="8">
        <v>45581</v>
      </c>
      <c r="P10" t="s">
        <v>136</v>
      </c>
      <c r="Q10" t="s">
        <v>375</v>
      </c>
      <c r="R10" t="s">
        <v>358</v>
      </c>
      <c r="S10" t="s">
        <v>133</v>
      </c>
      <c r="T10" t="s">
        <v>220</v>
      </c>
      <c r="W10" t="s">
        <v>26</v>
      </c>
      <c r="X10" t="s">
        <v>374</v>
      </c>
      <c r="AA10" t="s">
        <v>6</v>
      </c>
      <c r="AC10" t="s">
        <v>377</v>
      </c>
      <c r="AD10" t="s">
        <v>39</v>
      </c>
    </row>
    <row r="11" spans="1:62" x14ac:dyDescent="0.3">
      <c r="A11">
        <v>8364</v>
      </c>
      <c r="B11">
        <v>1.3333333333333299</v>
      </c>
      <c r="C11" s="16">
        <v>5.5555555555555497E-2</v>
      </c>
      <c r="D11">
        <v>96.031388888888799</v>
      </c>
      <c r="E11" s="16">
        <v>4.0013078703703702</v>
      </c>
      <c r="F11">
        <v>94.698055555555499</v>
      </c>
      <c r="G11" s="16">
        <v>3.9457523148148099</v>
      </c>
      <c r="H11" s="109">
        <v>0</v>
      </c>
      <c r="I11" t="s">
        <v>96</v>
      </c>
      <c r="J11" s="109">
        <v>3</v>
      </c>
      <c r="K11" s="15">
        <v>45582.607581018499</v>
      </c>
      <c r="L11" s="15">
        <v>45586.608888888797</v>
      </c>
      <c r="M11" s="15">
        <v>45582.608865740702</v>
      </c>
      <c r="N11">
        <v>45581.75</v>
      </c>
      <c r="O11" s="8">
        <v>45582</v>
      </c>
      <c r="P11" t="s">
        <v>138</v>
      </c>
      <c r="Q11" t="s">
        <v>139</v>
      </c>
      <c r="R11" t="s">
        <v>135</v>
      </c>
      <c r="S11" t="s">
        <v>133</v>
      </c>
      <c r="T11" t="s">
        <v>220</v>
      </c>
      <c r="W11" t="s">
        <v>26</v>
      </c>
      <c r="X11" t="s">
        <v>37</v>
      </c>
      <c r="Z11" t="s">
        <v>381</v>
      </c>
      <c r="AA11" t="s">
        <v>6</v>
      </c>
      <c r="AB11" t="b">
        <v>1</v>
      </c>
      <c r="AC11" t="s">
        <v>383</v>
      </c>
      <c r="AD11" t="s">
        <v>39</v>
      </c>
    </row>
    <row r="12" spans="1:62" x14ac:dyDescent="0.3">
      <c r="A12">
        <v>8384</v>
      </c>
      <c r="B12">
        <v>0.83333333333333304</v>
      </c>
      <c r="C12" s="16">
        <v>3.4722222222222203E-2</v>
      </c>
      <c r="D12">
        <v>7.7777777777777697E-3</v>
      </c>
      <c r="E12" s="16">
        <v>3.2407407407407401E-4</v>
      </c>
      <c r="F12">
        <v>-0.82555555555555504</v>
      </c>
      <c r="G12" s="16">
        <v>3.4398148148148101E-2</v>
      </c>
      <c r="H12" s="109">
        <v>0</v>
      </c>
      <c r="I12" t="s">
        <v>210</v>
      </c>
      <c r="J12" s="109">
        <v>3</v>
      </c>
      <c r="K12" s="15">
        <v>45582.712175925903</v>
      </c>
      <c r="L12" s="15">
        <v>1</v>
      </c>
      <c r="M12" s="15">
        <v>45582.712500000001</v>
      </c>
      <c r="N12">
        <v>45581.75</v>
      </c>
      <c r="O12" s="8">
        <v>45582</v>
      </c>
      <c r="P12" t="s">
        <v>138</v>
      </c>
      <c r="Q12" t="s">
        <v>368</v>
      </c>
      <c r="R12" t="s">
        <v>135</v>
      </c>
      <c r="S12" t="s">
        <v>133</v>
      </c>
      <c r="T12" t="s">
        <v>220</v>
      </c>
      <c r="W12" t="s">
        <v>26</v>
      </c>
      <c r="X12" t="s">
        <v>30</v>
      </c>
      <c r="AA12" t="s">
        <v>6</v>
      </c>
      <c r="AC12" t="s">
        <v>387</v>
      </c>
      <c r="AD12" t="s">
        <v>39</v>
      </c>
    </row>
    <row r="13" spans="1:62" x14ac:dyDescent="0.3">
      <c r="A13">
        <v>8429</v>
      </c>
      <c r="B13">
        <v>0.5</v>
      </c>
      <c r="C13" s="16">
        <v>2.0833333333333301E-2</v>
      </c>
      <c r="D13">
        <v>2.2222222222222199E-2</v>
      </c>
      <c r="E13" s="16">
        <v>9.2592592592592596E-4</v>
      </c>
      <c r="F13">
        <v>-0.47777777777777702</v>
      </c>
      <c r="G13" s="16">
        <v>1.9907407407407401E-2</v>
      </c>
      <c r="H13" s="109">
        <v>0</v>
      </c>
      <c r="I13" t="s">
        <v>96</v>
      </c>
      <c r="J13" s="109">
        <v>3</v>
      </c>
      <c r="K13" s="15">
        <v>45583.403310185102</v>
      </c>
      <c r="L13" s="15">
        <v>45583.404236111099</v>
      </c>
      <c r="M13" s="15">
        <v>45583.404421296298</v>
      </c>
      <c r="N13">
        <v>45582.75</v>
      </c>
      <c r="O13" s="8">
        <v>45583</v>
      </c>
      <c r="P13" t="s">
        <v>138</v>
      </c>
      <c r="Q13" t="s">
        <v>139</v>
      </c>
      <c r="R13" t="s">
        <v>135</v>
      </c>
      <c r="S13" t="s">
        <v>133</v>
      </c>
      <c r="T13" t="s">
        <v>220</v>
      </c>
      <c r="W13" t="s">
        <v>26</v>
      </c>
      <c r="X13" t="s">
        <v>37</v>
      </c>
      <c r="Y13" t="s">
        <v>217</v>
      </c>
      <c r="Z13" t="s">
        <v>306</v>
      </c>
      <c r="AA13" t="s">
        <v>6</v>
      </c>
      <c r="AB13" t="b">
        <v>1</v>
      </c>
      <c r="AC13" t="s">
        <v>309</v>
      </c>
      <c r="AD13" t="s">
        <v>39</v>
      </c>
    </row>
    <row r="14" spans="1:62" x14ac:dyDescent="0.3">
      <c r="A14">
        <v>8456</v>
      </c>
      <c r="B14">
        <v>0.133333333333333</v>
      </c>
      <c r="C14" s="16">
        <v>5.5555555555555497E-3</v>
      </c>
      <c r="D14">
        <v>0</v>
      </c>
      <c r="E14" s="16">
        <v>0</v>
      </c>
      <c r="F14">
        <v>-0.133333333333333</v>
      </c>
      <c r="G14" s="16">
        <v>5.5555555555555497E-3</v>
      </c>
      <c r="H14" s="109">
        <v>0</v>
      </c>
      <c r="I14" t="s">
        <v>137</v>
      </c>
      <c r="J14" s="109">
        <v>1</v>
      </c>
      <c r="K14" s="15">
        <v>45583.599305555501</v>
      </c>
      <c r="L14" s="15">
        <v>1</v>
      </c>
      <c r="M14" s="15">
        <v>45583.599305555501</v>
      </c>
      <c r="N14">
        <v>45582.75</v>
      </c>
      <c r="O14" s="8">
        <v>45583</v>
      </c>
      <c r="P14" t="s">
        <v>136</v>
      </c>
      <c r="Q14" t="s">
        <v>285</v>
      </c>
      <c r="R14" t="s">
        <v>216</v>
      </c>
      <c r="S14" t="s">
        <v>293</v>
      </c>
      <c r="T14" t="s">
        <v>220</v>
      </c>
      <c r="W14" t="s">
        <v>26</v>
      </c>
      <c r="X14" t="s">
        <v>274</v>
      </c>
      <c r="AA14" t="s">
        <v>6</v>
      </c>
      <c r="AC14" t="s">
        <v>312</v>
      </c>
      <c r="AD14" t="s">
        <v>39</v>
      </c>
    </row>
    <row r="15" spans="1:62" x14ac:dyDescent="0.3">
      <c r="A15">
        <v>8507</v>
      </c>
      <c r="B15">
        <v>0.41666666666666602</v>
      </c>
      <c r="C15" s="16">
        <v>1.7361111111111101E-2</v>
      </c>
      <c r="D15">
        <v>0.41916666666666602</v>
      </c>
      <c r="E15" s="16">
        <v>1.7465277777777701E-2</v>
      </c>
      <c r="F15">
        <v>2.5000000000000001E-3</v>
      </c>
      <c r="G15" s="16">
        <v>1.04166666666666E-4</v>
      </c>
      <c r="H15" s="109">
        <v>1</v>
      </c>
      <c r="I15" t="s">
        <v>96</v>
      </c>
      <c r="J15" s="109">
        <v>0</v>
      </c>
      <c r="K15" s="15">
        <v>45586.312430555503</v>
      </c>
      <c r="L15" s="15">
        <v>45586.329895833303</v>
      </c>
      <c r="M15" s="15">
        <v>45586.312430555503</v>
      </c>
      <c r="N15">
        <v>45585.75</v>
      </c>
      <c r="O15" s="8">
        <v>45586</v>
      </c>
      <c r="P15" t="s">
        <v>147</v>
      </c>
      <c r="Q15" t="s">
        <v>299</v>
      </c>
      <c r="R15" t="s">
        <v>145</v>
      </c>
      <c r="S15" t="s">
        <v>133</v>
      </c>
      <c r="T15" t="s">
        <v>27</v>
      </c>
      <c r="W15" t="s">
        <v>26</v>
      </c>
      <c r="X15" t="s">
        <v>30</v>
      </c>
      <c r="AA15" t="s">
        <v>6</v>
      </c>
      <c r="AB15" t="b">
        <v>1</v>
      </c>
      <c r="AC15" t="s">
        <v>392</v>
      </c>
      <c r="AD15" t="s">
        <v>39</v>
      </c>
    </row>
    <row r="16" spans="1:62" x14ac:dyDescent="0.3">
      <c r="A16">
        <v>8508</v>
      </c>
      <c r="B16">
        <v>0.75</v>
      </c>
      <c r="C16" s="16">
        <v>3.125E-2</v>
      </c>
      <c r="D16">
        <v>0.88861111111111102</v>
      </c>
      <c r="E16" s="16">
        <v>3.7025462962962899E-2</v>
      </c>
      <c r="F16">
        <v>0.13861111111111099</v>
      </c>
      <c r="G16" s="16">
        <v>5.7754629629629501E-3</v>
      </c>
      <c r="H16" s="109">
        <v>1</v>
      </c>
      <c r="I16" t="s">
        <v>96</v>
      </c>
      <c r="J16" s="109">
        <v>0</v>
      </c>
      <c r="K16" s="15">
        <v>45586.329583333303</v>
      </c>
      <c r="L16" s="15">
        <v>45586.366608796299</v>
      </c>
      <c r="M16" s="15">
        <v>45586.329583333303</v>
      </c>
      <c r="N16">
        <v>45585.75</v>
      </c>
      <c r="O16" s="8">
        <v>45586</v>
      </c>
      <c r="P16" t="s">
        <v>147</v>
      </c>
      <c r="Q16" t="s">
        <v>394</v>
      </c>
      <c r="R16" t="s">
        <v>145</v>
      </c>
      <c r="S16" t="s">
        <v>133</v>
      </c>
      <c r="T16" t="s">
        <v>27</v>
      </c>
      <c r="AA16" t="s">
        <v>6</v>
      </c>
      <c r="AB16" t="b">
        <v>1</v>
      </c>
      <c r="AC16" t="s">
        <v>395</v>
      </c>
      <c r="AD16" t="s">
        <v>39</v>
      </c>
    </row>
    <row r="17" spans="1:30" x14ac:dyDescent="0.3">
      <c r="A17">
        <v>8509</v>
      </c>
      <c r="B17">
        <v>0.5</v>
      </c>
      <c r="C17" s="16">
        <v>2.0833333333333301E-2</v>
      </c>
      <c r="D17">
        <v>0</v>
      </c>
      <c r="E17" s="16">
        <v>0</v>
      </c>
      <c r="F17">
        <v>-0.5</v>
      </c>
      <c r="G17" s="16">
        <v>2.0833333333333301E-2</v>
      </c>
      <c r="H17" s="109">
        <v>0</v>
      </c>
      <c r="I17" t="s">
        <v>137</v>
      </c>
      <c r="J17" s="109">
        <v>2</v>
      </c>
      <c r="K17" s="15">
        <v>45586.355844907397</v>
      </c>
      <c r="L17" s="15">
        <v>1</v>
      </c>
      <c r="M17" s="15">
        <v>45586.355844907397</v>
      </c>
      <c r="N17">
        <v>45585.75</v>
      </c>
      <c r="O17" s="8">
        <v>45586</v>
      </c>
      <c r="P17" t="s">
        <v>134</v>
      </c>
      <c r="Q17" t="s">
        <v>400</v>
      </c>
      <c r="R17" t="s">
        <v>135</v>
      </c>
      <c r="S17" t="s">
        <v>131</v>
      </c>
      <c r="T17" t="s">
        <v>259</v>
      </c>
      <c r="W17" t="s">
        <v>26</v>
      </c>
      <c r="X17" t="s">
        <v>399</v>
      </c>
      <c r="AA17" t="s">
        <v>6</v>
      </c>
      <c r="AC17" t="s">
        <v>401</v>
      </c>
      <c r="AD17" t="s">
        <v>39</v>
      </c>
    </row>
    <row r="18" spans="1:30" x14ac:dyDescent="0.3">
      <c r="A18">
        <v>8510</v>
      </c>
      <c r="B18">
        <v>0.233333333333333</v>
      </c>
      <c r="C18" s="16">
        <v>9.7222222222222206E-3</v>
      </c>
      <c r="D18">
        <v>0.82499999999999996</v>
      </c>
      <c r="E18" s="16">
        <v>3.4375000000000003E-2</v>
      </c>
      <c r="F18">
        <v>0.59166666666666601</v>
      </c>
      <c r="G18" s="16">
        <v>2.4652777777777701E-2</v>
      </c>
      <c r="H18" s="109">
        <v>0</v>
      </c>
      <c r="I18" t="s">
        <v>96</v>
      </c>
      <c r="J18" s="109">
        <v>1</v>
      </c>
      <c r="K18" s="15">
        <v>45586.3565856481</v>
      </c>
      <c r="L18" s="15">
        <v>45586.390960648103</v>
      </c>
      <c r="M18" s="15">
        <v>45586.3565856481</v>
      </c>
      <c r="N18">
        <v>45585.75</v>
      </c>
      <c r="O18" s="8">
        <v>45586</v>
      </c>
      <c r="P18" t="s">
        <v>136</v>
      </c>
      <c r="Q18" t="s">
        <v>139</v>
      </c>
      <c r="R18" t="s">
        <v>140</v>
      </c>
      <c r="S18" t="s">
        <v>293</v>
      </c>
      <c r="T18" t="s">
        <v>405</v>
      </c>
      <c r="W18" t="s">
        <v>26</v>
      </c>
      <c r="X18" t="s">
        <v>37</v>
      </c>
      <c r="Y18" t="s">
        <v>217</v>
      </c>
      <c r="AA18" t="s">
        <v>6</v>
      </c>
      <c r="AB18" t="b">
        <v>1</v>
      </c>
      <c r="AC18" t="s">
        <v>404</v>
      </c>
      <c r="AD18" t="s">
        <v>39</v>
      </c>
    </row>
    <row r="19" spans="1:30" x14ac:dyDescent="0.3">
      <c r="A19">
        <v>8511</v>
      </c>
      <c r="B19">
        <v>1.7666666666666599</v>
      </c>
      <c r="C19" s="16">
        <v>7.3611111111111099E-2</v>
      </c>
      <c r="D19">
        <v>6.0350000000000001</v>
      </c>
      <c r="E19" s="16">
        <v>0.25145833333333301</v>
      </c>
      <c r="F19">
        <v>4.26833333333333</v>
      </c>
      <c r="G19" s="16">
        <v>0.17784722222222199</v>
      </c>
      <c r="H19" s="109">
        <v>0</v>
      </c>
      <c r="I19" t="s">
        <v>96</v>
      </c>
      <c r="J19" s="109">
        <v>1</v>
      </c>
      <c r="K19" s="15">
        <v>45586.3578935185</v>
      </c>
      <c r="L19" s="15">
        <v>45586.609351851803</v>
      </c>
      <c r="M19" s="15">
        <v>45586.3578935185</v>
      </c>
      <c r="N19">
        <v>45585.75</v>
      </c>
      <c r="O19" s="8">
        <v>45586</v>
      </c>
      <c r="P19" t="s">
        <v>136</v>
      </c>
      <c r="Q19" t="s">
        <v>139</v>
      </c>
      <c r="R19" t="s">
        <v>140</v>
      </c>
      <c r="S19" t="s">
        <v>293</v>
      </c>
      <c r="T19" t="s">
        <v>223</v>
      </c>
      <c r="W19" t="s">
        <v>26</v>
      </c>
      <c r="X19" t="s">
        <v>37</v>
      </c>
      <c r="Y19" t="s">
        <v>217</v>
      </c>
      <c r="AA19" t="s">
        <v>6</v>
      </c>
      <c r="AB19" t="b">
        <v>1</v>
      </c>
      <c r="AC19" t="s">
        <v>302</v>
      </c>
      <c r="AD19" t="s">
        <v>39</v>
      </c>
    </row>
    <row r="20" spans="1:30" x14ac:dyDescent="0.3">
      <c r="A20">
        <v>8512</v>
      </c>
      <c r="B20">
        <v>1.1666666666666601</v>
      </c>
      <c r="C20" s="16">
        <v>4.8611111111111098E-2</v>
      </c>
      <c r="D20">
        <v>1.17444444444444</v>
      </c>
      <c r="E20" s="16">
        <v>4.8935185185185102E-2</v>
      </c>
      <c r="F20">
        <v>7.7777777777776596E-3</v>
      </c>
      <c r="G20" s="16">
        <v>3.2407407407406902E-4</v>
      </c>
      <c r="H20" s="109">
        <v>1</v>
      </c>
      <c r="I20" t="s">
        <v>96</v>
      </c>
      <c r="J20" s="109">
        <v>0</v>
      </c>
      <c r="K20" s="15">
        <v>45586.366400462903</v>
      </c>
      <c r="L20" s="15">
        <v>45586.415335648097</v>
      </c>
      <c r="M20" s="15">
        <v>45586.366400462903</v>
      </c>
      <c r="N20">
        <v>45585.75</v>
      </c>
      <c r="O20" s="8">
        <v>45586</v>
      </c>
      <c r="P20" t="s">
        <v>147</v>
      </c>
      <c r="Q20" t="s">
        <v>413</v>
      </c>
      <c r="R20" t="s">
        <v>145</v>
      </c>
      <c r="S20" t="s">
        <v>133</v>
      </c>
      <c r="T20" t="s">
        <v>411</v>
      </c>
      <c r="W20" t="s">
        <v>26</v>
      </c>
      <c r="X20" t="s">
        <v>412</v>
      </c>
      <c r="AA20" t="s">
        <v>6</v>
      </c>
      <c r="AB20" t="b">
        <v>1</v>
      </c>
      <c r="AC20" t="s">
        <v>414</v>
      </c>
      <c r="AD20" t="s">
        <v>39</v>
      </c>
    </row>
    <row r="21" spans="1:30" x14ac:dyDescent="0.3">
      <c r="A21">
        <v>8513</v>
      </c>
      <c r="B21">
        <v>0.16666666666666599</v>
      </c>
      <c r="C21" s="16">
        <v>6.9444444444444397E-3</v>
      </c>
      <c r="D21">
        <v>0.23138888888888801</v>
      </c>
      <c r="E21" s="16">
        <v>9.6412037037037004E-3</v>
      </c>
      <c r="F21">
        <v>6.4722222222222195E-2</v>
      </c>
      <c r="G21" s="16">
        <v>2.6967592592592599E-3</v>
      </c>
      <c r="H21" s="109">
        <v>1</v>
      </c>
      <c r="I21" t="s">
        <v>96</v>
      </c>
      <c r="J21" s="109">
        <v>2</v>
      </c>
      <c r="K21" s="15">
        <v>45586.369768518503</v>
      </c>
      <c r="L21" s="15">
        <v>45586.379409722198</v>
      </c>
      <c r="M21" s="15">
        <v>45586.369768518503</v>
      </c>
      <c r="N21">
        <v>45585.75</v>
      </c>
      <c r="O21" s="8">
        <v>45586</v>
      </c>
      <c r="P21" t="s">
        <v>134</v>
      </c>
      <c r="Q21" t="s">
        <v>418</v>
      </c>
      <c r="R21" t="s">
        <v>216</v>
      </c>
      <c r="S21" t="s">
        <v>131</v>
      </c>
      <c r="T21" t="s">
        <v>257</v>
      </c>
      <c r="W21" t="s">
        <v>26</v>
      </c>
      <c r="X21" t="s">
        <v>32</v>
      </c>
      <c r="AA21" t="s">
        <v>6</v>
      </c>
      <c r="AB21" t="b">
        <v>1</v>
      </c>
      <c r="AC21" t="s">
        <v>419</v>
      </c>
      <c r="AD21" t="s">
        <v>39</v>
      </c>
    </row>
    <row r="22" spans="1:30" x14ac:dyDescent="0.3">
      <c r="A22">
        <v>8514</v>
      </c>
      <c r="B22">
        <v>0.5</v>
      </c>
      <c r="C22" s="16">
        <v>2.0833333333333301E-2</v>
      </c>
      <c r="D22">
        <v>0</v>
      </c>
      <c r="E22" s="16">
        <v>0</v>
      </c>
      <c r="F22">
        <v>-0.5</v>
      </c>
      <c r="G22" s="16">
        <v>2.0833333333333301E-2</v>
      </c>
      <c r="H22" s="109">
        <v>0</v>
      </c>
      <c r="I22" t="s">
        <v>210</v>
      </c>
      <c r="J22" s="109">
        <v>1</v>
      </c>
      <c r="K22" s="15">
        <v>45586.377048611103</v>
      </c>
      <c r="L22" s="15">
        <v>1</v>
      </c>
      <c r="M22" s="15">
        <v>45586.377048611103</v>
      </c>
      <c r="N22">
        <v>45585.75</v>
      </c>
      <c r="O22" s="8">
        <v>45586</v>
      </c>
      <c r="P22" t="s">
        <v>171</v>
      </c>
      <c r="Q22" t="s">
        <v>139</v>
      </c>
      <c r="R22" t="s">
        <v>216</v>
      </c>
      <c r="S22" t="s">
        <v>133</v>
      </c>
      <c r="T22" t="s">
        <v>219</v>
      </c>
      <c r="W22" t="s">
        <v>26</v>
      </c>
      <c r="X22" t="s">
        <v>37</v>
      </c>
      <c r="AA22" t="s">
        <v>6</v>
      </c>
      <c r="AC22" t="s">
        <v>422</v>
      </c>
      <c r="AD22" t="s">
        <v>39</v>
      </c>
    </row>
    <row r="23" spans="1:30" x14ac:dyDescent="0.3">
      <c r="A23">
        <v>8515</v>
      </c>
      <c r="B23">
        <v>1</v>
      </c>
      <c r="C23" s="16">
        <v>4.1666666666666602E-2</v>
      </c>
      <c r="D23">
        <v>2.2636111111111101</v>
      </c>
      <c r="E23" s="16">
        <v>9.4317129629629598E-2</v>
      </c>
      <c r="F23">
        <v>1.2636111111111099</v>
      </c>
      <c r="G23" s="16">
        <v>5.2650462962962899E-2</v>
      </c>
      <c r="H23" s="109">
        <v>0</v>
      </c>
      <c r="I23" t="s">
        <v>96</v>
      </c>
      <c r="J23" s="109">
        <v>1</v>
      </c>
      <c r="K23" s="15">
        <v>45586.380173611098</v>
      </c>
      <c r="L23" s="15">
        <v>45586.4744907407</v>
      </c>
      <c r="M23" s="15">
        <v>45586.380173611098</v>
      </c>
      <c r="N23">
        <v>45585.75</v>
      </c>
      <c r="O23" s="8">
        <v>45586</v>
      </c>
      <c r="P23" t="s">
        <v>171</v>
      </c>
      <c r="Q23" t="s">
        <v>289</v>
      </c>
      <c r="R23" t="s">
        <v>305</v>
      </c>
      <c r="S23" t="s">
        <v>133</v>
      </c>
      <c r="T23" t="s">
        <v>259</v>
      </c>
      <c r="W23" t="s">
        <v>26</v>
      </c>
      <c r="X23" t="s">
        <v>37</v>
      </c>
      <c r="Y23" t="s">
        <v>217</v>
      </c>
      <c r="AA23" t="s">
        <v>6</v>
      </c>
      <c r="AB23" t="b">
        <v>1</v>
      </c>
      <c r="AC23" t="s">
        <v>425</v>
      </c>
      <c r="AD23" t="s">
        <v>39</v>
      </c>
    </row>
    <row r="24" spans="1:30" x14ac:dyDescent="0.3">
      <c r="A24">
        <v>8516</v>
      </c>
      <c r="B24">
        <v>0.33333333333333298</v>
      </c>
      <c r="C24" s="16">
        <v>1.38888888888888E-2</v>
      </c>
      <c r="D24">
        <v>1.97222222222222E-2</v>
      </c>
      <c r="E24" s="16">
        <v>8.2175925925925895E-4</v>
      </c>
      <c r="F24">
        <v>-0.31361111111111101</v>
      </c>
      <c r="G24" s="16">
        <v>1.30671296296296E-2</v>
      </c>
      <c r="H24" s="109">
        <v>1</v>
      </c>
      <c r="I24" t="s">
        <v>96</v>
      </c>
      <c r="J24" s="109">
        <v>0</v>
      </c>
      <c r="K24" s="15">
        <v>45586.400590277699</v>
      </c>
      <c r="L24" s="15">
        <v>45586.401412036997</v>
      </c>
      <c r="M24" s="15">
        <v>45586.401354166599</v>
      </c>
      <c r="N24">
        <v>45585.75</v>
      </c>
      <c r="O24" s="8">
        <v>45586</v>
      </c>
      <c r="P24" t="s">
        <v>158</v>
      </c>
      <c r="Q24" t="s">
        <v>430</v>
      </c>
      <c r="R24" t="s">
        <v>135</v>
      </c>
      <c r="S24" t="s">
        <v>131</v>
      </c>
      <c r="T24" t="s">
        <v>27</v>
      </c>
      <c r="U24" t="s">
        <v>317</v>
      </c>
      <c r="V24" t="s">
        <v>146</v>
      </c>
      <c r="W24" t="s">
        <v>26</v>
      </c>
      <c r="X24" t="s">
        <v>429</v>
      </c>
      <c r="Y24" t="s">
        <v>217</v>
      </c>
      <c r="Z24" t="s">
        <v>427</v>
      </c>
      <c r="AA24" t="s">
        <v>6</v>
      </c>
      <c r="AB24" t="b">
        <v>1</v>
      </c>
      <c r="AC24" t="s">
        <v>431</v>
      </c>
      <c r="AD24" t="s">
        <v>39</v>
      </c>
    </row>
    <row r="25" spans="1:30" x14ac:dyDescent="0.3">
      <c r="A25">
        <v>8517</v>
      </c>
      <c r="B25">
        <v>0.5</v>
      </c>
      <c r="C25" s="16">
        <v>2.0833333333333301E-2</v>
      </c>
      <c r="D25">
        <v>0</v>
      </c>
      <c r="E25" s="16">
        <v>0</v>
      </c>
      <c r="F25">
        <v>-0.5</v>
      </c>
      <c r="G25" s="16">
        <v>2.0833333333333301E-2</v>
      </c>
      <c r="H25" s="109">
        <v>0</v>
      </c>
      <c r="I25" t="s">
        <v>137</v>
      </c>
      <c r="J25" s="109">
        <v>2</v>
      </c>
      <c r="K25" s="15">
        <v>45586.4088888888</v>
      </c>
      <c r="L25" s="15">
        <v>1</v>
      </c>
      <c r="M25" s="15">
        <v>45586.4088888888</v>
      </c>
      <c r="N25">
        <v>45585.75</v>
      </c>
      <c r="O25" s="8">
        <v>45586</v>
      </c>
      <c r="P25" t="s">
        <v>134</v>
      </c>
      <c r="Q25" t="s">
        <v>436</v>
      </c>
      <c r="R25" t="s">
        <v>135</v>
      </c>
      <c r="S25" t="s">
        <v>131</v>
      </c>
      <c r="T25" t="s">
        <v>203</v>
      </c>
      <c r="W25" t="s">
        <v>26</v>
      </c>
      <c r="X25" t="s">
        <v>435</v>
      </c>
      <c r="AA25" t="s">
        <v>6</v>
      </c>
      <c r="AC25" t="s">
        <v>437</v>
      </c>
      <c r="AD25" t="s">
        <v>39</v>
      </c>
    </row>
    <row r="26" spans="1:30" x14ac:dyDescent="0.3">
      <c r="A26">
        <v>8518</v>
      </c>
      <c r="B26">
        <v>0.75</v>
      </c>
      <c r="C26" s="16">
        <v>3.125E-2</v>
      </c>
      <c r="D26">
        <v>0.81305555555555498</v>
      </c>
      <c r="E26" s="16">
        <v>3.3877314814814798E-2</v>
      </c>
      <c r="F26">
        <v>6.3055555555555406E-2</v>
      </c>
      <c r="G26" s="16">
        <v>2.6273148148147998E-3</v>
      </c>
      <c r="H26" s="109">
        <v>1</v>
      </c>
      <c r="I26" t="s">
        <v>96</v>
      </c>
      <c r="J26" s="109">
        <v>0</v>
      </c>
      <c r="K26" s="15">
        <v>45586.414745370297</v>
      </c>
      <c r="L26" s="15">
        <v>45586.4486226851</v>
      </c>
      <c r="M26" s="15">
        <v>45586.414745370297</v>
      </c>
      <c r="N26">
        <v>45585.75</v>
      </c>
      <c r="O26" s="8">
        <v>45586</v>
      </c>
      <c r="P26" t="s">
        <v>147</v>
      </c>
      <c r="Q26" t="s">
        <v>321</v>
      </c>
      <c r="R26" t="s">
        <v>145</v>
      </c>
      <c r="S26" t="s">
        <v>133</v>
      </c>
      <c r="T26" t="s">
        <v>29</v>
      </c>
      <c r="U26" t="s">
        <v>441</v>
      </c>
      <c r="W26" t="s">
        <v>26</v>
      </c>
      <c r="X26" t="s">
        <v>282</v>
      </c>
      <c r="AA26" t="s">
        <v>6</v>
      </c>
      <c r="AB26" t="b">
        <v>1</v>
      </c>
      <c r="AC26" t="s">
        <v>442</v>
      </c>
      <c r="AD26" t="s">
        <v>39</v>
      </c>
    </row>
    <row r="27" spans="1:30" x14ac:dyDescent="0.3">
      <c r="A27">
        <v>8519</v>
      </c>
      <c r="B27">
        <v>0.25</v>
      </c>
      <c r="C27" s="16">
        <v>1.04166666666666E-2</v>
      </c>
      <c r="D27">
        <v>0.280555555555555</v>
      </c>
      <c r="E27" s="16">
        <v>1.16898148148148E-2</v>
      </c>
      <c r="F27">
        <v>3.0555555555555499E-2</v>
      </c>
      <c r="G27" s="16">
        <v>1.27314814814814E-3</v>
      </c>
      <c r="H27" s="109">
        <v>1</v>
      </c>
      <c r="I27" t="s">
        <v>96</v>
      </c>
      <c r="J27" s="109">
        <v>3</v>
      </c>
      <c r="K27" s="15">
        <v>45586.418935185102</v>
      </c>
      <c r="L27" s="15">
        <v>45586.430625000001</v>
      </c>
      <c r="M27" s="15">
        <v>45586.418935185102</v>
      </c>
      <c r="N27">
        <v>45585.75</v>
      </c>
      <c r="O27" s="8">
        <v>45586</v>
      </c>
      <c r="P27" t="s">
        <v>144</v>
      </c>
      <c r="Q27" t="s">
        <v>446</v>
      </c>
      <c r="R27" t="s">
        <v>135</v>
      </c>
      <c r="S27" t="s">
        <v>131</v>
      </c>
      <c r="T27" t="s">
        <v>27</v>
      </c>
      <c r="U27" t="s">
        <v>145</v>
      </c>
      <c r="V27" t="s">
        <v>146</v>
      </c>
      <c r="W27" t="s">
        <v>444</v>
      </c>
      <c r="X27" t="s">
        <v>445</v>
      </c>
      <c r="AA27" t="s">
        <v>6</v>
      </c>
      <c r="AB27" t="b">
        <v>1</v>
      </c>
      <c r="AC27" t="s">
        <v>447</v>
      </c>
      <c r="AD27" t="s">
        <v>39</v>
      </c>
    </row>
    <row r="28" spans="1:30" x14ac:dyDescent="0.3">
      <c r="A28">
        <v>8520</v>
      </c>
      <c r="B28">
        <v>0.43333333333333302</v>
      </c>
      <c r="C28" s="16">
        <v>1.8055555555555498E-2</v>
      </c>
      <c r="D28">
        <v>3.3333333333333298E-2</v>
      </c>
      <c r="E28" s="16">
        <v>1.3888888888888801E-3</v>
      </c>
      <c r="F28">
        <v>-0.4</v>
      </c>
      <c r="G28" s="16">
        <v>1.6666666666666601E-2</v>
      </c>
      <c r="H28" s="109">
        <v>0</v>
      </c>
      <c r="I28" t="s">
        <v>96</v>
      </c>
      <c r="J28" s="109">
        <v>0</v>
      </c>
      <c r="K28" s="15">
        <v>45586.420891203699</v>
      </c>
      <c r="L28" s="15">
        <v>45586.422280092498</v>
      </c>
      <c r="M28" s="15">
        <v>45586.422210648103</v>
      </c>
      <c r="N28">
        <v>45585.75</v>
      </c>
      <c r="O28" s="8">
        <v>45586</v>
      </c>
      <c r="P28" t="s">
        <v>158</v>
      </c>
      <c r="Q28" t="s">
        <v>452</v>
      </c>
      <c r="R28" t="s">
        <v>135</v>
      </c>
      <c r="S28" t="s">
        <v>131</v>
      </c>
      <c r="T28" t="s">
        <v>29</v>
      </c>
      <c r="U28" t="s">
        <v>441</v>
      </c>
      <c r="V28" t="s">
        <v>146</v>
      </c>
      <c r="W28" t="s">
        <v>26</v>
      </c>
      <c r="X28" t="s">
        <v>451</v>
      </c>
      <c r="Y28" t="s">
        <v>217</v>
      </c>
      <c r="Z28" t="s">
        <v>450</v>
      </c>
      <c r="AA28" t="s">
        <v>6</v>
      </c>
      <c r="AB28" t="b">
        <v>1</v>
      </c>
      <c r="AC28" t="s">
        <v>454</v>
      </c>
      <c r="AD28" t="s">
        <v>39</v>
      </c>
    </row>
    <row r="29" spans="1:30" x14ac:dyDescent="0.3">
      <c r="A29">
        <v>8522</v>
      </c>
      <c r="B29">
        <v>0.58333333333333304</v>
      </c>
      <c r="C29" s="16">
        <v>2.43055555555555E-2</v>
      </c>
      <c r="D29">
        <v>5.83333333333333E-2</v>
      </c>
      <c r="E29" s="16">
        <v>2.43055555555555E-3</v>
      </c>
      <c r="F29">
        <v>-0.52500000000000002</v>
      </c>
      <c r="G29" s="16">
        <v>2.1874999999999999E-2</v>
      </c>
      <c r="H29" s="109">
        <v>0</v>
      </c>
      <c r="I29" t="s">
        <v>96</v>
      </c>
      <c r="J29" s="109">
        <v>0</v>
      </c>
      <c r="K29" s="15">
        <v>45586.426747685102</v>
      </c>
      <c r="L29" s="15">
        <v>45586.429178240702</v>
      </c>
      <c r="M29" s="15">
        <v>45586.429097222201</v>
      </c>
      <c r="N29">
        <v>45585.75</v>
      </c>
      <c r="O29" s="8">
        <v>45586</v>
      </c>
      <c r="P29" t="s">
        <v>158</v>
      </c>
      <c r="Q29" t="s">
        <v>458</v>
      </c>
      <c r="R29" t="s">
        <v>135</v>
      </c>
      <c r="S29" t="s">
        <v>131</v>
      </c>
      <c r="T29" t="s">
        <v>27</v>
      </c>
      <c r="U29" t="s">
        <v>298</v>
      </c>
      <c r="V29" t="s">
        <v>146</v>
      </c>
      <c r="W29" t="s">
        <v>26</v>
      </c>
      <c r="X29" t="s">
        <v>451</v>
      </c>
      <c r="Y29" t="s">
        <v>217</v>
      </c>
      <c r="Z29" t="s">
        <v>457</v>
      </c>
      <c r="AA29" t="s">
        <v>6</v>
      </c>
      <c r="AB29" t="b">
        <v>1</v>
      </c>
      <c r="AC29" t="s">
        <v>459</v>
      </c>
      <c r="AD29" t="s">
        <v>39</v>
      </c>
    </row>
    <row r="30" spans="1:30" x14ac:dyDescent="0.3">
      <c r="A30">
        <v>8523</v>
      </c>
      <c r="B30">
        <v>0.66666666666666596</v>
      </c>
      <c r="C30" s="16">
        <v>2.77777777777777E-2</v>
      </c>
      <c r="D30">
        <v>1.9166666666666599E-2</v>
      </c>
      <c r="E30" s="16">
        <v>7.9861111111111105E-4</v>
      </c>
      <c r="F30">
        <v>-0.64749999999999996</v>
      </c>
      <c r="G30" s="16">
        <v>2.6979166666666599E-2</v>
      </c>
      <c r="H30" s="109">
        <v>0</v>
      </c>
      <c r="I30" t="s">
        <v>96</v>
      </c>
      <c r="J30" s="109">
        <v>0</v>
      </c>
      <c r="K30" s="15">
        <v>45586.429756944402</v>
      </c>
      <c r="L30" s="15">
        <v>45586.430555555497</v>
      </c>
      <c r="M30" s="15">
        <v>45586.430486111101</v>
      </c>
      <c r="N30">
        <v>45585.75</v>
      </c>
      <c r="O30" s="8">
        <v>45586</v>
      </c>
      <c r="P30" t="s">
        <v>158</v>
      </c>
      <c r="Q30" t="s">
        <v>139</v>
      </c>
      <c r="R30" t="s">
        <v>155</v>
      </c>
      <c r="S30" t="s">
        <v>131</v>
      </c>
      <c r="T30" t="s">
        <v>27</v>
      </c>
      <c r="U30" t="s">
        <v>317</v>
      </c>
      <c r="V30" t="s">
        <v>146</v>
      </c>
      <c r="W30" t="s">
        <v>26</v>
      </c>
      <c r="X30" t="s">
        <v>37</v>
      </c>
      <c r="Y30" t="s">
        <v>217</v>
      </c>
      <c r="Z30" t="s">
        <v>315</v>
      </c>
      <c r="AA30" t="s">
        <v>6</v>
      </c>
      <c r="AB30" t="b">
        <v>1</v>
      </c>
      <c r="AC30" t="s">
        <v>316</v>
      </c>
      <c r="AD30" t="s">
        <v>39</v>
      </c>
    </row>
    <row r="31" spans="1:30" x14ac:dyDescent="0.3">
      <c r="A31">
        <v>8524</v>
      </c>
      <c r="B31">
        <v>2.6333333333333302</v>
      </c>
      <c r="C31" s="16">
        <v>0.109722222222222</v>
      </c>
      <c r="D31">
        <v>0.101666666666666</v>
      </c>
      <c r="E31" s="16">
        <v>4.2361111111111098E-3</v>
      </c>
      <c r="F31">
        <v>-2.5316666666666601</v>
      </c>
      <c r="G31" s="16">
        <v>0.105486111111111</v>
      </c>
      <c r="H31" s="109">
        <v>0</v>
      </c>
      <c r="I31" t="s">
        <v>96</v>
      </c>
      <c r="J31" s="109">
        <v>3</v>
      </c>
      <c r="K31" s="15">
        <v>45586.433692129598</v>
      </c>
      <c r="L31" s="15">
        <v>45586.437928240703</v>
      </c>
      <c r="M31" s="15">
        <v>45586.438020833302</v>
      </c>
      <c r="N31">
        <v>45585.75</v>
      </c>
      <c r="O31" s="8">
        <v>45586</v>
      </c>
      <c r="P31" t="s">
        <v>138</v>
      </c>
      <c r="Q31" t="s">
        <v>466</v>
      </c>
      <c r="R31" t="s">
        <v>135</v>
      </c>
      <c r="S31" t="s">
        <v>320</v>
      </c>
      <c r="T31" t="s">
        <v>220</v>
      </c>
      <c r="W31" t="s">
        <v>26</v>
      </c>
      <c r="X31" t="s">
        <v>465</v>
      </c>
      <c r="Z31" t="s">
        <v>463</v>
      </c>
      <c r="AA31" t="s">
        <v>6</v>
      </c>
      <c r="AB31" t="b">
        <v>1</v>
      </c>
      <c r="AC31" t="s">
        <v>463</v>
      </c>
      <c r="AD31" t="s">
        <v>39</v>
      </c>
    </row>
    <row r="32" spans="1:30" x14ac:dyDescent="0.3">
      <c r="A32">
        <v>8525</v>
      </c>
      <c r="B32">
        <v>0.41666666666666602</v>
      </c>
      <c r="C32" s="16">
        <v>1.7361111111111101E-2</v>
      </c>
      <c r="D32">
        <v>1.2500000000000001E-2</v>
      </c>
      <c r="E32" s="16">
        <v>5.20833333333333E-4</v>
      </c>
      <c r="F32">
        <v>-0.40416666666666601</v>
      </c>
      <c r="G32" s="16">
        <v>1.6840277777777701E-2</v>
      </c>
      <c r="H32" s="109">
        <v>0</v>
      </c>
      <c r="I32" t="s">
        <v>96</v>
      </c>
      <c r="J32" s="109">
        <v>3</v>
      </c>
      <c r="K32" s="15">
        <v>45586.438668981398</v>
      </c>
      <c r="L32" s="15">
        <v>45586.439189814802</v>
      </c>
      <c r="M32" s="15">
        <v>45586.439282407402</v>
      </c>
      <c r="N32">
        <v>45585.75</v>
      </c>
      <c r="O32" s="8">
        <v>45586</v>
      </c>
      <c r="P32" t="s">
        <v>138</v>
      </c>
      <c r="Q32" t="s">
        <v>139</v>
      </c>
      <c r="R32" t="s">
        <v>135</v>
      </c>
      <c r="S32" t="s">
        <v>133</v>
      </c>
      <c r="T32" t="s">
        <v>220</v>
      </c>
      <c r="W32" t="s">
        <v>26</v>
      </c>
      <c r="X32" t="s">
        <v>37</v>
      </c>
      <c r="Y32" t="s">
        <v>217</v>
      </c>
      <c r="Z32" t="s">
        <v>470</v>
      </c>
      <c r="AA32" t="s">
        <v>6</v>
      </c>
      <c r="AB32" t="b">
        <v>1</v>
      </c>
      <c r="AC32" t="s">
        <v>470</v>
      </c>
      <c r="AD32" t="s">
        <v>39</v>
      </c>
    </row>
    <row r="33" spans="1:30" x14ac:dyDescent="0.3">
      <c r="A33">
        <v>8526</v>
      </c>
      <c r="B33">
        <v>0.53333333333333299</v>
      </c>
      <c r="C33" s="16">
        <v>2.2222222222222199E-2</v>
      </c>
      <c r="D33">
        <v>3.6666666666666597E-2</v>
      </c>
      <c r="E33" s="16">
        <v>1.5277777777777701E-3</v>
      </c>
      <c r="F33">
        <v>-0.49666666666666598</v>
      </c>
      <c r="G33" s="16">
        <v>2.0694444444444401E-2</v>
      </c>
      <c r="H33" s="109">
        <v>0</v>
      </c>
      <c r="I33" t="s">
        <v>96</v>
      </c>
      <c r="J33" s="109">
        <v>0</v>
      </c>
      <c r="K33" s="15">
        <v>45586.440960648099</v>
      </c>
      <c r="L33" s="15">
        <v>45586.442488425899</v>
      </c>
      <c r="M33" s="15">
        <v>45586.442453703698</v>
      </c>
      <c r="N33">
        <v>45585.75</v>
      </c>
      <c r="O33" s="8">
        <v>45586</v>
      </c>
      <c r="P33" t="s">
        <v>158</v>
      </c>
      <c r="Q33" t="s">
        <v>360</v>
      </c>
      <c r="R33" t="s">
        <v>135</v>
      </c>
      <c r="S33" t="s">
        <v>131</v>
      </c>
      <c r="T33" t="s">
        <v>29</v>
      </c>
      <c r="U33" t="s">
        <v>258</v>
      </c>
      <c r="V33" t="s">
        <v>146</v>
      </c>
      <c r="W33" t="s">
        <v>26</v>
      </c>
      <c r="X33" t="s">
        <v>32</v>
      </c>
      <c r="Y33" t="s">
        <v>217</v>
      </c>
      <c r="Z33" t="s">
        <v>473</v>
      </c>
      <c r="AA33" t="s">
        <v>6</v>
      </c>
      <c r="AB33" t="b">
        <v>1</v>
      </c>
      <c r="AC33" t="s">
        <v>474</v>
      </c>
      <c r="AD33" t="s">
        <v>39</v>
      </c>
    </row>
    <row r="34" spans="1:30" x14ac:dyDescent="0.3">
      <c r="A34">
        <v>8527</v>
      </c>
      <c r="B34">
        <v>0.25</v>
      </c>
      <c r="C34" s="16">
        <v>1.04166666666666E-2</v>
      </c>
      <c r="D34">
        <v>0.724444444444444</v>
      </c>
      <c r="E34" s="16">
        <v>3.01851851851851E-2</v>
      </c>
      <c r="F34">
        <v>0.474444444444444</v>
      </c>
      <c r="G34" s="16">
        <v>1.9768518518518501E-2</v>
      </c>
      <c r="H34" s="109">
        <v>0</v>
      </c>
      <c r="I34" t="s">
        <v>96</v>
      </c>
      <c r="J34" s="109">
        <v>1</v>
      </c>
      <c r="K34" s="15">
        <v>45586.443136574002</v>
      </c>
      <c r="L34" s="15">
        <v>45586.4733217592</v>
      </c>
      <c r="M34" s="15">
        <v>45586.443136574002</v>
      </c>
      <c r="N34">
        <v>45585.75</v>
      </c>
      <c r="O34" s="8">
        <v>45586</v>
      </c>
      <c r="P34" t="s">
        <v>171</v>
      </c>
      <c r="Q34" t="s">
        <v>478</v>
      </c>
      <c r="R34" t="s">
        <v>216</v>
      </c>
      <c r="S34" t="s">
        <v>133</v>
      </c>
      <c r="T34" t="s">
        <v>223</v>
      </c>
      <c r="W34" t="s">
        <v>26</v>
      </c>
      <c r="X34" t="s">
        <v>477</v>
      </c>
      <c r="Y34" t="s">
        <v>217</v>
      </c>
      <c r="AA34" t="s">
        <v>6</v>
      </c>
      <c r="AB34" t="b">
        <v>1</v>
      </c>
      <c r="AC34" t="s">
        <v>476</v>
      </c>
      <c r="AD34" t="s">
        <v>39</v>
      </c>
    </row>
    <row r="35" spans="1:30" x14ac:dyDescent="0.3">
      <c r="A35">
        <v>8528</v>
      </c>
      <c r="B35">
        <v>0.66666666666666596</v>
      </c>
      <c r="C35" s="16">
        <v>2.77777777777777E-2</v>
      </c>
      <c r="D35">
        <v>0.65833333333333299</v>
      </c>
      <c r="E35" s="16">
        <v>2.74305555555555E-2</v>
      </c>
      <c r="F35">
        <v>-8.3333333333333003E-3</v>
      </c>
      <c r="G35" s="16">
        <v>3.4722222222222099E-4</v>
      </c>
      <c r="H35" s="109">
        <v>1</v>
      </c>
      <c r="I35" t="s">
        <v>96</v>
      </c>
      <c r="J35" s="109">
        <v>1</v>
      </c>
      <c r="K35" s="15">
        <v>45586.445798611101</v>
      </c>
      <c r="L35" s="15">
        <v>45586.473229166601</v>
      </c>
      <c r="M35" s="15">
        <v>45586.445798611101</v>
      </c>
      <c r="N35">
        <v>45585.75</v>
      </c>
      <c r="O35" s="8">
        <v>45586</v>
      </c>
      <c r="P35" t="s">
        <v>171</v>
      </c>
      <c r="Q35" t="s">
        <v>483</v>
      </c>
      <c r="R35" t="s">
        <v>135</v>
      </c>
      <c r="S35" t="s">
        <v>133</v>
      </c>
      <c r="T35" t="s">
        <v>259</v>
      </c>
      <c r="W35" t="s">
        <v>26</v>
      </c>
      <c r="X35" t="s">
        <v>482</v>
      </c>
      <c r="Y35" t="s">
        <v>217</v>
      </c>
      <c r="AA35" t="s">
        <v>6</v>
      </c>
      <c r="AB35" t="b">
        <v>1</v>
      </c>
      <c r="AC35" t="s">
        <v>484</v>
      </c>
      <c r="AD35" t="s">
        <v>39</v>
      </c>
    </row>
    <row r="36" spans="1:30" x14ac:dyDescent="0.3">
      <c r="A36">
        <v>8529</v>
      </c>
      <c r="B36">
        <v>0.16666666666666599</v>
      </c>
      <c r="C36" s="16">
        <v>6.9444444444444397E-3</v>
      </c>
      <c r="D36">
        <v>1.55555555555555E-2</v>
      </c>
      <c r="E36" s="16">
        <v>6.4814814814814802E-4</v>
      </c>
      <c r="F36">
        <v>-0.151111111111111</v>
      </c>
      <c r="G36" s="16">
        <v>6.2962962962962903E-3</v>
      </c>
      <c r="H36" s="109">
        <v>1</v>
      </c>
      <c r="I36" t="s">
        <v>96</v>
      </c>
      <c r="J36" s="109">
        <v>2</v>
      </c>
      <c r="K36" s="15">
        <v>45586.445486111101</v>
      </c>
      <c r="L36" s="15">
        <v>45586.446134259197</v>
      </c>
      <c r="M36" s="15">
        <v>45586.446226851796</v>
      </c>
      <c r="N36">
        <v>45585.75</v>
      </c>
      <c r="O36" s="8">
        <v>45586</v>
      </c>
      <c r="P36" t="s">
        <v>138</v>
      </c>
      <c r="Q36" t="s">
        <v>490</v>
      </c>
      <c r="R36" t="s">
        <v>135</v>
      </c>
      <c r="S36" t="s">
        <v>133</v>
      </c>
      <c r="T36" t="s">
        <v>220</v>
      </c>
      <c r="W36" t="s">
        <v>287</v>
      </c>
      <c r="X36" t="s">
        <v>489</v>
      </c>
      <c r="Z36" t="s">
        <v>487</v>
      </c>
      <c r="AA36" t="s">
        <v>6</v>
      </c>
      <c r="AB36" t="b">
        <v>1</v>
      </c>
      <c r="AC36" t="s">
        <v>488</v>
      </c>
      <c r="AD36" t="s">
        <v>39</v>
      </c>
    </row>
    <row r="37" spans="1:30" x14ac:dyDescent="0.3">
      <c r="A37">
        <v>8530</v>
      </c>
      <c r="B37">
        <v>0.133333333333333</v>
      </c>
      <c r="C37" s="16">
        <v>5.5555555555555497E-3</v>
      </c>
      <c r="D37">
        <v>0</v>
      </c>
      <c r="E37" s="16">
        <v>0</v>
      </c>
      <c r="F37">
        <v>-0.133333333333333</v>
      </c>
      <c r="G37" s="16">
        <v>5.5555555555555497E-3</v>
      </c>
      <c r="H37" s="109">
        <v>0</v>
      </c>
      <c r="I37" t="s">
        <v>137</v>
      </c>
      <c r="J37" s="109">
        <v>2</v>
      </c>
      <c r="K37" s="15">
        <v>45586.446226851796</v>
      </c>
      <c r="L37" s="15">
        <v>1</v>
      </c>
      <c r="M37" s="15">
        <v>45586.446226851796</v>
      </c>
      <c r="N37">
        <v>45585.75</v>
      </c>
      <c r="O37" s="8">
        <v>45586</v>
      </c>
      <c r="P37" t="s">
        <v>134</v>
      </c>
      <c r="Q37" t="s">
        <v>495</v>
      </c>
      <c r="R37" t="s">
        <v>135</v>
      </c>
      <c r="S37" t="s">
        <v>131</v>
      </c>
      <c r="T37" t="s">
        <v>288</v>
      </c>
      <c r="W37" t="s">
        <v>26</v>
      </c>
      <c r="X37" t="s">
        <v>38</v>
      </c>
      <c r="AA37" t="s">
        <v>6</v>
      </c>
      <c r="AC37" t="s">
        <v>496</v>
      </c>
      <c r="AD37" t="s">
        <v>39</v>
      </c>
    </row>
    <row r="38" spans="1:30" x14ac:dyDescent="0.3">
      <c r="A38">
        <v>8531</v>
      </c>
      <c r="B38">
        <v>8.3333333333333301E-2</v>
      </c>
      <c r="C38" s="16">
        <v>3.4722222222222199E-3</v>
      </c>
      <c r="D38">
        <v>0</v>
      </c>
      <c r="E38" s="16">
        <v>0</v>
      </c>
      <c r="F38">
        <v>-8.3333333333333301E-2</v>
      </c>
      <c r="G38" s="16">
        <v>3.4722222222222199E-3</v>
      </c>
      <c r="H38" s="109">
        <v>0</v>
      </c>
      <c r="I38" t="s">
        <v>137</v>
      </c>
      <c r="J38" s="109">
        <v>2</v>
      </c>
      <c r="K38" s="15">
        <v>45586.447812500002</v>
      </c>
      <c r="L38" s="15">
        <v>1</v>
      </c>
      <c r="M38" s="15">
        <v>45586.447812500002</v>
      </c>
      <c r="N38">
        <v>45585.75</v>
      </c>
      <c r="O38" s="8">
        <v>45586</v>
      </c>
      <c r="P38" t="s">
        <v>134</v>
      </c>
      <c r="Q38" t="s">
        <v>500</v>
      </c>
      <c r="R38" t="s">
        <v>135</v>
      </c>
      <c r="S38" t="s">
        <v>131</v>
      </c>
      <c r="T38" t="s">
        <v>259</v>
      </c>
      <c r="W38" t="s">
        <v>26</v>
      </c>
      <c r="X38" t="s">
        <v>374</v>
      </c>
      <c r="AA38" t="s">
        <v>6</v>
      </c>
      <c r="AC38" t="s">
        <v>501</v>
      </c>
      <c r="AD38" t="s">
        <v>39</v>
      </c>
    </row>
    <row r="39" spans="1:30" x14ac:dyDescent="0.3">
      <c r="A39">
        <v>8532</v>
      </c>
      <c r="B39">
        <v>0.1</v>
      </c>
      <c r="C39" s="16">
        <v>4.1666666666666597E-3</v>
      </c>
      <c r="D39">
        <v>0.45388888888888801</v>
      </c>
      <c r="E39" s="16">
        <v>1.8912037037037002E-2</v>
      </c>
      <c r="F39">
        <v>0.35388888888888798</v>
      </c>
      <c r="G39" s="16">
        <v>1.4745370370370299E-2</v>
      </c>
      <c r="H39" s="109">
        <v>0</v>
      </c>
      <c r="I39" t="s">
        <v>96</v>
      </c>
      <c r="J39" s="109">
        <v>3</v>
      </c>
      <c r="K39" s="15">
        <v>45586.448182870299</v>
      </c>
      <c r="L39" s="15">
        <v>45586.467094907399</v>
      </c>
      <c r="M39" s="15">
        <v>45586.448182870299</v>
      </c>
      <c r="N39">
        <v>45585.75</v>
      </c>
      <c r="O39" s="8">
        <v>45586</v>
      </c>
      <c r="P39" t="s">
        <v>142</v>
      </c>
      <c r="Q39" t="s">
        <v>506</v>
      </c>
      <c r="R39" t="s">
        <v>216</v>
      </c>
      <c r="S39" t="s">
        <v>131</v>
      </c>
      <c r="T39" t="s">
        <v>203</v>
      </c>
      <c r="W39" t="s">
        <v>26</v>
      </c>
      <c r="X39" t="s">
        <v>505</v>
      </c>
      <c r="Y39" t="s">
        <v>217</v>
      </c>
      <c r="Z39" t="s">
        <v>504</v>
      </c>
      <c r="AA39" t="s">
        <v>6</v>
      </c>
      <c r="AB39" t="b">
        <v>1</v>
      </c>
      <c r="AC39" t="s">
        <v>504</v>
      </c>
      <c r="AD39" t="s">
        <v>39</v>
      </c>
    </row>
    <row r="40" spans="1:30" x14ac:dyDescent="0.3">
      <c r="A40">
        <v>8533</v>
      </c>
      <c r="B40">
        <v>2.1666666666666599</v>
      </c>
      <c r="C40" s="16">
        <v>9.0277777777777707E-2</v>
      </c>
      <c r="D40">
        <v>2.2400000000000002</v>
      </c>
      <c r="E40" s="16">
        <v>9.3333333333333296E-2</v>
      </c>
      <c r="F40">
        <v>7.3333333333333695E-2</v>
      </c>
      <c r="G40" s="16">
        <v>3.05555555555557E-3</v>
      </c>
      <c r="H40" s="109">
        <v>1</v>
      </c>
      <c r="I40" t="s">
        <v>96</v>
      </c>
      <c r="J40" s="109">
        <v>0</v>
      </c>
      <c r="K40" s="15">
        <v>45586.449340277701</v>
      </c>
      <c r="L40" s="15">
        <v>45586.542673611097</v>
      </c>
      <c r="M40" s="15">
        <v>45586.449340277701</v>
      </c>
      <c r="N40">
        <v>45585.75</v>
      </c>
      <c r="O40" s="8">
        <v>45586</v>
      </c>
      <c r="P40" t="s">
        <v>147</v>
      </c>
      <c r="Q40" t="s">
        <v>510</v>
      </c>
      <c r="R40" t="s">
        <v>145</v>
      </c>
      <c r="S40" t="s">
        <v>131</v>
      </c>
      <c r="T40" t="s">
        <v>29</v>
      </c>
      <c r="U40" t="s">
        <v>148</v>
      </c>
      <c r="W40" t="s">
        <v>26</v>
      </c>
      <c r="X40" t="s">
        <v>28</v>
      </c>
      <c r="AA40" t="s">
        <v>6</v>
      </c>
      <c r="AB40" t="b">
        <v>1</v>
      </c>
      <c r="AC40" t="s">
        <v>511</v>
      </c>
      <c r="AD40" t="s">
        <v>39</v>
      </c>
    </row>
    <row r="41" spans="1:30" x14ac:dyDescent="0.3">
      <c r="A41">
        <v>8534</v>
      </c>
      <c r="B41">
        <v>0.25</v>
      </c>
      <c r="C41" s="16">
        <v>1.04166666666666E-2</v>
      </c>
      <c r="D41">
        <v>0.43555555555555497</v>
      </c>
      <c r="E41" s="16">
        <v>1.8148148148148101E-2</v>
      </c>
      <c r="F41">
        <v>0.185555555555555</v>
      </c>
      <c r="G41" s="16">
        <v>7.7314814814814798E-3</v>
      </c>
      <c r="H41" s="109">
        <v>1</v>
      </c>
      <c r="I41" t="s">
        <v>96</v>
      </c>
      <c r="J41" s="109">
        <v>1</v>
      </c>
      <c r="K41" s="15">
        <v>45586.453958333303</v>
      </c>
      <c r="L41" s="15">
        <v>45586.4721064814</v>
      </c>
      <c r="M41" s="15">
        <v>45586.453958333303</v>
      </c>
      <c r="N41">
        <v>45585.75</v>
      </c>
      <c r="O41" s="8">
        <v>45586</v>
      </c>
      <c r="P41" t="s">
        <v>171</v>
      </c>
      <c r="Q41" t="s">
        <v>516</v>
      </c>
      <c r="R41" t="s">
        <v>216</v>
      </c>
      <c r="S41" t="s">
        <v>133</v>
      </c>
      <c r="T41" t="s">
        <v>212</v>
      </c>
      <c r="W41" t="s">
        <v>26</v>
      </c>
      <c r="X41" t="s">
        <v>515</v>
      </c>
      <c r="AA41" t="s">
        <v>6</v>
      </c>
      <c r="AB41" t="b">
        <v>1</v>
      </c>
      <c r="AC41" t="s">
        <v>514</v>
      </c>
      <c r="AD41" t="s">
        <v>39</v>
      </c>
    </row>
    <row r="42" spans="1:30" x14ac:dyDescent="0.3">
      <c r="A42">
        <v>8535</v>
      </c>
      <c r="B42">
        <v>0.63333333333333297</v>
      </c>
      <c r="C42" s="16">
        <v>2.6388888888888799E-2</v>
      </c>
      <c r="D42">
        <v>0.30333333333333301</v>
      </c>
      <c r="E42" s="16">
        <v>1.26388888888888E-2</v>
      </c>
      <c r="F42">
        <v>-0.32999999999999902</v>
      </c>
      <c r="G42" s="16">
        <v>1.3749999999999899E-2</v>
      </c>
      <c r="H42" s="109">
        <v>1</v>
      </c>
      <c r="I42" t="s">
        <v>96</v>
      </c>
      <c r="J42" s="109">
        <v>3</v>
      </c>
      <c r="K42" s="15">
        <v>45586.454421296199</v>
      </c>
      <c r="L42" s="15">
        <v>45586.467060185103</v>
      </c>
      <c r="M42" s="15">
        <v>45586.454421296199</v>
      </c>
      <c r="N42">
        <v>45585.75</v>
      </c>
      <c r="O42" s="8">
        <v>45586</v>
      </c>
      <c r="P42" t="s">
        <v>142</v>
      </c>
      <c r="Q42" t="s">
        <v>521</v>
      </c>
      <c r="R42" t="s">
        <v>216</v>
      </c>
      <c r="S42" t="s">
        <v>131</v>
      </c>
      <c r="T42" t="s">
        <v>27</v>
      </c>
      <c r="U42" t="s">
        <v>145</v>
      </c>
      <c r="W42" t="s">
        <v>35</v>
      </c>
      <c r="X42" t="s">
        <v>520</v>
      </c>
      <c r="Y42" t="s">
        <v>217</v>
      </c>
      <c r="Z42" t="s">
        <v>519</v>
      </c>
      <c r="AA42" t="s">
        <v>6</v>
      </c>
      <c r="AB42" t="b">
        <v>1</v>
      </c>
      <c r="AC42" t="s">
        <v>519</v>
      </c>
      <c r="AD42" t="s">
        <v>39</v>
      </c>
    </row>
    <row r="43" spans="1:30" x14ac:dyDescent="0.3">
      <c r="A43">
        <v>8536</v>
      </c>
      <c r="B43">
        <v>1.1666666666666601</v>
      </c>
      <c r="C43" s="16">
        <v>4.8611111111111098E-2</v>
      </c>
      <c r="D43">
        <v>3.7236111111111101</v>
      </c>
      <c r="E43" s="16">
        <v>0.155150462962962</v>
      </c>
      <c r="F43">
        <v>2.55694444444444</v>
      </c>
      <c r="G43" s="16">
        <v>0.106539351851851</v>
      </c>
      <c r="H43" s="109">
        <v>0</v>
      </c>
      <c r="I43" t="s">
        <v>96</v>
      </c>
      <c r="J43" s="109">
        <v>1</v>
      </c>
      <c r="K43" s="15">
        <v>45586.454803240696</v>
      </c>
      <c r="L43" s="15">
        <v>45586.609953703701</v>
      </c>
      <c r="M43" s="15">
        <v>45586.454803240696</v>
      </c>
      <c r="N43">
        <v>45585.75</v>
      </c>
      <c r="O43" s="8">
        <v>45586</v>
      </c>
      <c r="P43" t="s">
        <v>136</v>
      </c>
      <c r="Q43" t="s">
        <v>516</v>
      </c>
      <c r="R43" t="s">
        <v>221</v>
      </c>
      <c r="S43" t="s">
        <v>131</v>
      </c>
      <c r="T43" t="s">
        <v>212</v>
      </c>
      <c r="W43" t="s">
        <v>26</v>
      </c>
      <c r="X43" t="s">
        <v>515</v>
      </c>
      <c r="Y43" t="s">
        <v>217</v>
      </c>
      <c r="AA43" t="s">
        <v>6</v>
      </c>
      <c r="AB43" t="b">
        <v>1</v>
      </c>
      <c r="AC43" t="s">
        <v>525</v>
      </c>
      <c r="AD43" t="s">
        <v>39</v>
      </c>
    </row>
    <row r="44" spans="1:30" x14ac:dyDescent="0.3">
      <c r="A44">
        <v>8537</v>
      </c>
      <c r="B44">
        <v>0.1</v>
      </c>
      <c r="C44" s="16">
        <v>4.1666666666666597E-3</v>
      </c>
      <c r="D44">
        <v>0.271666666666666</v>
      </c>
      <c r="E44" s="16">
        <v>1.1319444444444399E-2</v>
      </c>
      <c r="F44">
        <v>0.171666666666666</v>
      </c>
      <c r="G44" s="16">
        <v>7.1527777777777701E-3</v>
      </c>
      <c r="H44" s="109">
        <v>1</v>
      </c>
      <c r="I44" t="s">
        <v>96</v>
      </c>
      <c r="J44" s="109">
        <v>3</v>
      </c>
      <c r="K44" s="15">
        <v>45586.455729166599</v>
      </c>
      <c r="L44" s="15">
        <v>45586.467048611099</v>
      </c>
      <c r="M44" s="15">
        <v>45586.455729166599</v>
      </c>
      <c r="N44">
        <v>45585.75</v>
      </c>
      <c r="O44" s="8">
        <v>45586</v>
      </c>
      <c r="P44" t="s">
        <v>142</v>
      </c>
      <c r="Q44" t="s">
        <v>531</v>
      </c>
      <c r="R44" t="s">
        <v>145</v>
      </c>
      <c r="S44" t="s">
        <v>131</v>
      </c>
      <c r="T44" t="s">
        <v>203</v>
      </c>
      <c r="U44" t="s">
        <v>204</v>
      </c>
      <c r="W44" t="s">
        <v>529</v>
      </c>
      <c r="X44" t="s">
        <v>530</v>
      </c>
      <c r="Y44" t="s">
        <v>217</v>
      </c>
      <c r="Z44" t="s">
        <v>528</v>
      </c>
      <c r="AA44" t="s">
        <v>6</v>
      </c>
      <c r="AB44" t="b">
        <v>1</v>
      </c>
      <c r="AC44" t="s">
        <v>528</v>
      </c>
      <c r="AD44" t="s">
        <v>39</v>
      </c>
    </row>
    <row r="45" spans="1:30" x14ac:dyDescent="0.3">
      <c r="A45">
        <v>8538</v>
      </c>
      <c r="B45">
        <v>0.33333333333333298</v>
      </c>
      <c r="C45" s="16">
        <v>1.38888888888888E-2</v>
      </c>
      <c r="D45">
        <v>0.35611111111111099</v>
      </c>
      <c r="E45" s="16">
        <v>1.48379629629629E-2</v>
      </c>
      <c r="F45">
        <v>2.2777777777777699E-2</v>
      </c>
      <c r="G45" s="16">
        <v>9.4907407407407397E-4</v>
      </c>
      <c r="H45" s="109">
        <v>1</v>
      </c>
      <c r="I45" t="s">
        <v>96</v>
      </c>
      <c r="J45" s="109">
        <v>1</v>
      </c>
      <c r="K45" s="15">
        <v>45586.457129629598</v>
      </c>
      <c r="L45" s="15">
        <v>45586.471967592501</v>
      </c>
      <c r="M45" s="15">
        <v>45586.457129629598</v>
      </c>
      <c r="N45">
        <v>45585.75</v>
      </c>
      <c r="O45" s="8">
        <v>45586</v>
      </c>
      <c r="P45" t="s">
        <v>171</v>
      </c>
      <c r="Q45" t="s">
        <v>478</v>
      </c>
      <c r="R45" t="s">
        <v>216</v>
      </c>
      <c r="S45" t="s">
        <v>133</v>
      </c>
      <c r="T45" t="s">
        <v>257</v>
      </c>
      <c r="W45" t="s">
        <v>26</v>
      </c>
      <c r="X45" t="s">
        <v>477</v>
      </c>
      <c r="Y45" t="s">
        <v>217</v>
      </c>
      <c r="AA45" t="s">
        <v>6</v>
      </c>
      <c r="AB45" t="b">
        <v>1</v>
      </c>
      <c r="AC45" t="s">
        <v>536</v>
      </c>
      <c r="AD45" t="s">
        <v>39</v>
      </c>
    </row>
    <row r="46" spans="1:30" x14ac:dyDescent="0.3">
      <c r="A46">
        <v>8539</v>
      </c>
      <c r="B46">
        <v>0.21666666666666601</v>
      </c>
      <c r="C46" s="16">
        <v>9.02777777777777E-3</v>
      </c>
      <c r="D46">
        <v>0.29055555555555501</v>
      </c>
      <c r="E46" s="16">
        <v>1.21064814814814E-2</v>
      </c>
      <c r="F46">
        <v>7.3888888888888796E-2</v>
      </c>
      <c r="G46" s="16">
        <v>3.0787037037036998E-3</v>
      </c>
      <c r="H46" s="109">
        <v>1</v>
      </c>
      <c r="I46" t="s">
        <v>96</v>
      </c>
      <c r="J46" s="109">
        <v>1</v>
      </c>
      <c r="K46" s="15">
        <v>45586.457256944399</v>
      </c>
      <c r="L46" s="15">
        <v>45586.469363425902</v>
      </c>
      <c r="M46" s="15">
        <v>45586.457256944399</v>
      </c>
      <c r="N46">
        <v>45585.75</v>
      </c>
      <c r="O46" s="8">
        <v>45586</v>
      </c>
      <c r="P46" t="s">
        <v>171</v>
      </c>
      <c r="Q46" t="s">
        <v>540</v>
      </c>
      <c r="R46" t="s">
        <v>216</v>
      </c>
      <c r="S46" t="s">
        <v>131</v>
      </c>
      <c r="T46" t="s">
        <v>257</v>
      </c>
      <c r="W46" t="s">
        <v>287</v>
      </c>
      <c r="X46" t="s">
        <v>539</v>
      </c>
      <c r="Y46" t="s">
        <v>217</v>
      </c>
      <c r="AA46" t="s">
        <v>6</v>
      </c>
      <c r="AB46" t="b">
        <v>1</v>
      </c>
      <c r="AC46" t="s">
        <v>541</v>
      </c>
      <c r="AD46" t="s">
        <v>39</v>
      </c>
    </row>
    <row r="47" spans="1:30" x14ac:dyDescent="0.3">
      <c r="A47">
        <v>8540</v>
      </c>
      <c r="B47">
        <v>0.05</v>
      </c>
      <c r="C47" s="16">
        <v>2.0833333333333298E-3</v>
      </c>
      <c r="D47">
        <v>0.21861111111111101</v>
      </c>
      <c r="E47" s="16">
        <v>9.1087962962962902E-3</v>
      </c>
      <c r="F47">
        <v>0.16861111111111099</v>
      </c>
      <c r="G47" s="16">
        <v>7.0254629629629599E-3</v>
      </c>
      <c r="H47" s="109">
        <v>1</v>
      </c>
      <c r="I47" t="s">
        <v>96</v>
      </c>
      <c r="J47" s="109">
        <v>2</v>
      </c>
      <c r="K47" s="15">
        <v>45586.458831018499</v>
      </c>
      <c r="L47" s="15">
        <v>45586.4679398148</v>
      </c>
      <c r="M47" s="15">
        <v>45586.458831018499</v>
      </c>
      <c r="N47">
        <v>45585.75</v>
      </c>
      <c r="O47" s="8">
        <v>45586</v>
      </c>
      <c r="P47" t="s">
        <v>142</v>
      </c>
      <c r="Q47" t="s">
        <v>547</v>
      </c>
      <c r="R47" t="s">
        <v>145</v>
      </c>
      <c r="S47" t="s">
        <v>131</v>
      </c>
      <c r="T47" t="s">
        <v>259</v>
      </c>
      <c r="W47" t="s">
        <v>26</v>
      </c>
      <c r="X47" t="s">
        <v>546</v>
      </c>
      <c r="Y47" t="s">
        <v>217</v>
      </c>
      <c r="Z47" t="s">
        <v>544</v>
      </c>
      <c r="AA47" t="s">
        <v>6</v>
      </c>
      <c r="AB47" t="b">
        <v>1</v>
      </c>
      <c r="AC47" t="s">
        <v>549</v>
      </c>
      <c r="AD47" t="s">
        <v>39</v>
      </c>
    </row>
    <row r="48" spans="1:30" x14ac:dyDescent="0.3">
      <c r="A48">
        <v>8541</v>
      </c>
      <c r="B48">
        <v>0.2</v>
      </c>
      <c r="C48" s="16">
        <v>8.3333333333333297E-3</v>
      </c>
      <c r="D48">
        <v>0.20250000000000001</v>
      </c>
      <c r="E48" s="16">
        <v>8.4375000000000006E-3</v>
      </c>
      <c r="F48">
        <v>2.5000000000000001E-3</v>
      </c>
      <c r="G48" s="16">
        <v>1.04166666666666E-4</v>
      </c>
      <c r="H48" s="109">
        <v>1</v>
      </c>
      <c r="I48" t="s">
        <v>96</v>
      </c>
      <c r="J48" s="109">
        <v>1</v>
      </c>
      <c r="K48" s="15">
        <v>45586.460324074003</v>
      </c>
      <c r="L48" s="15">
        <v>45586.468761573997</v>
      </c>
      <c r="M48" s="15">
        <v>45586.460324074003</v>
      </c>
      <c r="N48">
        <v>45585.75</v>
      </c>
      <c r="O48" s="8">
        <v>45586</v>
      </c>
      <c r="P48" t="s">
        <v>171</v>
      </c>
      <c r="Q48" t="s">
        <v>276</v>
      </c>
      <c r="R48" t="s">
        <v>135</v>
      </c>
      <c r="S48" t="s">
        <v>133</v>
      </c>
      <c r="T48" t="s">
        <v>259</v>
      </c>
      <c r="W48" t="s">
        <v>34</v>
      </c>
      <c r="X48" t="s">
        <v>275</v>
      </c>
      <c r="Y48" t="s">
        <v>217</v>
      </c>
      <c r="AA48" t="s">
        <v>6</v>
      </c>
      <c r="AB48" t="b">
        <v>1</v>
      </c>
      <c r="AC48" t="s">
        <v>552</v>
      </c>
      <c r="AD48" t="s">
        <v>39</v>
      </c>
    </row>
    <row r="49" spans="1:30" x14ac:dyDescent="0.3">
      <c r="A49">
        <v>8542</v>
      </c>
      <c r="B49">
        <v>0.28333333333333299</v>
      </c>
      <c r="C49" s="16">
        <v>1.18055555555555E-2</v>
      </c>
      <c r="D49">
        <v>0.108333333333333</v>
      </c>
      <c r="E49" s="16">
        <v>4.5138888888888798E-3</v>
      </c>
      <c r="F49">
        <v>-0.17499999999999999</v>
      </c>
      <c r="G49" s="16">
        <v>7.2916666666666598E-3</v>
      </c>
      <c r="H49" s="109">
        <v>1</v>
      </c>
      <c r="I49" t="s">
        <v>96</v>
      </c>
      <c r="J49" s="109">
        <v>3</v>
      </c>
      <c r="K49" s="15">
        <v>45586.462500000001</v>
      </c>
      <c r="L49" s="15">
        <v>45586.467013888803</v>
      </c>
      <c r="M49" s="15">
        <v>45586.462500000001</v>
      </c>
      <c r="N49">
        <v>45585.75</v>
      </c>
      <c r="O49" s="8">
        <v>45586</v>
      </c>
      <c r="P49" t="s">
        <v>142</v>
      </c>
      <c r="Q49" t="s">
        <v>318</v>
      </c>
      <c r="R49" t="s">
        <v>280</v>
      </c>
      <c r="S49" t="s">
        <v>133</v>
      </c>
      <c r="T49" t="s">
        <v>203</v>
      </c>
      <c r="U49" t="s">
        <v>204</v>
      </c>
      <c r="W49" t="s">
        <v>26</v>
      </c>
      <c r="X49" t="s">
        <v>37</v>
      </c>
      <c r="Y49" t="s">
        <v>217</v>
      </c>
      <c r="Z49" t="s">
        <v>554</v>
      </c>
      <c r="AA49" t="s">
        <v>6</v>
      </c>
      <c r="AB49" t="b">
        <v>1</v>
      </c>
      <c r="AC49" t="s">
        <v>555</v>
      </c>
      <c r="AD49" t="s">
        <v>39</v>
      </c>
    </row>
    <row r="50" spans="1:30" x14ac:dyDescent="0.3">
      <c r="A50">
        <v>8543</v>
      </c>
      <c r="B50">
        <v>0.1</v>
      </c>
      <c r="C50" s="16">
        <v>4.1666666666666597E-3</v>
      </c>
      <c r="D50">
        <v>8.4999999999999895E-2</v>
      </c>
      <c r="E50" s="16">
        <v>3.54166666666666E-3</v>
      </c>
      <c r="F50">
        <v>-1.4999999999999999E-2</v>
      </c>
      <c r="G50" s="16">
        <v>6.2500000000000001E-4</v>
      </c>
      <c r="H50" s="109">
        <v>1</v>
      </c>
      <c r="I50" t="s">
        <v>96</v>
      </c>
      <c r="J50" s="109">
        <v>3</v>
      </c>
      <c r="K50" s="15">
        <v>45586.463460648098</v>
      </c>
      <c r="L50" s="15">
        <v>45586.467002314799</v>
      </c>
      <c r="M50" s="15">
        <v>45586.463460648098</v>
      </c>
      <c r="N50">
        <v>45585.75</v>
      </c>
      <c r="O50" s="8">
        <v>45586</v>
      </c>
      <c r="P50" t="s">
        <v>142</v>
      </c>
      <c r="Q50" t="s">
        <v>560</v>
      </c>
      <c r="R50" t="s">
        <v>145</v>
      </c>
      <c r="S50" t="s">
        <v>131</v>
      </c>
      <c r="T50" t="s">
        <v>259</v>
      </c>
      <c r="W50" t="s">
        <v>26</v>
      </c>
      <c r="X50" t="s">
        <v>546</v>
      </c>
      <c r="Y50" t="s">
        <v>217</v>
      </c>
      <c r="Z50" t="s">
        <v>558</v>
      </c>
      <c r="AA50" t="s">
        <v>6</v>
      </c>
      <c r="AB50" t="b">
        <v>1</v>
      </c>
      <c r="AC50" t="s">
        <v>559</v>
      </c>
      <c r="AD50" t="s">
        <v>39</v>
      </c>
    </row>
    <row r="51" spans="1:30" x14ac:dyDescent="0.3">
      <c r="A51">
        <v>8544</v>
      </c>
      <c r="B51">
        <v>0.116666666666666</v>
      </c>
      <c r="C51" s="16">
        <v>4.8611111111111103E-3</v>
      </c>
      <c r="D51">
        <v>2.5833333333333298E-2</v>
      </c>
      <c r="E51" s="16">
        <v>1.07638888888888E-3</v>
      </c>
      <c r="F51">
        <v>-9.0833333333333294E-2</v>
      </c>
      <c r="G51" s="16">
        <v>3.7847222222222201E-3</v>
      </c>
      <c r="H51" s="109">
        <v>1</v>
      </c>
      <c r="I51" t="s">
        <v>96</v>
      </c>
      <c r="J51" s="109">
        <v>2</v>
      </c>
      <c r="K51" s="15">
        <v>45586.466828703698</v>
      </c>
      <c r="L51" s="15">
        <v>45586.467905092497</v>
      </c>
      <c r="M51" s="15">
        <v>45586.466828703698</v>
      </c>
      <c r="N51">
        <v>45585.75</v>
      </c>
      <c r="O51" s="8">
        <v>45586</v>
      </c>
      <c r="P51" t="s">
        <v>142</v>
      </c>
      <c r="Q51" t="s">
        <v>500</v>
      </c>
      <c r="R51" t="s">
        <v>216</v>
      </c>
      <c r="S51" t="s">
        <v>131</v>
      </c>
      <c r="T51" t="s">
        <v>203</v>
      </c>
      <c r="W51" t="s">
        <v>26</v>
      </c>
      <c r="X51" t="s">
        <v>374</v>
      </c>
      <c r="Y51" t="s">
        <v>217</v>
      </c>
      <c r="Z51" t="s">
        <v>564</v>
      </c>
      <c r="AA51" t="s">
        <v>6</v>
      </c>
      <c r="AB51" t="b">
        <v>1</v>
      </c>
      <c r="AC51" t="s">
        <v>566</v>
      </c>
      <c r="AD51" t="s">
        <v>39</v>
      </c>
    </row>
    <row r="52" spans="1:30" x14ac:dyDescent="0.3">
      <c r="A52">
        <v>8545</v>
      </c>
      <c r="B52">
        <v>0.18333333333333299</v>
      </c>
      <c r="C52" s="16">
        <v>7.63888888888888E-3</v>
      </c>
      <c r="D52">
        <v>7.4999999999999997E-3</v>
      </c>
      <c r="E52" s="16">
        <v>3.1250000000000001E-4</v>
      </c>
      <c r="F52">
        <v>-0.17583333333333301</v>
      </c>
      <c r="G52" s="16">
        <v>7.3263888888888797E-3</v>
      </c>
      <c r="H52" s="109">
        <v>1</v>
      </c>
      <c r="I52" t="s">
        <v>96</v>
      </c>
      <c r="J52" s="109">
        <v>3</v>
      </c>
      <c r="K52" s="15">
        <v>45586.469467592498</v>
      </c>
      <c r="L52" s="15">
        <v>45586.469780092499</v>
      </c>
      <c r="M52" s="15">
        <v>45586.469467592498</v>
      </c>
      <c r="N52">
        <v>45585.75</v>
      </c>
      <c r="O52" s="8">
        <v>45586</v>
      </c>
      <c r="P52" t="s">
        <v>142</v>
      </c>
      <c r="Q52" t="s">
        <v>139</v>
      </c>
      <c r="R52" t="s">
        <v>211</v>
      </c>
      <c r="S52" t="s">
        <v>133</v>
      </c>
      <c r="T52" t="s">
        <v>203</v>
      </c>
      <c r="W52" t="s">
        <v>26</v>
      </c>
      <c r="X52" t="s">
        <v>37</v>
      </c>
      <c r="Y52" t="s">
        <v>217</v>
      </c>
      <c r="Z52" t="s">
        <v>568</v>
      </c>
      <c r="AA52" t="s">
        <v>6</v>
      </c>
      <c r="AB52" t="b">
        <v>1</v>
      </c>
      <c r="AC52" t="s">
        <v>571</v>
      </c>
      <c r="AD52" t="s">
        <v>39</v>
      </c>
    </row>
    <row r="53" spans="1:30" x14ac:dyDescent="0.3">
      <c r="A53">
        <v>8546</v>
      </c>
      <c r="B53">
        <v>0.1</v>
      </c>
      <c r="C53" s="16">
        <v>4.1666666666666597E-3</v>
      </c>
      <c r="D53">
        <v>7.8333333333333297E-2</v>
      </c>
      <c r="E53" s="16">
        <v>3.26388888888888E-3</v>
      </c>
      <c r="F53">
        <v>-2.1666666666666601E-2</v>
      </c>
      <c r="G53" s="16">
        <v>9.0277777777777698E-4</v>
      </c>
      <c r="H53" s="109">
        <v>1</v>
      </c>
      <c r="I53" t="s">
        <v>96</v>
      </c>
      <c r="J53" s="109">
        <v>3</v>
      </c>
      <c r="K53" s="15">
        <v>45586.471446759198</v>
      </c>
      <c r="L53" s="15">
        <v>45586.474710648101</v>
      </c>
      <c r="M53" s="15">
        <v>45586.471446759198</v>
      </c>
      <c r="N53">
        <v>45585.75</v>
      </c>
      <c r="O53" s="8">
        <v>45586</v>
      </c>
      <c r="P53" t="s">
        <v>142</v>
      </c>
      <c r="Q53" t="s">
        <v>285</v>
      </c>
      <c r="R53" t="s">
        <v>145</v>
      </c>
      <c r="S53" t="s">
        <v>131</v>
      </c>
      <c r="T53" t="s">
        <v>203</v>
      </c>
      <c r="U53" t="s">
        <v>204</v>
      </c>
      <c r="W53" t="s">
        <v>26</v>
      </c>
      <c r="X53" t="s">
        <v>274</v>
      </c>
      <c r="Z53" t="s">
        <v>573</v>
      </c>
      <c r="AA53" t="s">
        <v>6</v>
      </c>
      <c r="AB53" t="b">
        <v>1</v>
      </c>
      <c r="AC53" t="s">
        <v>575</v>
      </c>
      <c r="AD53" t="s">
        <v>39</v>
      </c>
    </row>
    <row r="54" spans="1:30" x14ac:dyDescent="0.3">
      <c r="A54">
        <v>8547</v>
      </c>
      <c r="B54">
        <v>3.5</v>
      </c>
      <c r="C54" s="16">
        <v>0.14583333333333301</v>
      </c>
      <c r="D54">
        <v>3.6466666666666598</v>
      </c>
      <c r="E54" s="16">
        <v>0.15194444444444399</v>
      </c>
      <c r="F54">
        <v>0.146666666666666</v>
      </c>
      <c r="G54" s="16">
        <v>6.1111111111111002E-3</v>
      </c>
      <c r="H54" s="109">
        <v>1</v>
      </c>
      <c r="I54" t="s">
        <v>96</v>
      </c>
      <c r="J54" s="109">
        <v>3</v>
      </c>
      <c r="K54" s="15">
        <v>45586.341469907398</v>
      </c>
      <c r="L54" s="15">
        <v>45586.493414351797</v>
      </c>
      <c r="M54" s="15">
        <v>45586.473298611098</v>
      </c>
      <c r="N54">
        <v>45585.75</v>
      </c>
      <c r="O54" s="8">
        <v>45586</v>
      </c>
      <c r="P54" t="s">
        <v>144</v>
      </c>
      <c r="Q54" t="s">
        <v>139</v>
      </c>
      <c r="R54" t="s">
        <v>135</v>
      </c>
      <c r="S54" t="s">
        <v>133</v>
      </c>
      <c r="T54" t="s">
        <v>153</v>
      </c>
      <c r="U54" t="s">
        <v>154</v>
      </c>
      <c r="V54" t="s">
        <v>146</v>
      </c>
      <c r="W54" t="s">
        <v>26</v>
      </c>
      <c r="X54" t="s">
        <v>37</v>
      </c>
      <c r="AA54" t="s">
        <v>6</v>
      </c>
      <c r="AB54" t="b">
        <v>1</v>
      </c>
      <c r="AC54" t="s">
        <v>577</v>
      </c>
      <c r="AD54" t="s">
        <v>39</v>
      </c>
    </row>
    <row r="55" spans="1:30" x14ac:dyDescent="0.3">
      <c r="A55">
        <v>8548</v>
      </c>
      <c r="B55">
        <v>2.7833333333333301</v>
      </c>
      <c r="C55" s="16">
        <v>0.115972222222222</v>
      </c>
      <c r="D55">
        <v>0</v>
      </c>
      <c r="E55" s="16">
        <v>0</v>
      </c>
      <c r="F55">
        <v>-2.7833333333333301</v>
      </c>
      <c r="G55" s="16">
        <v>0.115972222222222</v>
      </c>
      <c r="H55" s="109">
        <v>0</v>
      </c>
      <c r="I55" t="s">
        <v>210</v>
      </c>
      <c r="J55" s="109">
        <v>3</v>
      </c>
      <c r="K55" s="15">
        <v>45586.485196759197</v>
      </c>
      <c r="L55" s="15">
        <v>1</v>
      </c>
      <c r="M55" s="15">
        <v>45586.485196759197</v>
      </c>
      <c r="N55">
        <v>45585.75</v>
      </c>
      <c r="O55" s="8">
        <v>45586</v>
      </c>
      <c r="P55" t="s">
        <v>142</v>
      </c>
      <c r="Q55" t="s">
        <v>582</v>
      </c>
      <c r="R55" t="s">
        <v>211</v>
      </c>
      <c r="S55" t="s">
        <v>133</v>
      </c>
      <c r="T55" t="s">
        <v>203</v>
      </c>
      <c r="U55" t="s">
        <v>204</v>
      </c>
      <c r="W55" t="s">
        <v>26</v>
      </c>
      <c r="X55" t="s">
        <v>581</v>
      </c>
      <c r="Z55" t="s">
        <v>579</v>
      </c>
      <c r="AA55" t="s">
        <v>6</v>
      </c>
      <c r="AC55" t="s">
        <v>584</v>
      </c>
      <c r="AD55" t="s">
        <v>39</v>
      </c>
    </row>
    <row r="56" spans="1:30" x14ac:dyDescent="0.3">
      <c r="A56">
        <v>8551</v>
      </c>
      <c r="B56">
        <v>0.33333333333333298</v>
      </c>
      <c r="C56" s="16">
        <v>1.38888888888888E-2</v>
      </c>
      <c r="D56">
        <v>0</v>
      </c>
      <c r="E56" s="16">
        <v>0</v>
      </c>
      <c r="F56">
        <v>-0.33333333333333298</v>
      </c>
      <c r="G56" s="16">
        <v>1.38888888888888E-2</v>
      </c>
      <c r="H56" s="109">
        <v>0</v>
      </c>
      <c r="I56" t="s">
        <v>137</v>
      </c>
      <c r="J56" s="109">
        <v>2</v>
      </c>
      <c r="K56" s="15">
        <v>45586.501481481399</v>
      </c>
      <c r="L56" s="15">
        <v>1</v>
      </c>
      <c r="M56" s="15">
        <v>45586.501481481399</v>
      </c>
      <c r="N56">
        <v>45585.75</v>
      </c>
      <c r="O56" s="8">
        <v>45586</v>
      </c>
      <c r="P56" t="s">
        <v>134</v>
      </c>
      <c r="Q56" t="s">
        <v>588</v>
      </c>
      <c r="R56" t="s">
        <v>135</v>
      </c>
      <c r="S56" t="s">
        <v>131</v>
      </c>
      <c r="T56" t="s">
        <v>259</v>
      </c>
      <c r="W56" t="s">
        <v>26</v>
      </c>
      <c r="X56" t="s">
        <v>304</v>
      </c>
      <c r="AA56" t="s">
        <v>6</v>
      </c>
      <c r="AC56" t="s">
        <v>589</v>
      </c>
      <c r="AD56" t="s">
        <v>39</v>
      </c>
    </row>
    <row r="57" spans="1:30" x14ac:dyDescent="0.3">
      <c r="A57">
        <v>8552</v>
      </c>
      <c r="B57">
        <v>0.116666666666666</v>
      </c>
      <c r="C57" s="16">
        <v>4.8611111111111103E-3</v>
      </c>
      <c r="D57">
        <v>0</v>
      </c>
      <c r="E57" s="16">
        <v>0</v>
      </c>
      <c r="F57">
        <v>-0.116666666666666</v>
      </c>
      <c r="G57" s="16">
        <v>4.8611111111111103E-3</v>
      </c>
      <c r="H57" s="109">
        <v>0</v>
      </c>
      <c r="I57" t="s">
        <v>210</v>
      </c>
      <c r="J57" s="109">
        <v>1</v>
      </c>
      <c r="K57" s="15">
        <v>45586.502662036997</v>
      </c>
      <c r="L57" s="15">
        <v>1</v>
      </c>
      <c r="M57" s="15">
        <v>45586.502662036997</v>
      </c>
      <c r="N57">
        <v>45585.75</v>
      </c>
      <c r="O57" s="8">
        <v>45586</v>
      </c>
      <c r="P57" t="s">
        <v>171</v>
      </c>
      <c r="Q57" t="s">
        <v>593</v>
      </c>
      <c r="R57" t="s">
        <v>135</v>
      </c>
      <c r="S57" t="s">
        <v>133</v>
      </c>
      <c r="T57" t="s">
        <v>288</v>
      </c>
      <c r="W57" t="s">
        <v>26</v>
      </c>
      <c r="X57" t="s">
        <v>31</v>
      </c>
      <c r="Y57" t="s">
        <v>217</v>
      </c>
      <c r="AA57" t="s">
        <v>6</v>
      </c>
      <c r="AC57" t="s">
        <v>592</v>
      </c>
      <c r="AD57" t="s">
        <v>39</v>
      </c>
    </row>
    <row r="58" spans="1:30" x14ac:dyDescent="0.3">
      <c r="A58">
        <v>8553</v>
      </c>
      <c r="B58">
        <v>0.28333333333333299</v>
      </c>
      <c r="C58" s="16">
        <v>1.18055555555555E-2</v>
      </c>
      <c r="D58">
        <v>2.2222222222222201E-3</v>
      </c>
      <c r="E58" s="16">
        <v>9.2592592592592507E-5</v>
      </c>
      <c r="F58">
        <v>-0.28111111111111098</v>
      </c>
      <c r="G58" s="16">
        <v>1.1712962962962901E-2</v>
      </c>
      <c r="H58" s="109">
        <v>1</v>
      </c>
      <c r="I58" t="s">
        <v>96</v>
      </c>
      <c r="J58" s="109">
        <v>2</v>
      </c>
      <c r="K58" s="15">
        <v>45586.517395833303</v>
      </c>
      <c r="L58" s="15">
        <v>45586.517488425903</v>
      </c>
      <c r="M58" s="15">
        <v>45586.517395833303</v>
      </c>
      <c r="N58">
        <v>45585.75</v>
      </c>
      <c r="O58" s="8">
        <v>45586</v>
      </c>
      <c r="P58" t="s">
        <v>142</v>
      </c>
      <c r="Q58" t="s">
        <v>269</v>
      </c>
      <c r="R58" t="s">
        <v>221</v>
      </c>
      <c r="S58" t="s">
        <v>131</v>
      </c>
      <c r="T58" t="s">
        <v>203</v>
      </c>
      <c r="U58" t="s">
        <v>204</v>
      </c>
      <c r="W58" t="s">
        <v>26</v>
      </c>
      <c r="X58" t="s">
        <v>32</v>
      </c>
      <c r="Y58" t="s">
        <v>217</v>
      </c>
      <c r="Z58" t="s">
        <v>596</v>
      </c>
      <c r="AA58" t="s">
        <v>6</v>
      </c>
      <c r="AB58" t="b">
        <v>1</v>
      </c>
      <c r="AC58" t="s">
        <v>597</v>
      </c>
      <c r="AD58" t="s">
        <v>39</v>
      </c>
    </row>
    <row r="59" spans="1:30" x14ac:dyDescent="0.3">
      <c r="A59">
        <v>8554</v>
      </c>
      <c r="B59">
        <v>3.25</v>
      </c>
      <c r="C59" s="16">
        <v>0.13541666666666599</v>
      </c>
      <c r="D59">
        <v>0</v>
      </c>
      <c r="E59" s="16">
        <v>0</v>
      </c>
      <c r="F59">
        <v>-3.25</v>
      </c>
      <c r="G59" s="16">
        <v>0.13541666666666599</v>
      </c>
      <c r="H59" s="109">
        <v>0</v>
      </c>
      <c r="I59" t="s">
        <v>137</v>
      </c>
      <c r="J59" s="109">
        <v>2</v>
      </c>
      <c r="K59" s="15">
        <v>45586.533865740697</v>
      </c>
      <c r="L59" s="15">
        <v>1</v>
      </c>
      <c r="M59" s="15">
        <v>45586.533865740697</v>
      </c>
      <c r="N59">
        <v>45585.75</v>
      </c>
      <c r="O59" s="8">
        <v>45586</v>
      </c>
      <c r="P59" t="s">
        <v>134</v>
      </c>
      <c r="Q59" t="s">
        <v>478</v>
      </c>
      <c r="R59" t="s">
        <v>135</v>
      </c>
      <c r="S59" t="s">
        <v>131</v>
      </c>
      <c r="T59" t="s">
        <v>257</v>
      </c>
      <c r="W59" t="s">
        <v>26</v>
      </c>
      <c r="X59" t="s">
        <v>477</v>
      </c>
      <c r="AA59" t="s">
        <v>6</v>
      </c>
      <c r="AC59" t="s">
        <v>601</v>
      </c>
      <c r="AD59" t="s">
        <v>39</v>
      </c>
    </row>
    <row r="60" spans="1:30" x14ac:dyDescent="0.3">
      <c r="A60">
        <v>8555</v>
      </c>
      <c r="B60">
        <v>0.66666666666666596</v>
      </c>
      <c r="C60" s="16">
        <v>2.77777777777777E-2</v>
      </c>
      <c r="D60">
        <v>0.67222222222222205</v>
      </c>
      <c r="E60" s="16">
        <v>2.8009259259259199E-2</v>
      </c>
      <c r="F60">
        <v>5.5555555555555297E-3</v>
      </c>
      <c r="G60" s="16">
        <v>2.3148148148148E-4</v>
      </c>
      <c r="H60" s="109">
        <v>1</v>
      </c>
      <c r="I60" t="s">
        <v>96</v>
      </c>
      <c r="J60" s="109">
        <v>0</v>
      </c>
      <c r="K60" s="15">
        <v>45586.589710648099</v>
      </c>
      <c r="L60" s="15">
        <v>45586.617719907401</v>
      </c>
      <c r="M60" s="15">
        <v>45586.589710648099</v>
      </c>
      <c r="N60">
        <v>45585.75</v>
      </c>
      <c r="O60" s="8">
        <v>45586</v>
      </c>
      <c r="P60" t="s">
        <v>147</v>
      </c>
      <c r="Q60" t="s">
        <v>207</v>
      </c>
      <c r="R60" t="s">
        <v>145</v>
      </c>
      <c r="S60" t="s">
        <v>133</v>
      </c>
      <c r="T60" t="s">
        <v>27</v>
      </c>
      <c r="U60" t="s">
        <v>298</v>
      </c>
      <c r="W60" t="s">
        <v>26</v>
      </c>
      <c r="X60" t="s">
        <v>30</v>
      </c>
      <c r="AA60" t="s">
        <v>6</v>
      </c>
      <c r="AB60" t="b">
        <v>1</v>
      </c>
      <c r="AC60" t="s">
        <v>605</v>
      </c>
      <c r="AD60" t="s">
        <v>39</v>
      </c>
    </row>
    <row r="61" spans="1:30" x14ac:dyDescent="0.3">
      <c r="A61">
        <v>8556</v>
      </c>
      <c r="B61">
        <v>1.75</v>
      </c>
      <c r="C61" s="16">
        <v>7.2916666666666602E-2</v>
      </c>
      <c r="D61">
        <v>19.216666666666601</v>
      </c>
      <c r="E61" s="16">
        <v>0.80069444444444404</v>
      </c>
      <c r="F61">
        <v>17.466666666666601</v>
      </c>
      <c r="G61" s="16">
        <v>0.72777777777777697</v>
      </c>
      <c r="H61" s="109">
        <v>0</v>
      </c>
      <c r="I61" t="s">
        <v>96</v>
      </c>
      <c r="J61" s="109">
        <v>2</v>
      </c>
      <c r="K61" s="15">
        <v>45586.591180555501</v>
      </c>
      <c r="L61" s="15">
        <v>45587.391875000001</v>
      </c>
      <c r="M61" s="15">
        <v>45586.591180555501</v>
      </c>
      <c r="N61">
        <v>45585.75</v>
      </c>
      <c r="O61" s="8">
        <v>45586</v>
      </c>
      <c r="P61" t="s">
        <v>134</v>
      </c>
      <c r="Q61" t="s">
        <v>609</v>
      </c>
      <c r="R61" t="s">
        <v>135</v>
      </c>
      <c r="S61" t="s">
        <v>133</v>
      </c>
      <c r="T61" t="s">
        <v>257</v>
      </c>
      <c r="W61" t="s">
        <v>34</v>
      </c>
      <c r="X61" t="s">
        <v>489</v>
      </c>
      <c r="Y61" t="s">
        <v>217</v>
      </c>
      <c r="AA61" t="s">
        <v>6</v>
      </c>
      <c r="AB61" t="b">
        <v>1</v>
      </c>
      <c r="AC61" t="s">
        <v>608</v>
      </c>
      <c r="AD61" t="s">
        <v>39</v>
      </c>
    </row>
    <row r="62" spans="1:30" x14ac:dyDescent="0.3">
      <c r="A62">
        <v>8557</v>
      </c>
      <c r="B62">
        <v>1.7833333333333301</v>
      </c>
      <c r="C62" s="16">
        <v>7.43055555555555E-2</v>
      </c>
      <c r="D62">
        <v>27.232500000000002</v>
      </c>
      <c r="E62" s="16">
        <v>1.1346875000000001</v>
      </c>
      <c r="F62">
        <v>25.449166666666599</v>
      </c>
      <c r="G62" s="16">
        <v>1.06038194444444</v>
      </c>
      <c r="H62" s="109">
        <v>0</v>
      </c>
      <c r="I62" t="s">
        <v>96</v>
      </c>
      <c r="J62" s="109">
        <v>1</v>
      </c>
      <c r="K62" s="15">
        <v>45586.603634259198</v>
      </c>
      <c r="L62" s="15">
        <v>45587.7383217592</v>
      </c>
      <c r="M62" s="15">
        <v>45586.603634259198</v>
      </c>
      <c r="N62">
        <v>45585.75</v>
      </c>
      <c r="O62" s="8">
        <v>45586</v>
      </c>
      <c r="P62" t="s">
        <v>171</v>
      </c>
      <c r="Q62" t="s">
        <v>285</v>
      </c>
      <c r="R62" t="s">
        <v>310</v>
      </c>
      <c r="S62" t="s">
        <v>133</v>
      </c>
      <c r="T62" t="s">
        <v>257</v>
      </c>
      <c r="W62" t="s">
        <v>26</v>
      </c>
      <c r="X62" t="s">
        <v>274</v>
      </c>
      <c r="Y62" t="s">
        <v>217</v>
      </c>
      <c r="AA62" t="s">
        <v>6</v>
      </c>
      <c r="AB62" t="b">
        <v>1</v>
      </c>
      <c r="AC62" t="s">
        <v>613</v>
      </c>
      <c r="AD62" t="s">
        <v>39</v>
      </c>
    </row>
    <row r="63" spans="1:30" x14ac:dyDescent="0.3">
      <c r="A63">
        <v>8558</v>
      </c>
      <c r="B63">
        <v>0.5</v>
      </c>
      <c r="C63" s="16">
        <v>2.0833333333333301E-2</v>
      </c>
      <c r="D63">
        <v>0</v>
      </c>
      <c r="E63" s="16">
        <v>0</v>
      </c>
      <c r="F63">
        <v>-0.5</v>
      </c>
      <c r="G63" s="16">
        <v>2.0833333333333301E-2</v>
      </c>
      <c r="H63" s="109">
        <v>0</v>
      </c>
      <c r="I63" t="s">
        <v>137</v>
      </c>
      <c r="J63" s="109">
        <v>2</v>
      </c>
      <c r="K63" s="15">
        <v>45586.610856481399</v>
      </c>
      <c r="L63" s="15">
        <v>1</v>
      </c>
      <c r="M63" s="15">
        <v>45586.610856481399</v>
      </c>
      <c r="N63">
        <v>45585.75</v>
      </c>
      <c r="O63" s="8">
        <v>45586</v>
      </c>
      <c r="P63" t="s">
        <v>134</v>
      </c>
      <c r="Q63" t="s">
        <v>617</v>
      </c>
      <c r="R63" t="s">
        <v>135</v>
      </c>
      <c r="S63" t="s">
        <v>131</v>
      </c>
      <c r="T63" t="s">
        <v>303</v>
      </c>
      <c r="W63" t="s">
        <v>26</v>
      </c>
      <c r="X63" t="s">
        <v>616</v>
      </c>
      <c r="AA63" t="s">
        <v>6</v>
      </c>
      <c r="AC63" t="s">
        <v>618</v>
      </c>
      <c r="AD63" t="s">
        <v>39</v>
      </c>
    </row>
    <row r="64" spans="1:30" x14ac:dyDescent="0.3">
      <c r="A64">
        <v>8559</v>
      </c>
      <c r="B64">
        <v>1</v>
      </c>
      <c r="C64" s="16">
        <v>4.1666666666666602E-2</v>
      </c>
      <c r="D64">
        <v>1.0205555555555501</v>
      </c>
      <c r="E64" s="16">
        <v>4.2523148148148102E-2</v>
      </c>
      <c r="F64">
        <v>2.0555555555555601E-2</v>
      </c>
      <c r="G64" s="16">
        <v>8.5648148148148497E-4</v>
      </c>
      <c r="H64" s="109">
        <v>1</v>
      </c>
      <c r="I64" t="s">
        <v>96</v>
      </c>
      <c r="J64" s="109">
        <v>0</v>
      </c>
      <c r="K64" s="15">
        <v>45586.617581018501</v>
      </c>
      <c r="L64" s="15">
        <v>45586.6601041666</v>
      </c>
      <c r="M64" s="15">
        <v>45586.617581018501</v>
      </c>
      <c r="N64">
        <v>45585.75</v>
      </c>
      <c r="O64" s="8">
        <v>45586</v>
      </c>
      <c r="P64" t="s">
        <v>147</v>
      </c>
      <c r="Q64" t="s">
        <v>262</v>
      </c>
      <c r="R64" t="s">
        <v>145</v>
      </c>
      <c r="S64" t="s">
        <v>131</v>
      </c>
      <c r="T64" t="s">
        <v>27</v>
      </c>
      <c r="U64" t="s">
        <v>206</v>
      </c>
      <c r="W64" t="s">
        <v>26</v>
      </c>
      <c r="X64" t="s">
        <v>261</v>
      </c>
      <c r="AA64" t="s">
        <v>6</v>
      </c>
      <c r="AB64" t="b">
        <v>1</v>
      </c>
      <c r="AC64" t="s">
        <v>621</v>
      </c>
      <c r="AD64" t="s">
        <v>39</v>
      </c>
    </row>
    <row r="65" spans="1:30" x14ac:dyDescent="0.3">
      <c r="A65">
        <v>8560</v>
      </c>
      <c r="B65">
        <v>0.25</v>
      </c>
      <c r="C65" s="16">
        <v>1.04166666666666E-2</v>
      </c>
      <c r="D65">
        <v>0</v>
      </c>
      <c r="E65" s="16">
        <v>0</v>
      </c>
      <c r="F65">
        <v>-0.25</v>
      </c>
      <c r="G65" s="16">
        <v>1.04166666666666E-2</v>
      </c>
      <c r="H65" s="109">
        <v>0</v>
      </c>
      <c r="I65" t="s">
        <v>210</v>
      </c>
      <c r="J65" s="109">
        <v>1</v>
      </c>
      <c r="K65" s="15">
        <v>45586.635648148098</v>
      </c>
      <c r="L65" s="15">
        <v>1</v>
      </c>
      <c r="M65" s="15">
        <v>45586.635648148098</v>
      </c>
      <c r="N65">
        <v>45585.75</v>
      </c>
      <c r="O65" s="8">
        <v>45586</v>
      </c>
      <c r="P65" t="s">
        <v>171</v>
      </c>
      <c r="Q65" t="s">
        <v>625</v>
      </c>
      <c r="R65" t="s">
        <v>135</v>
      </c>
      <c r="S65" t="s">
        <v>133</v>
      </c>
      <c r="T65" t="s">
        <v>259</v>
      </c>
      <c r="W65" t="s">
        <v>26</v>
      </c>
      <c r="X65" t="s">
        <v>624</v>
      </c>
      <c r="Y65" t="s">
        <v>217</v>
      </c>
      <c r="AA65" t="s">
        <v>6</v>
      </c>
      <c r="AC65" t="s">
        <v>626</v>
      </c>
      <c r="AD65" t="s">
        <v>39</v>
      </c>
    </row>
    <row r="66" spans="1:30" x14ac:dyDescent="0.3">
      <c r="A66">
        <v>8561</v>
      </c>
      <c r="B66">
        <v>0.25</v>
      </c>
      <c r="C66" s="16">
        <v>1.04166666666666E-2</v>
      </c>
      <c r="D66">
        <v>0</v>
      </c>
      <c r="E66" s="16">
        <v>0</v>
      </c>
      <c r="F66">
        <v>-0.25</v>
      </c>
      <c r="G66" s="16">
        <v>1.04166666666666E-2</v>
      </c>
      <c r="H66" s="109">
        <v>0</v>
      </c>
      <c r="I66" t="s">
        <v>283</v>
      </c>
      <c r="J66" s="109">
        <v>1</v>
      </c>
      <c r="K66" s="15">
        <v>45586.642013888799</v>
      </c>
      <c r="L66" s="15">
        <v>1</v>
      </c>
      <c r="M66" s="15">
        <v>45586.642013888799</v>
      </c>
      <c r="N66">
        <v>45585.75</v>
      </c>
      <c r="O66" s="8">
        <v>45586</v>
      </c>
      <c r="P66" t="s">
        <v>171</v>
      </c>
      <c r="Q66" t="s">
        <v>631</v>
      </c>
      <c r="R66" t="s">
        <v>358</v>
      </c>
      <c r="S66" t="s">
        <v>133</v>
      </c>
      <c r="T66" t="s">
        <v>367</v>
      </c>
      <c r="W66" t="s">
        <v>26</v>
      </c>
      <c r="X66" t="s">
        <v>630</v>
      </c>
      <c r="Y66" t="s">
        <v>217</v>
      </c>
      <c r="AA66" t="s">
        <v>6</v>
      </c>
      <c r="AC66" t="s">
        <v>632</v>
      </c>
      <c r="AD66" t="s">
        <v>39</v>
      </c>
    </row>
    <row r="67" spans="1:30" x14ac:dyDescent="0.3">
      <c r="A67">
        <v>8562</v>
      </c>
      <c r="B67">
        <v>0.66666666666666596</v>
      </c>
      <c r="C67" s="16">
        <v>2.77777777777777E-2</v>
      </c>
      <c r="D67">
        <v>5.9722222222222197E-2</v>
      </c>
      <c r="E67" s="16">
        <v>2.48842592592592E-3</v>
      </c>
      <c r="F67">
        <v>-0.60694444444444395</v>
      </c>
      <c r="G67" s="16">
        <v>2.5289351851851799E-2</v>
      </c>
      <c r="H67" s="109">
        <v>0</v>
      </c>
      <c r="I67" t="s">
        <v>96</v>
      </c>
      <c r="J67" s="109">
        <v>0</v>
      </c>
      <c r="K67" s="15">
        <v>45586.645138888802</v>
      </c>
      <c r="L67" s="15">
        <v>45586.6476273148</v>
      </c>
      <c r="M67" s="15">
        <v>45586.647592592497</v>
      </c>
      <c r="N67">
        <v>45585.75</v>
      </c>
      <c r="O67" s="8">
        <v>45586</v>
      </c>
      <c r="P67" t="s">
        <v>158</v>
      </c>
      <c r="Q67" t="s">
        <v>636</v>
      </c>
      <c r="R67" t="s">
        <v>135</v>
      </c>
      <c r="S67" t="s">
        <v>131</v>
      </c>
      <c r="T67" t="s">
        <v>27</v>
      </c>
      <c r="U67" t="s">
        <v>317</v>
      </c>
      <c r="V67" t="s">
        <v>146</v>
      </c>
      <c r="W67" t="s">
        <v>26</v>
      </c>
      <c r="X67" t="s">
        <v>284</v>
      </c>
      <c r="Y67" t="s">
        <v>217</v>
      </c>
      <c r="Z67" t="s">
        <v>635</v>
      </c>
      <c r="AA67" t="s">
        <v>6</v>
      </c>
      <c r="AB67" t="b">
        <v>1</v>
      </c>
      <c r="AC67" t="s">
        <v>637</v>
      </c>
      <c r="AD67" t="s">
        <v>39</v>
      </c>
    </row>
    <row r="68" spans="1:30" x14ac:dyDescent="0.3">
      <c r="A68">
        <v>8563</v>
      </c>
      <c r="B68">
        <v>0.66666666666666596</v>
      </c>
      <c r="C68" s="16">
        <v>2.77777777777777E-2</v>
      </c>
      <c r="D68">
        <v>4.5277777777777702E-2</v>
      </c>
      <c r="E68" s="16">
        <v>1.88657407407407E-3</v>
      </c>
      <c r="F68">
        <v>-0.62138888888888799</v>
      </c>
      <c r="G68" s="16">
        <v>2.5891203703703701E-2</v>
      </c>
      <c r="H68" s="109">
        <v>0</v>
      </c>
      <c r="I68" t="s">
        <v>96</v>
      </c>
      <c r="J68" s="109">
        <v>0</v>
      </c>
      <c r="K68" s="15">
        <v>45586.6477199074</v>
      </c>
      <c r="L68" s="15">
        <v>45586.649606481398</v>
      </c>
      <c r="M68" s="15">
        <v>45586.649583333303</v>
      </c>
      <c r="N68">
        <v>45585.75</v>
      </c>
      <c r="O68" s="8">
        <v>45586</v>
      </c>
      <c r="P68" t="s">
        <v>158</v>
      </c>
      <c r="Q68" t="s">
        <v>446</v>
      </c>
      <c r="R68" t="s">
        <v>135</v>
      </c>
      <c r="S68" t="s">
        <v>131</v>
      </c>
      <c r="T68" t="s">
        <v>27</v>
      </c>
      <c r="U68" t="s">
        <v>317</v>
      </c>
      <c r="V68" t="s">
        <v>146</v>
      </c>
      <c r="W68" t="s">
        <v>444</v>
      </c>
      <c r="X68" t="s">
        <v>445</v>
      </c>
      <c r="Y68" t="s">
        <v>217</v>
      </c>
      <c r="Z68" t="s">
        <v>640</v>
      </c>
      <c r="AA68" t="s">
        <v>6</v>
      </c>
      <c r="AB68" t="b">
        <v>1</v>
      </c>
      <c r="AC68" t="s">
        <v>642</v>
      </c>
      <c r="AD68" t="s">
        <v>39</v>
      </c>
    </row>
    <row r="69" spans="1:30" x14ac:dyDescent="0.3">
      <c r="A69">
        <v>8564</v>
      </c>
      <c r="B69">
        <v>2</v>
      </c>
      <c r="C69" s="16">
        <v>8.3333333333333301E-2</v>
      </c>
      <c r="D69">
        <v>5.44444444444444E-2</v>
      </c>
      <c r="E69" s="16">
        <v>2.26851851851851E-3</v>
      </c>
      <c r="F69">
        <v>-1.9455555555555499</v>
      </c>
      <c r="G69" s="16">
        <v>8.1064814814814798E-2</v>
      </c>
      <c r="H69" s="109">
        <v>0</v>
      </c>
      <c r="I69" t="s">
        <v>96</v>
      </c>
      <c r="J69" s="109">
        <v>1</v>
      </c>
      <c r="K69" s="15">
        <v>45586.647256944401</v>
      </c>
      <c r="L69" s="15">
        <v>45586.649525462897</v>
      </c>
      <c r="M69" s="15">
        <v>45586.649861111102</v>
      </c>
      <c r="N69">
        <v>45585.75</v>
      </c>
      <c r="O69" s="8">
        <v>45586</v>
      </c>
      <c r="P69" t="s">
        <v>138</v>
      </c>
      <c r="Q69" t="s">
        <v>347</v>
      </c>
      <c r="R69" t="s">
        <v>135</v>
      </c>
      <c r="S69" t="s">
        <v>133</v>
      </c>
      <c r="T69" t="s">
        <v>646</v>
      </c>
      <c r="W69" t="s">
        <v>26</v>
      </c>
      <c r="X69" t="s">
        <v>346</v>
      </c>
      <c r="Y69" t="s">
        <v>217</v>
      </c>
      <c r="Z69" t="s">
        <v>644</v>
      </c>
      <c r="AA69" t="s">
        <v>6</v>
      </c>
      <c r="AB69" t="b">
        <v>1</v>
      </c>
      <c r="AC69" t="s">
        <v>645</v>
      </c>
      <c r="AD69" t="s">
        <v>39</v>
      </c>
    </row>
    <row r="70" spans="1:30" x14ac:dyDescent="0.3">
      <c r="A70">
        <v>8565</v>
      </c>
      <c r="B70">
        <v>0.7</v>
      </c>
      <c r="C70" s="16">
        <v>2.9166666666666601E-2</v>
      </c>
      <c r="D70">
        <v>3.0277777777777699E-2</v>
      </c>
      <c r="E70" s="16">
        <v>1.2615740740740699E-3</v>
      </c>
      <c r="F70">
        <v>-0.669722222222222</v>
      </c>
      <c r="G70" s="16">
        <v>2.7905092592592499E-2</v>
      </c>
      <c r="H70" s="109">
        <v>0</v>
      </c>
      <c r="I70" t="s">
        <v>96</v>
      </c>
      <c r="J70" s="109">
        <v>0</v>
      </c>
      <c r="K70" s="15">
        <v>45586.650370370298</v>
      </c>
      <c r="L70" s="15">
        <v>45586.651631944398</v>
      </c>
      <c r="M70" s="15">
        <v>45586.651585648098</v>
      </c>
      <c r="N70">
        <v>45585.75</v>
      </c>
      <c r="O70" s="8">
        <v>45586</v>
      </c>
      <c r="P70" t="s">
        <v>158</v>
      </c>
      <c r="Q70" t="s">
        <v>636</v>
      </c>
      <c r="R70" t="s">
        <v>216</v>
      </c>
      <c r="S70" t="s">
        <v>131</v>
      </c>
      <c r="T70" t="s">
        <v>27</v>
      </c>
      <c r="U70" t="s">
        <v>145</v>
      </c>
      <c r="V70" t="s">
        <v>146</v>
      </c>
      <c r="W70" t="s">
        <v>26</v>
      </c>
      <c r="X70" t="s">
        <v>284</v>
      </c>
      <c r="Y70" t="s">
        <v>217</v>
      </c>
      <c r="Z70" t="s">
        <v>649</v>
      </c>
      <c r="AA70" t="s">
        <v>6</v>
      </c>
      <c r="AB70" t="b">
        <v>1</v>
      </c>
      <c r="AC70" t="s">
        <v>651</v>
      </c>
      <c r="AD70" t="s">
        <v>39</v>
      </c>
    </row>
    <row r="71" spans="1:30" x14ac:dyDescent="0.3">
      <c r="A71">
        <v>8566</v>
      </c>
      <c r="B71">
        <v>0.5</v>
      </c>
      <c r="C71" s="16">
        <v>2.0833333333333301E-2</v>
      </c>
      <c r="D71">
        <v>2.2222222222222199E-2</v>
      </c>
      <c r="E71" s="16">
        <v>9.2592592592592596E-4</v>
      </c>
      <c r="F71">
        <v>-0.47777777777777702</v>
      </c>
      <c r="G71" s="16">
        <v>1.9907407407407401E-2</v>
      </c>
      <c r="H71" s="109">
        <v>0</v>
      </c>
      <c r="I71" t="s">
        <v>96</v>
      </c>
      <c r="J71" s="109">
        <v>0</v>
      </c>
      <c r="K71" s="15">
        <v>45586.652048611097</v>
      </c>
      <c r="L71" s="15">
        <v>45586.652974536999</v>
      </c>
      <c r="M71" s="15">
        <v>45586.652951388802</v>
      </c>
      <c r="N71">
        <v>45585.75</v>
      </c>
      <c r="O71" s="8">
        <v>45586</v>
      </c>
      <c r="P71" t="s">
        <v>158</v>
      </c>
      <c r="Q71" t="s">
        <v>654</v>
      </c>
      <c r="R71" t="s">
        <v>135</v>
      </c>
      <c r="S71" t="s">
        <v>131</v>
      </c>
      <c r="T71" t="s">
        <v>27</v>
      </c>
      <c r="U71" t="s">
        <v>145</v>
      </c>
      <c r="V71" t="s">
        <v>146</v>
      </c>
      <c r="W71" t="s">
        <v>26</v>
      </c>
      <c r="X71" t="s">
        <v>505</v>
      </c>
      <c r="Y71" t="s">
        <v>217</v>
      </c>
      <c r="Z71" t="s">
        <v>653</v>
      </c>
      <c r="AA71" t="s">
        <v>6</v>
      </c>
      <c r="AB71" t="b">
        <v>1</v>
      </c>
      <c r="AC71" t="s">
        <v>655</v>
      </c>
      <c r="AD71" t="s">
        <v>39</v>
      </c>
    </row>
    <row r="72" spans="1:30" x14ac:dyDescent="0.3">
      <c r="A72">
        <v>8567</v>
      </c>
      <c r="B72">
        <v>1.2666666666666599</v>
      </c>
      <c r="C72" s="16">
        <v>5.2777777777777701E-2</v>
      </c>
      <c r="D72">
        <v>3.0555555555555501E-3</v>
      </c>
      <c r="E72" s="16">
        <v>1.2731481481481399E-4</v>
      </c>
      <c r="F72">
        <v>-1.2636111111111099</v>
      </c>
      <c r="G72" s="16">
        <v>5.2650462962962899E-2</v>
      </c>
      <c r="H72" s="109">
        <v>0</v>
      </c>
      <c r="I72" t="s">
        <v>96</v>
      </c>
      <c r="J72" s="109">
        <v>2</v>
      </c>
      <c r="K72" s="15">
        <v>45586.6541782407</v>
      </c>
      <c r="L72" s="15">
        <v>45586.654305555501</v>
      </c>
      <c r="M72" s="15">
        <v>45586.6541782407</v>
      </c>
      <c r="N72">
        <v>45585.75</v>
      </c>
      <c r="O72" s="8">
        <v>45586</v>
      </c>
      <c r="P72" t="s">
        <v>142</v>
      </c>
      <c r="Q72" t="s">
        <v>659</v>
      </c>
      <c r="R72" t="s">
        <v>135</v>
      </c>
      <c r="S72" t="s">
        <v>131</v>
      </c>
      <c r="T72" t="s">
        <v>203</v>
      </c>
      <c r="W72" t="s">
        <v>34</v>
      </c>
      <c r="X72" t="s">
        <v>489</v>
      </c>
      <c r="Y72" t="s">
        <v>217</v>
      </c>
      <c r="Z72" t="s">
        <v>658</v>
      </c>
      <c r="AA72" t="s">
        <v>6</v>
      </c>
      <c r="AB72" t="b">
        <v>1</v>
      </c>
      <c r="AC72" t="s">
        <v>661</v>
      </c>
      <c r="AD72" t="s">
        <v>39</v>
      </c>
    </row>
    <row r="73" spans="1:30" x14ac:dyDescent="0.3">
      <c r="A73">
        <v>8568</v>
      </c>
      <c r="B73">
        <v>0.41666666666666602</v>
      </c>
      <c r="C73" s="16">
        <v>1.7361111111111101E-2</v>
      </c>
      <c r="D73">
        <v>0.41361111111111099</v>
      </c>
      <c r="E73" s="16">
        <v>1.7233796296296199E-2</v>
      </c>
      <c r="F73">
        <v>-3.05555555555558E-3</v>
      </c>
      <c r="G73" s="16">
        <v>1.27314814814816E-4</v>
      </c>
      <c r="H73" s="109">
        <v>1</v>
      </c>
      <c r="I73" t="s">
        <v>96</v>
      </c>
      <c r="J73" s="109">
        <v>0</v>
      </c>
      <c r="K73" s="15">
        <v>45586.654965277703</v>
      </c>
      <c r="L73" s="15">
        <v>45586.672199073997</v>
      </c>
      <c r="M73" s="15">
        <v>45586.654965277703</v>
      </c>
      <c r="N73">
        <v>45585.75</v>
      </c>
      <c r="O73" s="8">
        <v>45586</v>
      </c>
      <c r="P73" t="s">
        <v>147</v>
      </c>
      <c r="Q73" t="s">
        <v>636</v>
      </c>
      <c r="R73" t="s">
        <v>145</v>
      </c>
      <c r="S73" t="s">
        <v>133</v>
      </c>
      <c r="T73" t="s">
        <v>27</v>
      </c>
      <c r="W73" t="s">
        <v>26</v>
      </c>
      <c r="X73" t="s">
        <v>284</v>
      </c>
      <c r="AA73" t="s">
        <v>6</v>
      </c>
      <c r="AB73" t="b">
        <v>1</v>
      </c>
      <c r="AC73" t="s">
        <v>664</v>
      </c>
      <c r="AD73" t="s">
        <v>39</v>
      </c>
    </row>
    <row r="74" spans="1:30" x14ac:dyDescent="0.3">
      <c r="A74">
        <v>8569</v>
      </c>
      <c r="B74">
        <v>0.53333333333333299</v>
      </c>
      <c r="C74" s="16">
        <v>2.2222222222222199E-2</v>
      </c>
      <c r="D74">
        <v>2.9444444444444402E-2</v>
      </c>
      <c r="E74" s="16">
        <v>1.2268518518518501E-3</v>
      </c>
      <c r="F74">
        <v>-0.50388888888888805</v>
      </c>
      <c r="G74" s="16">
        <v>2.09953703703703E-2</v>
      </c>
      <c r="H74" s="109">
        <v>0</v>
      </c>
      <c r="I74" t="s">
        <v>96</v>
      </c>
      <c r="J74" s="109">
        <v>0</v>
      </c>
      <c r="K74" s="15">
        <v>45586.653807870302</v>
      </c>
      <c r="L74" s="15">
        <v>45586.6550347222</v>
      </c>
      <c r="M74" s="15">
        <v>45586.654999999999</v>
      </c>
      <c r="N74">
        <v>45585.75</v>
      </c>
      <c r="O74" s="8">
        <v>45586</v>
      </c>
      <c r="P74" t="s">
        <v>158</v>
      </c>
      <c r="Q74" t="s">
        <v>207</v>
      </c>
      <c r="R74" t="s">
        <v>135</v>
      </c>
      <c r="S74" t="s">
        <v>131</v>
      </c>
      <c r="T74" t="s">
        <v>27</v>
      </c>
      <c r="U74" t="s">
        <v>152</v>
      </c>
      <c r="V74" t="s">
        <v>146</v>
      </c>
      <c r="W74" t="s">
        <v>26</v>
      </c>
      <c r="X74" t="s">
        <v>30</v>
      </c>
      <c r="Y74" t="s">
        <v>217</v>
      </c>
      <c r="Z74" t="s">
        <v>666</v>
      </c>
      <c r="AA74" t="s">
        <v>6</v>
      </c>
      <c r="AB74" t="b">
        <v>1</v>
      </c>
      <c r="AC74" t="s">
        <v>668</v>
      </c>
      <c r="AD74" t="s">
        <v>39</v>
      </c>
    </row>
    <row r="75" spans="1:30" x14ac:dyDescent="0.3">
      <c r="A75">
        <v>8570</v>
      </c>
      <c r="B75">
        <v>0.75</v>
      </c>
      <c r="C75" s="16">
        <v>3.125E-2</v>
      </c>
      <c r="D75">
        <v>2.6944444444444399E-2</v>
      </c>
      <c r="E75" s="16">
        <v>1.1226851851851799E-3</v>
      </c>
      <c r="F75">
        <v>-0.72305555555555501</v>
      </c>
      <c r="G75" s="16">
        <v>3.0127314814814801E-2</v>
      </c>
      <c r="H75" s="109">
        <v>0</v>
      </c>
      <c r="I75" t="s">
        <v>96</v>
      </c>
      <c r="J75" s="109">
        <v>0</v>
      </c>
      <c r="K75" s="15">
        <v>45586.6551273148</v>
      </c>
      <c r="L75" s="15">
        <v>45586.65625</v>
      </c>
      <c r="M75" s="15">
        <v>45586.656215277697</v>
      </c>
      <c r="N75">
        <v>45585.75</v>
      </c>
      <c r="O75" s="8">
        <v>45586</v>
      </c>
      <c r="P75" t="s">
        <v>158</v>
      </c>
      <c r="Q75" t="s">
        <v>276</v>
      </c>
      <c r="R75" t="s">
        <v>135</v>
      </c>
      <c r="S75" t="s">
        <v>131</v>
      </c>
      <c r="T75" t="s">
        <v>288</v>
      </c>
      <c r="V75" t="s">
        <v>146</v>
      </c>
      <c r="W75" t="s">
        <v>34</v>
      </c>
      <c r="X75" t="s">
        <v>275</v>
      </c>
      <c r="Y75" t="s">
        <v>217</v>
      </c>
      <c r="Z75" t="s">
        <v>670</v>
      </c>
      <c r="AA75" t="s">
        <v>6</v>
      </c>
      <c r="AB75" t="b">
        <v>1</v>
      </c>
      <c r="AC75" t="s">
        <v>672</v>
      </c>
      <c r="AD75" t="s">
        <v>39</v>
      </c>
    </row>
    <row r="76" spans="1:30" x14ac:dyDescent="0.3">
      <c r="A76">
        <v>8571</v>
      </c>
      <c r="B76">
        <v>2.5</v>
      </c>
      <c r="C76" s="16">
        <v>0.10416666666666601</v>
      </c>
      <c r="D76">
        <v>2.57944444444444</v>
      </c>
      <c r="E76" s="16">
        <v>0.107476851851851</v>
      </c>
      <c r="F76">
        <v>7.9444444444444401E-2</v>
      </c>
      <c r="G76" s="16">
        <v>3.3101851851851799E-3</v>
      </c>
      <c r="H76" s="109">
        <v>1</v>
      </c>
      <c r="I76" t="s">
        <v>96</v>
      </c>
      <c r="J76" s="109">
        <v>3</v>
      </c>
      <c r="K76" s="15">
        <v>45586.590798611098</v>
      </c>
      <c r="L76" s="15">
        <v>45586.698275462899</v>
      </c>
      <c r="M76" s="15">
        <v>45586.665497685099</v>
      </c>
      <c r="N76">
        <v>45585.75</v>
      </c>
      <c r="O76" s="8">
        <v>45586</v>
      </c>
      <c r="P76" t="s">
        <v>144</v>
      </c>
      <c r="Q76" t="s">
        <v>139</v>
      </c>
      <c r="R76" t="s">
        <v>135</v>
      </c>
      <c r="S76" t="s">
        <v>133</v>
      </c>
      <c r="T76" t="s">
        <v>153</v>
      </c>
      <c r="U76" t="s">
        <v>154</v>
      </c>
      <c r="V76" t="s">
        <v>146</v>
      </c>
      <c r="W76" t="s">
        <v>26</v>
      </c>
      <c r="X76" t="s">
        <v>37</v>
      </c>
      <c r="AA76" t="s">
        <v>6</v>
      </c>
      <c r="AB76" t="b">
        <v>1</v>
      </c>
      <c r="AC76" t="s">
        <v>674</v>
      </c>
      <c r="AD76" t="s">
        <v>39</v>
      </c>
    </row>
    <row r="77" spans="1:30" x14ac:dyDescent="0.3">
      <c r="A77">
        <v>8572</v>
      </c>
      <c r="B77">
        <v>0.15</v>
      </c>
      <c r="C77" s="16">
        <v>6.2499999999999899E-3</v>
      </c>
      <c r="D77">
        <v>0.15166666666666601</v>
      </c>
      <c r="E77" s="16">
        <v>6.31944444444444E-3</v>
      </c>
      <c r="F77">
        <v>1.66666666666667E-3</v>
      </c>
      <c r="G77" s="16">
        <v>6.9444444444444797E-5</v>
      </c>
      <c r="H77" s="109">
        <v>1</v>
      </c>
      <c r="I77" t="s">
        <v>96</v>
      </c>
      <c r="J77" s="109">
        <v>1</v>
      </c>
      <c r="K77" s="15">
        <v>45586.667442129597</v>
      </c>
      <c r="L77" s="15">
        <v>45586.673761573998</v>
      </c>
      <c r="M77" s="15">
        <v>45586.667442129597</v>
      </c>
      <c r="N77">
        <v>45585.75</v>
      </c>
      <c r="O77" s="8">
        <v>45586</v>
      </c>
      <c r="P77" t="s">
        <v>171</v>
      </c>
      <c r="Q77" t="s">
        <v>677</v>
      </c>
      <c r="R77" t="s">
        <v>216</v>
      </c>
      <c r="S77" t="s">
        <v>133</v>
      </c>
      <c r="T77" t="s">
        <v>219</v>
      </c>
      <c r="W77" t="s">
        <v>26</v>
      </c>
      <c r="X77" t="s">
        <v>284</v>
      </c>
      <c r="Y77" t="s">
        <v>217</v>
      </c>
      <c r="AA77" t="s">
        <v>6</v>
      </c>
      <c r="AB77" t="b">
        <v>1</v>
      </c>
      <c r="AC77" t="s">
        <v>678</v>
      </c>
      <c r="AD77" t="s">
        <v>39</v>
      </c>
    </row>
    <row r="78" spans="1:30" x14ac:dyDescent="0.3">
      <c r="A78">
        <v>8573</v>
      </c>
      <c r="B78">
        <v>0.71666666666666601</v>
      </c>
      <c r="C78" s="16">
        <v>2.9861111111111099E-2</v>
      </c>
      <c r="D78">
        <v>0.71333333333333304</v>
      </c>
      <c r="E78" s="16">
        <v>2.9722222222222199E-2</v>
      </c>
      <c r="F78">
        <v>-3.3333333333332902E-3</v>
      </c>
      <c r="G78" s="16">
        <v>1.3888888888888699E-4</v>
      </c>
      <c r="H78" s="109">
        <v>1</v>
      </c>
      <c r="I78" t="s">
        <v>96</v>
      </c>
      <c r="J78" s="109">
        <v>0</v>
      </c>
      <c r="K78" s="15">
        <v>45586.672025462904</v>
      </c>
      <c r="L78" s="15">
        <v>45586.701747685103</v>
      </c>
      <c r="M78" s="15">
        <v>45586.672025462904</v>
      </c>
      <c r="N78">
        <v>45585.75</v>
      </c>
      <c r="O78" s="8">
        <v>45586</v>
      </c>
      <c r="P78" t="s">
        <v>147</v>
      </c>
      <c r="Q78" t="s">
        <v>682</v>
      </c>
      <c r="R78" t="s">
        <v>145</v>
      </c>
      <c r="S78" t="s">
        <v>133</v>
      </c>
      <c r="T78" t="s">
        <v>29</v>
      </c>
      <c r="U78" t="s">
        <v>260</v>
      </c>
      <c r="W78" t="s">
        <v>26</v>
      </c>
      <c r="X78" t="s">
        <v>681</v>
      </c>
      <c r="AA78" t="s">
        <v>6</v>
      </c>
      <c r="AB78" t="b">
        <v>1</v>
      </c>
      <c r="AC78" t="s">
        <v>683</v>
      </c>
      <c r="AD78" t="s">
        <v>39</v>
      </c>
    </row>
    <row r="79" spans="1:30" x14ac:dyDescent="0.3">
      <c r="A79">
        <v>8574</v>
      </c>
      <c r="B79">
        <v>2.8333333333333299</v>
      </c>
      <c r="C79" s="16">
        <v>0.118055555555555</v>
      </c>
      <c r="D79">
        <v>0</v>
      </c>
      <c r="E79" s="16">
        <v>0</v>
      </c>
      <c r="F79">
        <v>-2.8333333333333299</v>
      </c>
      <c r="G79" s="16">
        <v>0.118055555555555</v>
      </c>
      <c r="H79" s="109">
        <v>0</v>
      </c>
      <c r="I79" t="s">
        <v>283</v>
      </c>
      <c r="J79" s="109">
        <v>0</v>
      </c>
      <c r="K79" s="15">
        <v>45586.675833333298</v>
      </c>
      <c r="L79" s="15">
        <v>1</v>
      </c>
      <c r="M79" s="15">
        <v>45586.675833333298</v>
      </c>
      <c r="N79">
        <v>45585.75</v>
      </c>
      <c r="O79" s="8">
        <v>45586</v>
      </c>
      <c r="P79" t="s">
        <v>171</v>
      </c>
      <c r="Q79" t="s">
        <v>139</v>
      </c>
      <c r="R79" t="s">
        <v>221</v>
      </c>
      <c r="S79" t="s">
        <v>293</v>
      </c>
      <c r="T79" t="s">
        <v>259</v>
      </c>
      <c r="W79" t="s">
        <v>26</v>
      </c>
      <c r="X79" t="s">
        <v>37</v>
      </c>
      <c r="AA79" t="s">
        <v>6</v>
      </c>
      <c r="AC79" t="s">
        <v>687</v>
      </c>
      <c r="AD79" t="s">
        <v>39</v>
      </c>
    </row>
    <row r="80" spans="1:30" x14ac:dyDescent="0.3">
      <c r="A80">
        <v>8575</v>
      </c>
      <c r="B80">
        <v>0</v>
      </c>
      <c r="C80" s="16">
        <v>0</v>
      </c>
      <c r="D80">
        <v>49.049722222222201</v>
      </c>
      <c r="E80" s="16">
        <v>2.0437384259259201</v>
      </c>
      <c r="F80">
        <v>49.049722222222201</v>
      </c>
      <c r="G80" s="16">
        <v>2.0437384259259201</v>
      </c>
      <c r="H80" s="109">
        <v>0</v>
      </c>
      <c r="I80" t="s">
        <v>96</v>
      </c>
      <c r="J80" s="109">
        <v>1</v>
      </c>
      <c r="K80" s="15">
        <v>45586.676643518498</v>
      </c>
      <c r="L80" s="15">
        <v>45588.720381944397</v>
      </c>
      <c r="M80" s="15">
        <v>45586.676643518498</v>
      </c>
      <c r="N80">
        <v>45585.75</v>
      </c>
      <c r="O80" s="8">
        <v>45586</v>
      </c>
      <c r="P80" t="s">
        <v>171</v>
      </c>
      <c r="Q80" t="s">
        <v>690</v>
      </c>
      <c r="R80" t="s">
        <v>305</v>
      </c>
      <c r="S80" t="s">
        <v>133</v>
      </c>
      <c r="T80" t="s">
        <v>219</v>
      </c>
      <c r="W80" t="s">
        <v>26</v>
      </c>
      <c r="X80" t="s">
        <v>412</v>
      </c>
      <c r="Y80" t="s">
        <v>217</v>
      </c>
      <c r="AA80" t="s">
        <v>6</v>
      </c>
      <c r="AB80" t="b">
        <v>1</v>
      </c>
      <c r="AC80" t="s">
        <v>691</v>
      </c>
      <c r="AD80" t="s">
        <v>39</v>
      </c>
    </row>
    <row r="81" spans="1:30" x14ac:dyDescent="0.3">
      <c r="A81">
        <v>8577</v>
      </c>
      <c r="B81">
        <v>8.3333333333333301E-2</v>
      </c>
      <c r="C81" s="16">
        <v>3.4722222222222199E-3</v>
      </c>
      <c r="D81">
        <v>8.0555555555555505E-2</v>
      </c>
      <c r="E81" s="16">
        <v>3.3564814814814798E-3</v>
      </c>
      <c r="F81">
        <v>-2.7777777777777601E-3</v>
      </c>
      <c r="G81" s="16">
        <v>1.1574074074074E-4</v>
      </c>
      <c r="H81" s="109">
        <v>1</v>
      </c>
      <c r="I81" t="s">
        <v>96</v>
      </c>
      <c r="J81" s="109">
        <v>1</v>
      </c>
      <c r="K81" s="15">
        <v>45586.679699073997</v>
      </c>
      <c r="L81" s="15">
        <v>45586.683055555499</v>
      </c>
      <c r="M81" s="15">
        <v>45586.679699073997</v>
      </c>
      <c r="N81">
        <v>45585.75</v>
      </c>
      <c r="O81" s="8">
        <v>45586</v>
      </c>
      <c r="P81" t="s">
        <v>171</v>
      </c>
      <c r="Q81" t="s">
        <v>323</v>
      </c>
      <c r="R81" t="s">
        <v>216</v>
      </c>
      <c r="S81" t="s">
        <v>133</v>
      </c>
      <c r="T81" t="s">
        <v>219</v>
      </c>
      <c r="W81" t="s">
        <v>26</v>
      </c>
      <c r="X81" t="s">
        <v>32</v>
      </c>
      <c r="Y81" t="s">
        <v>217</v>
      </c>
      <c r="AA81" t="s">
        <v>6</v>
      </c>
      <c r="AB81" t="b">
        <v>1</v>
      </c>
      <c r="AC81" t="s">
        <v>695</v>
      </c>
      <c r="AD81" t="s">
        <v>39</v>
      </c>
    </row>
    <row r="82" spans="1:30" x14ac:dyDescent="0.3">
      <c r="A82">
        <v>8578</v>
      </c>
      <c r="B82">
        <v>0.33333333333333298</v>
      </c>
      <c r="C82" s="16">
        <v>1.38888888888888E-2</v>
      </c>
      <c r="D82">
        <v>0</v>
      </c>
      <c r="E82" s="16">
        <v>0</v>
      </c>
      <c r="F82">
        <v>-0.33333333333333298</v>
      </c>
      <c r="G82" s="16">
        <v>1.38888888888888E-2</v>
      </c>
      <c r="H82" s="109">
        <v>0</v>
      </c>
      <c r="I82" t="s">
        <v>137</v>
      </c>
      <c r="J82" s="109">
        <v>2</v>
      </c>
      <c r="K82" s="15">
        <v>45586.699722222198</v>
      </c>
      <c r="L82" s="15">
        <v>1</v>
      </c>
      <c r="M82" s="15">
        <v>45586.699722222198</v>
      </c>
      <c r="N82">
        <v>45585.75</v>
      </c>
      <c r="O82" s="8">
        <v>45586</v>
      </c>
      <c r="P82" t="s">
        <v>134</v>
      </c>
      <c r="Q82" t="s">
        <v>323</v>
      </c>
      <c r="R82" t="s">
        <v>135</v>
      </c>
      <c r="S82" t="s">
        <v>131</v>
      </c>
      <c r="T82" t="s">
        <v>259</v>
      </c>
      <c r="W82" t="s">
        <v>26</v>
      </c>
      <c r="X82" t="s">
        <v>32</v>
      </c>
      <c r="AA82" t="s">
        <v>6</v>
      </c>
      <c r="AC82" t="s">
        <v>698</v>
      </c>
      <c r="AD82" t="s">
        <v>39</v>
      </c>
    </row>
    <row r="83" spans="1:30" x14ac:dyDescent="0.3">
      <c r="A83">
        <v>8579</v>
      </c>
      <c r="B83">
        <v>0.68333333333333302</v>
      </c>
      <c r="C83" s="16">
        <v>2.8472222222222201E-2</v>
      </c>
      <c r="D83">
        <v>0.68472222222222201</v>
      </c>
      <c r="E83" s="16">
        <v>2.8530092592592499E-2</v>
      </c>
      <c r="F83">
        <v>1.3888888888888801E-3</v>
      </c>
      <c r="G83" s="16">
        <v>5.7870370370370102E-5</v>
      </c>
      <c r="H83" s="109">
        <v>1</v>
      </c>
      <c r="I83" t="s">
        <v>96</v>
      </c>
      <c r="J83" s="109">
        <v>0</v>
      </c>
      <c r="K83" s="15">
        <v>45586.701620370302</v>
      </c>
      <c r="L83" s="15">
        <v>45586.730150462899</v>
      </c>
      <c r="M83" s="15">
        <v>45586.701620370302</v>
      </c>
      <c r="N83">
        <v>45585.75</v>
      </c>
      <c r="O83" s="8">
        <v>45586</v>
      </c>
      <c r="P83" t="s">
        <v>147</v>
      </c>
      <c r="Q83" t="s">
        <v>682</v>
      </c>
      <c r="R83" t="s">
        <v>145</v>
      </c>
      <c r="S83" t="s">
        <v>133</v>
      </c>
      <c r="T83" t="s">
        <v>29</v>
      </c>
      <c r="U83" t="s">
        <v>260</v>
      </c>
      <c r="W83" t="s">
        <v>26</v>
      </c>
      <c r="X83" t="s">
        <v>681</v>
      </c>
      <c r="AA83" t="s">
        <v>6</v>
      </c>
      <c r="AB83" t="b">
        <v>1</v>
      </c>
      <c r="AC83" t="s">
        <v>700</v>
      </c>
      <c r="AD83" t="s">
        <v>39</v>
      </c>
    </row>
    <row r="84" spans="1:30" x14ac:dyDescent="0.3">
      <c r="A84">
        <v>8580</v>
      </c>
      <c r="B84">
        <v>0.7</v>
      </c>
      <c r="C84" s="16">
        <v>2.9166666666666601E-2</v>
      </c>
      <c r="D84">
        <v>0.11083333333333301</v>
      </c>
      <c r="E84" s="16">
        <v>4.6180555555555497E-3</v>
      </c>
      <c r="F84">
        <v>-0.58916666666666595</v>
      </c>
      <c r="G84" s="16">
        <v>2.4548611111111101E-2</v>
      </c>
      <c r="H84" s="109">
        <v>0</v>
      </c>
      <c r="I84" t="s">
        <v>96</v>
      </c>
      <c r="J84" s="109">
        <v>0</v>
      </c>
      <c r="K84" s="15">
        <v>45586.703657407401</v>
      </c>
      <c r="L84" s="15">
        <v>45586.708275462901</v>
      </c>
      <c r="M84" s="15">
        <v>45586.704710648097</v>
      </c>
      <c r="N84">
        <v>45585.75</v>
      </c>
      <c r="O84" s="8">
        <v>45586</v>
      </c>
      <c r="P84" t="s">
        <v>158</v>
      </c>
      <c r="Q84" t="s">
        <v>705</v>
      </c>
      <c r="R84" t="s">
        <v>135</v>
      </c>
      <c r="S84" t="s">
        <v>131</v>
      </c>
      <c r="T84" t="s">
        <v>27</v>
      </c>
      <c r="U84" t="s">
        <v>317</v>
      </c>
      <c r="V84" t="s">
        <v>146</v>
      </c>
      <c r="W84" t="s">
        <v>35</v>
      </c>
      <c r="X84" t="s">
        <v>704</v>
      </c>
      <c r="Y84" t="s">
        <v>217</v>
      </c>
      <c r="Z84" t="s">
        <v>702</v>
      </c>
      <c r="AA84" t="s">
        <v>6</v>
      </c>
      <c r="AB84" t="b">
        <v>1</v>
      </c>
      <c r="AC84" t="s">
        <v>707</v>
      </c>
      <c r="AD84" t="s">
        <v>39</v>
      </c>
    </row>
    <row r="85" spans="1:30" x14ac:dyDescent="0.3">
      <c r="A85">
        <v>8581</v>
      </c>
      <c r="B85">
        <v>0.43333333333333302</v>
      </c>
      <c r="C85" s="16">
        <v>1.8055555555555498E-2</v>
      </c>
      <c r="D85">
        <v>3.6944444444444398E-2</v>
      </c>
      <c r="E85" s="16">
        <v>1.5393518518518499E-3</v>
      </c>
      <c r="F85">
        <v>-0.39638888888888801</v>
      </c>
      <c r="G85" s="16">
        <v>1.65162037037037E-2</v>
      </c>
      <c r="H85" s="109">
        <v>0</v>
      </c>
      <c r="I85" t="s">
        <v>96</v>
      </c>
      <c r="J85" s="109">
        <v>0</v>
      </c>
      <c r="K85" s="15">
        <v>45586.708344907398</v>
      </c>
      <c r="L85" s="15">
        <v>45586.709884259202</v>
      </c>
      <c r="M85" s="15">
        <v>45586.7098611111</v>
      </c>
      <c r="N85">
        <v>45585.75</v>
      </c>
      <c r="O85" s="8">
        <v>45586</v>
      </c>
      <c r="P85" t="s">
        <v>158</v>
      </c>
      <c r="Q85" t="s">
        <v>712</v>
      </c>
      <c r="R85" t="s">
        <v>135</v>
      </c>
      <c r="S85" t="s">
        <v>131</v>
      </c>
      <c r="T85" t="s">
        <v>27</v>
      </c>
      <c r="U85" t="s">
        <v>152</v>
      </c>
      <c r="V85" t="s">
        <v>146</v>
      </c>
      <c r="W85" t="s">
        <v>287</v>
      </c>
      <c r="X85" t="s">
        <v>539</v>
      </c>
      <c r="Y85" t="s">
        <v>217</v>
      </c>
      <c r="Z85" t="s">
        <v>710</v>
      </c>
      <c r="AA85" t="s">
        <v>6</v>
      </c>
      <c r="AB85" t="b">
        <v>1</v>
      </c>
      <c r="AC85" t="s">
        <v>713</v>
      </c>
      <c r="AD85" t="s">
        <v>39</v>
      </c>
    </row>
    <row r="86" spans="1:30" x14ac:dyDescent="0.3">
      <c r="A86">
        <v>8582</v>
      </c>
      <c r="B86">
        <v>0.16666666666666599</v>
      </c>
      <c r="C86" s="16">
        <v>6.9444444444444397E-3</v>
      </c>
      <c r="D86">
        <v>16.3666666666666</v>
      </c>
      <c r="E86" s="16">
        <v>0.68194444444444402</v>
      </c>
      <c r="F86">
        <v>16.2</v>
      </c>
      <c r="G86" s="16">
        <v>0.67499999999999905</v>
      </c>
      <c r="H86" s="109">
        <v>0</v>
      </c>
      <c r="I86" t="s">
        <v>96</v>
      </c>
      <c r="J86" s="109">
        <v>2</v>
      </c>
      <c r="K86" s="15">
        <v>45586.7100347222</v>
      </c>
      <c r="L86" s="15">
        <v>45587.391979166598</v>
      </c>
      <c r="M86" s="15">
        <v>45586.7100347222</v>
      </c>
      <c r="N86">
        <v>45585.75</v>
      </c>
      <c r="O86" s="8">
        <v>45586</v>
      </c>
      <c r="P86" t="s">
        <v>134</v>
      </c>
      <c r="Q86" t="s">
        <v>718</v>
      </c>
      <c r="R86" t="s">
        <v>135</v>
      </c>
      <c r="S86" t="s">
        <v>131</v>
      </c>
      <c r="T86" t="s">
        <v>219</v>
      </c>
      <c r="W86" t="s">
        <v>26</v>
      </c>
      <c r="X86" t="s">
        <v>717</v>
      </c>
      <c r="Y86" t="s">
        <v>217</v>
      </c>
      <c r="AA86" t="s">
        <v>6</v>
      </c>
      <c r="AB86" t="b">
        <v>1</v>
      </c>
      <c r="AC86" t="s">
        <v>719</v>
      </c>
      <c r="AD86" t="s">
        <v>39</v>
      </c>
    </row>
    <row r="87" spans="1:30" x14ac:dyDescent="0.3">
      <c r="A87">
        <v>8583</v>
      </c>
      <c r="B87">
        <v>0.6</v>
      </c>
      <c r="C87" s="16">
        <v>2.4999999999999901E-2</v>
      </c>
      <c r="D87">
        <v>2.6111111111111099E-2</v>
      </c>
      <c r="E87" s="16">
        <v>1.0879629629629601E-3</v>
      </c>
      <c r="F87">
        <v>-0.573888888888888</v>
      </c>
      <c r="G87" s="16">
        <v>2.3912037037036999E-2</v>
      </c>
      <c r="H87" s="109">
        <v>0</v>
      </c>
      <c r="I87" t="s">
        <v>96</v>
      </c>
      <c r="J87" s="109">
        <v>0</v>
      </c>
      <c r="K87" s="15">
        <v>45586.7101273148</v>
      </c>
      <c r="L87" s="15">
        <v>45586.711215277697</v>
      </c>
      <c r="M87" s="15">
        <v>45586.711180555503</v>
      </c>
      <c r="N87">
        <v>45585.75</v>
      </c>
      <c r="O87" s="8">
        <v>45586</v>
      </c>
      <c r="P87" t="s">
        <v>158</v>
      </c>
      <c r="Q87" t="s">
        <v>723</v>
      </c>
      <c r="R87" t="s">
        <v>135</v>
      </c>
      <c r="S87" t="s">
        <v>131</v>
      </c>
      <c r="T87" t="s">
        <v>27</v>
      </c>
      <c r="U87" t="s">
        <v>222</v>
      </c>
      <c r="V87" t="s">
        <v>146</v>
      </c>
      <c r="W87" t="s">
        <v>26</v>
      </c>
      <c r="X87" t="s">
        <v>33</v>
      </c>
      <c r="Y87" t="s">
        <v>217</v>
      </c>
      <c r="Z87" t="s">
        <v>722</v>
      </c>
      <c r="AA87" t="s">
        <v>6</v>
      </c>
      <c r="AB87" t="b">
        <v>1</v>
      </c>
      <c r="AC87" t="s">
        <v>724</v>
      </c>
      <c r="AD87" t="s">
        <v>39</v>
      </c>
    </row>
    <row r="88" spans="1:30" x14ac:dyDescent="0.3">
      <c r="A88">
        <v>8584</v>
      </c>
      <c r="B88">
        <v>0.43333333333333302</v>
      </c>
      <c r="C88" s="16">
        <v>1.8055555555555498E-2</v>
      </c>
      <c r="D88">
        <v>4.4166666666666597E-2</v>
      </c>
      <c r="E88" s="16">
        <v>1.8402777777777699E-3</v>
      </c>
      <c r="F88">
        <v>-0.38916666666666599</v>
      </c>
      <c r="G88" s="16">
        <v>1.62152777777777E-2</v>
      </c>
      <c r="H88" s="109">
        <v>0</v>
      </c>
      <c r="I88" t="s">
        <v>96</v>
      </c>
      <c r="J88" s="109">
        <v>0</v>
      </c>
      <c r="K88" s="15">
        <v>45586.727488425902</v>
      </c>
      <c r="L88" s="15">
        <v>45586.729328703703</v>
      </c>
      <c r="M88" s="15">
        <v>45586.7292939814</v>
      </c>
      <c r="N88">
        <v>45585.75</v>
      </c>
      <c r="O88" s="8">
        <v>45586</v>
      </c>
      <c r="P88" t="s">
        <v>158</v>
      </c>
      <c r="Q88" t="s">
        <v>276</v>
      </c>
      <c r="R88" t="s">
        <v>135</v>
      </c>
      <c r="S88" t="s">
        <v>131</v>
      </c>
      <c r="T88" t="s">
        <v>27</v>
      </c>
      <c r="U88" t="s">
        <v>317</v>
      </c>
      <c r="V88" t="s">
        <v>146</v>
      </c>
      <c r="W88" t="s">
        <v>34</v>
      </c>
      <c r="X88" t="s">
        <v>275</v>
      </c>
      <c r="Y88" t="s">
        <v>217</v>
      </c>
      <c r="Z88" t="s">
        <v>727</v>
      </c>
      <c r="AA88" t="s">
        <v>6</v>
      </c>
      <c r="AB88" t="b">
        <v>1</v>
      </c>
      <c r="AC88" t="s">
        <v>728</v>
      </c>
      <c r="AD88" t="s">
        <v>39</v>
      </c>
    </row>
    <row r="89" spans="1:30" x14ac:dyDescent="0.3">
      <c r="A89">
        <v>8585</v>
      </c>
      <c r="B89">
        <v>0.91666666666666596</v>
      </c>
      <c r="C89" s="16">
        <v>3.8194444444444399E-2</v>
      </c>
      <c r="D89">
        <v>0</v>
      </c>
      <c r="E89" s="16">
        <v>0</v>
      </c>
      <c r="F89">
        <v>-0.91666666666666596</v>
      </c>
      <c r="G89" s="16">
        <v>3.8194444444444399E-2</v>
      </c>
      <c r="H89" s="109">
        <v>0</v>
      </c>
      <c r="I89" t="s">
        <v>210</v>
      </c>
      <c r="J89" s="109">
        <v>1</v>
      </c>
      <c r="K89" s="15">
        <v>45586.729814814797</v>
      </c>
      <c r="L89" s="15">
        <v>1</v>
      </c>
      <c r="M89" s="15">
        <v>45586.729814814797</v>
      </c>
      <c r="N89">
        <v>45585.75</v>
      </c>
      <c r="O89" s="8">
        <v>45586</v>
      </c>
      <c r="P89" t="s">
        <v>136</v>
      </c>
      <c r="Q89" t="s">
        <v>139</v>
      </c>
      <c r="R89" t="s">
        <v>155</v>
      </c>
      <c r="S89" t="s">
        <v>133</v>
      </c>
      <c r="T89" t="s">
        <v>220</v>
      </c>
      <c r="W89" t="s">
        <v>26</v>
      </c>
      <c r="X89" t="s">
        <v>37</v>
      </c>
      <c r="Y89" t="s">
        <v>217</v>
      </c>
      <c r="AA89" t="s">
        <v>6</v>
      </c>
      <c r="AC89" t="s">
        <v>730</v>
      </c>
      <c r="AD89" t="s">
        <v>39</v>
      </c>
    </row>
    <row r="90" spans="1:30" x14ac:dyDescent="0.3">
      <c r="A90">
        <v>8586</v>
      </c>
      <c r="B90">
        <v>0.83333333333333304</v>
      </c>
      <c r="C90" s="16">
        <v>3.4722222222222203E-2</v>
      </c>
      <c r="D90">
        <v>0</v>
      </c>
      <c r="E90" s="16">
        <v>0</v>
      </c>
      <c r="F90">
        <v>-0.83333333333333304</v>
      </c>
      <c r="G90" s="16">
        <v>3.4722222222222203E-2</v>
      </c>
      <c r="H90" s="109">
        <v>0</v>
      </c>
      <c r="I90" t="s">
        <v>96</v>
      </c>
      <c r="J90" s="109">
        <v>3</v>
      </c>
      <c r="K90" s="15">
        <v>45586.736712962898</v>
      </c>
      <c r="L90" s="15">
        <v>45586.736712962898</v>
      </c>
      <c r="M90" s="15">
        <v>45586.737361111103</v>
      </c>
      <c r="N90">
        <v>45585.75</v>
      </c>
      <c r="O90" s="8">
        <v>45586</v>
      </c>
      <c r="P90" t="s">
        <v>138</v>
      </c>
      <c r="Q90" t="s">
        <v>735</v>
      </c>
      <c r="R90" t="s">
        <v>135</v>
      </c>
      <c r="S90" t="s">
        <v>133</v>
      </c>
      <c r="T90" t="s">
        <v>220</v>
      </c>
      <c r="W90" t="s">
        <v>297</v>
      </c>
      <c r="X90" t="s">
        <v>313</v>
      </c>
      <c r="Z90" t="s">
        <v>733</v>
      </c>
      <c r="AA90" t="s">
        <v>6</v>
      </c>
      <c r="AB90" t="b">
        <v>1</v>
      </c>
      <c r="AC90" t="s">
        <v>734</v>
      </c>
      <c r="AD90" t="s">
        <v>39</v>
      </c>
    </row>
    <row r="91" spans="1:30" x14ac:dyDescent="0.3">
      <c r="A91">
        <v>8587</v>
      </c>
      <c r="B91">
        <v>0.4</v>
      </c>
      <c r="C91" s="16">
        <v>1.6666666666666601E-2</v>
      </c>
      <c r="D91">
        <v>0.135277777777777</v>
      </c>
      <c r="E91" s="16">
        <v>5.6365740740740699E-3</v>
      </c>
      <c r="F91">
        <v>-0.26472222222222203</v>
      </c>
      <c r="G91" s="16">
        <v>1.1030092592592499E-2</v>
      </c>
      <c r="H91" s="109">
        <v>1</v>
      </c>
      <c r="I91" t="s">
        <v>96</v>
      </c>
      <c r="J91" s="109">
        <v>0</v>
      </c>
      <c r="K91" s="15">
        <v>45586.738749999997</v>
      </c>
      <c r="L91" s="15">
        <v>45586.744386573999</v>
      </c>
      <c r="M91" s="15">
        <v>45586.744363425903</v>
      </c>
      <c r="N91">
        <v>45585.75</v>
      </c>
      <c r="O91" s="8">
        <v>45586</v>
      </c>
      <c r="P91" t="s">
        <v>158</v>
      </c>
      <c r="Q91" t="s">
        <v>740</v>
      </c>
      <c r="R91" t="s">
        <v>135</v>
      </c>
      <c r="S91" t="s">
        <v>131</v>
      </c>
      <c r="T91" t="s">
        <v>27</v>
      </c>
      <c r="U91" t="s">
        <v>317</v>
      </c>
      <c r="V91" t="s">
        <v>146</v>
      </c>
      <c r="W91" t="s">
        <v>34</v>
      </c>
      <c r="X91" t="s">
        <v>275</v>
      </c>
      <c r="Y91" t="s">
        <v>217</v>
      </c>
      <c r="Z91" t="s">
        <v>739</v>
      </c>
      <c r="AA91" t="s">
        <v>6</v>
      </c>
      <c r="AB91" t="b">
        <v>1</v>
      </c>
      <c r="AC91" t="s">
        <v>741</v>
      </c>
      <c r="AD91" t="s">
        <v>39</v>
      </c>
    </row>
    <row r="92" spans="1:30" x14ac:dyDescent="0.3">
      <c r="A92">
        <v>8588</v>
      </c>
      <c r="B92">
        <v>1.5</v>
      </c>
      <c r="C92" s="16">
        <v>6.25E-2</v>
      </c>
      <c r="D92">
        <v>1.65</v>
      </c>
      <c r="E92" s="16">
        <v>6.8750000000000006E-2</v>
      </c>
      <c r="F92">
        <v>0.15</v>
      </c>
      <c r="G92" s="16">
        <v>6.2500000000000003E-3</v>
      </c>
      <c r="H92" s="109">
        <v>1</v>
      </c>
      <c r="I92" t="s">
        <v>96</v>
      </c>
      <c r="J92" s="109">
        <v>3</v>
      </c>
      <c r="K92" s="15">
        <v>45586.482812499999</v>
      </c>
      <c r="L92" s="15">
        <v>45586.551562499997</v>
      </c>
      <c r="M92" s="15">
        <v>45586.745520833298</v>
      </c>
      <c r="N92">
        <v>45585.75</v>
      </c>
      <c r="O92" s="8">
        <v>45586</v>
      </c>
      <c r="P92" t="s">
        <v>144</v>
      </c>
      <c r="Q92" t="s">
        <v>139</v>
      </c>
      <c r="R92" t="s">
        <v>135</v>
      </c>
      <c r="S92" t="s">
        <v>133</v>
      </c>
      <c r="T92" t="s">
        <v>153</v>
      </c>
      <c r="U92" t="s">
        <v>154</v>
      </c>
      <c r="V92" t="s">
        <v>146</v>
      </c>
      <c r="W92" t="s">
        <v>26</v>
      </c>
      <c r="X92" t="s">
        <v>37</v>
      </c>
      <c r="AA92" t="s">
        <v>6</v>
      </c>
      <c r="AB92" t="b">
        <v>1</v>
      </c>
      <c r="AC92" t="s">
        <v>744</v>
      </c>
      <c r="AD92" t="s">
        <v>39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9B811-220D-4012-93E9-4ED0FD739489}">
  <sheetPr codeName="Hoja1">
    <tabColor theme="7" tint="0.59999389629810485"/>
  </sheetPr>
  <dimension ref="A1:BK102"/>
  <sheetViews>
    <sheetView showGridLines="0" topLeftCell="H1" zoomScaleNormal="100" workbookViewId="0">
      <selection activeCell="R1" sqref="R1"/>
    </sheetView>
  </sheetViews>
  <sheetFormatPr baseColWidth="10" defaultColWidth="11.44140625" defaultRowHeight="14.4" x14ac:dyDescent="0.3"/>
  <cols>
    <col min="1" max="3" width="12" customWidth="1"/>
    <col min="4" max="7" width="18.109375" bestFit="1" customWidth="1"/>
    <col min="8" max="8" width="24.109375" bestFit="1" customWidth="1"/>
    <col min="9" max="9" width="18.109375" bestFit="1" customWidth="1"/>
    <col min="10" max="10" width="13" customWidth="1"/>
    <col min="11" max="11" width="18.109375" bestFit="1" customWidth="1"/>
    <col min="12" max="12" width="13" customWidth="1"/>
    <col min="13" max="14" width="18.109375" bestFit="1" customWidth="1"/>
    <col min="15" max="15" width="13" customWidth="1"/>
    <col min="16" max="18" width="18.109375" bestFit="1" customWidth="1"/>
    <col min="19" max="22" width="13" customWidth="1"/>
    <col min="23" max="23" width="19.5546875" customWidth="1"/>
    <col min="24" max="62" width="13" customWidth="1"/>
  </cols>
  <sheetData>
    <row r="1" spans="1:63" ht="57.6" x14ac:dyDescent="0.3">
      <c r="A1" s="3" t="s">
        <v>43</v>
      </c>
      <c r="B1" s="3" t="s">
        <v>166</v>
      </c>
      <c r="C1" s="3" t="s">
        <v>167</v>
      </c>
      <c r="D1" s="3" t="s">
        <v>81</v>
      </c>
      <c r="E1" s="3" t="s">
        <v>79</v>
      </c>
      <c r="F1" s="3" t="s">
        <v>68</v>
      </c>
      <c r="G1" s="3" t="s">
        <v>66</v>
      </c>
      <c r="H1" s="3" t="s">
        <v>62</v>
      </c>
      <c r="I1" s="3" t="s">
        <v>67</v>
      </c>
      <c r="J1" s="3" t="s">
        <v>90</v>
      </c>
      <c r="K1" s="3" t="s">
        <v>202</v>
      </c>
      <c r="L1" s="3" t="s">
        <v>97</v>
      </c>
      <c r="M1" s="3" t="s">
        <v>59</v>
      </c>
      <c r="N1" s="3" t="s">
        <v>60</v>
      </c>
      <c r="O1" s="3" t="s">
        <v>61</v>
      </c>
      <c r="P1" s="3" t="s">
        <v>63</v>
      </c>
      <c r="Q1" s="3" t="s">
        <v>64</v>
      </c>
      <c r="R1" s="3" t="s">
        <v>65</v>
      </c>
      <c r="S1" s="3" t="s">
        <v>69</v>
      </c>
      <c r="T1" s="3" t="s">
        <v>70</v>
      </c>
      <c r="U1" s="3" t="s">
        <v>85</v>
      </c>
      <c r="V1" s="3" t="s">
        <v>86</v>
      </c>
      <c r="W1" s="3" t="s">
        <v>168</v>
      </c>
      <c r="X1" s="3" t="s">
        <v>169</v>
      </c>
      <c r="Y1" s="3" t="s">
        <v>49</v>
      </c>
      <c r="Z1" s="3" t="s">
        <v>52</v>
      </c>
      <c r="AA1" s="3" t="s">
        <v>132</v>
      </c>
      <c r="AB1" s="3" t="s">
        <v>54</v>
      </c>
      <c r="AC1" s="3" t="s">
        <v>56</v>
      </c>
      <c r="AD1" s="3" t="s">
        <v>58</v>
      </c>
      <c r="AE1" s="3" t="s">
        <v>89</v>
      </c>
      <c r="AF1" s="3" t="s">
        <v>88</v>
      </c>
      <c r="AG1" s="3" t="s">
        <v>42</v>
      </c>
      <c r="AH1" s="3" t="s">
        <v>44</v>
      </c>
      <c r="AI1" s="3" t="s">
        <v>45</v>
      </c>
      <c r="AJ1" s="3" t="s">
        <v>46</v>
      </c>
      <c r="AK1" s="3" t="s">
        <v>47</v>
      </c>
      <c r="AL1" s="3" t="s">
        <v>48</v>
      </c>
      <c r="AM1" s="3" t="s">
        <v>50</v>
      </c>
      <c r="AN1" s="3" t="s">
        <v>51</v>
      </c>
      <c r="AO1" s="3" t="s">
        <v>53</v>
      </c>
      <c r="AP1" s="3" t="s">
        <v>55</v>
      </c>
      <c r="AQ1" s="3" t="s">
        <v>57</v>
      </c>
      <c r="AR1" s="3" t="s">
        <v>71</v>
      </c>
      <c r="AS1" s="3" t="s">
        <v>72</v>
      </c>
      <c r="AT1" s="3" t="s">
        <v>73</v>
      </c>
      <c r="AU1" s="3" t="s">
        <v>74</v>
      </c>
      <c r="AV1" s="3" t="s">
        <v>75</v>
      </c>
      <c r="AW1" s="3" t="s">
        <v>76</v>
      </c>
      <c r="AX1" s="3" t="s">
        <v>77</v>
      </c>
      <c r="AY1" s="3" t="s">
        <v>78</v>
      </c>
      <c r="AZ1" s="3" t="s">
        <v>80</v>
      </c>
      <c r="BA1" s="3" t="s">
        <v>82</v>
      </c>
      <c r="BB1" s="3" t="s">
        <v>83</v>
      </c>
      <c r="BC1" s="3" t="s">
        <v>84</v>
      </c>
      <c r="BD1" s="3" t="s">
        <v>87</v>
      </c>
      <c r="BE1" s="3" t="s">
        <v>91</v>
      </c>
      <c r="BF1" s="3" t="s">
        <v>95</v>
      </c>
      <c r="BG1" s="3" t="s">
        <v>92</v>
      </c>
      <c r="BH1" s="3" t="s">
        <v>93</v>
      </c>
      <c r="BI1" s="3" t="s">
        <v>94</v>
      </c>
      <c r="BJ1" s="3" t="s">
        <v>224</v>
      </c>
      <c r="BK1" s="3" t="s">
        <v>225</v>
      </c>
    </row>
    <row r="2" spans="1:63" x14ac:dyDescent="0.3">
      <c r="A2">
        <v>6079</v>
      </c>
      <c r="B2">
        <v>0.61666666666666603</v>
      </c>
      <c r="C2" s="16">
        <v>2.5694444444444402E-2</v>
      </c>
      <c r="D2" t="s">
        <v>210</v>
      </c>
      <c r="E2" s="109">
        <v>3</v>
      </c>
      <c r="F2" s="15">
        <v>45545.533900462899</v>
      </c>
      <c r="G2" s="15">
        <v>45544.75</v>
      </c>
      <c r="H2" s="15">
        <v>45545.533900462899</v>
      </c>
      <c r="I2" s="15">
        <v>1</v>
      </c>
      <c r="J2" s="8">
        <v>0</v>
      </c>
      <c r="K2" s="16">
        <v>0</v>
      </c>
      <c r="L2" s="8">
        <v>45545</v>
      </c>
      <c r="M2" s="15">
        <v>45545.533900462899</v>
      </c>
      <c r="O2" s="15">
        <v>1</v>
      </c>
      <c r="P2" s="15">
        <v>1</v>
      </c>
      <c r="R2" s="15">
        <v>1</v>
      </c>
      <c r="S2" s="15">
        <v>45587.451747685103</v>
      </c>
      <c r="T2" s="15">
        <v>45587.451747685103</v>
      </c>
      <c r="V2" t="s">
        <v>325</v>
      </c>
      <c r="W2" s="15">
        <v>45586</v>
      </c>
      <c r="X2" t="s">
        <v>326</v>
      </c>
      <c r="Y2" t="s">
        <v>142</v>
      </c>
      <c r="Z2" t="s">
        <v>145</v>
      </c>
      <c r="AA2" t="s">
        <v>133</v>
      </c>
      <c r="AB2" t="s">
        <v>203</v>
      </c>
      <c r="AC2" t="s">
        <v>204</v>
      </c>
      <c r="AE2" t="s">
        <v>26</v>
      </c>
      <c r="AF2" t="s">
        <v>37</v>
      </c>
      <c r="AG2">
        <v>5981</v>
      </c>
      <c r="AH2" t="s">
        <v>264</v>
      </c>
      <c r="AI2">
        <v>247813</v>
      </c>
      <c r="AJ2" t="s">
        <v>139</v>
      </c>
      <c r="AK2">
        <v>299</v>
      </c>
      <c r="AL2" t="s">
        <v>39</v>
      </c>
      <c r="AM2">
        <v>11</v>
      </c>
      <c r="AN2">
        <v>6</v>
      </c>
      <c r="AO2">
        <v>13</v>
      </c>
      <c r="AQ2">
        <v>1</v>
      </c>
      <c r="AR2" t="s">
        <v>39</v>
      </c>
      <c r="AS2" t="s">
        <v>265</v>
      </c>
      <c r="AT2" t="s">
        <v>327</v>
      </c>
      <c r="AU2" t="s">
        <v>40</v>
      </c>
      <c r="AV2" t="s">
        <v>6</v>
      </c>
      <c r="AW2" t="s">
        <v>328</v>
      </c>
      <c r="AX2">
        <v>71</v>
      </c>
      <c r="AZ2" t="s">
        <v>329</v>
      </c>
      <c r="BB2" t="s">
        <v>205</v>
      </c>
      <c r="BC2">
        <v>43903</v>
      </c>
      <c r="BD2">
        <v>0</v>
      </c>
      <c r="BE2">
        <v>299</v>
      </c>
      <c r="BF2" t="s">
        <v>266</v>
      </c>
    </row>
    <row r="3" spans="1:63" x14ac:dyDescent="0.3">
      <c r="A3">
        <v>6083</v>
      </c>
      <c r="B3">
        <v>0.25</v>
      </c>
      <c r="C3" s="16">
        <v>1.04166666666666E-2</v>
      </c>
      <c r="D3" t="s">
        <v>210</v>
      </c>
      <c r="E3" s="109">
        <v>1</v>
      </c>
      <c r="F3" s="15">
        <v>45545.591909722199</v>
      </c>
      <c r="G3" s="15">
        <v>45544.75</v>
      </c>
      <c r="H3" s="15">
        <v>45545.591909722199</v>
      </c>
      <c r="I3" s="15">
        <v>1</v>
      </c>
      <c r="J3">
        <v>0</v>
      </c>
      <c r="K3" s="16">
        <v>0</v>
      </c>
      <c r="L3" s="8">
        <v>45545</v>
      </c>
      <c r="M3" s="15">
        <v>45545.591909722199</v>
      </c>
      <c r="O3" s="15">
        <v>1</v>
      </c>
      <c r="P3" s="15">
        <v>1</v>
      </c>
      <c r="R3" s="15">
        <v>1</v>
      </c>
      <c r="S3" s="15">
        <v>45588.714849536998</v>
      </c>
      <c r="T3" s="15">
        <v>45588.714849536998</v>
      </c>
      <c r="W3" s="15">
        <v>45586</v>
      </c>
      <c r="X3" t="s">
        <v>330</v>
      </c>
      <c r="Y3" t="s">
        <v>136</v>
      </c>
      <c r="Z3" t="s">
        <v>140</v>
      </c>
      <c r="AA3" t="s">
        <v>133</v>
      </c>
      <c r="AB3" t="s">
        <v>220</v>
      </c>
      <c r="AE3" t="s">
        <v>26</v>
      </c>
      <c r="AF3" t="s">
        <v>37</v>
      </c>
      <c r="AG3">
        <v>5985</v>
      </c>
      <c r="AH3" t="s">
        <v>264</v>
      </c>
      <c r="AI3">
        <v>247813</v>
      </c>
      <c r="AJ3" t="s">
        <v>139</v>
      </c>
      <c r="AK3">
        <v>248</v>
      </c>
      <c r="AL3" t="s">
        <v>39</v>
      </c>
      <c r="AM3">
        <v>3</v>
      </c>
      <c r="AN3">
        <v>28</v>
      </c>
      <c r="AQ3">
        <v>1</v>
      </c>
      <c r="AR3" t="s">
        <v>39</v>
      </c>
      <c r="AS3" t="s">
        <v>278</v>
      </c>
      <c r="AT3" t="s">
        <v>291</v>
      </c>
      <c r="AU3" t="s">
        <v>40</v>
      </c>
      <c r="AV3" t="s">
        <v>6</v>
      </c>
      <c r="AW3" t="s">
        <v>292</v>
      </c>
      <c r="AX3">
        <v>71</v>
      </c>
      <c r="AZ3" t="s">
        <v>331</v>
      </c>
      <c r="BB3" t="s">
        <v>205</v>
      </c>
      <c r="BC3">
        <v>43931</v>
      </c>
      <c r="BD3">
        <v>0</v>
      </c>
      <c r="BE3">
        <v>248</v>
      </c>
      <c r="BF3" t="s">
        <v>266</v>
      </c>
    </row>
    <row r="4" spans="1:63" x14ac:dyDescent="0.3">
      <c r="A4">
        <v>7505</v>
      </c>
      <c r="B4">
        <v>0.266666666666666</v>
      </c>
      <c r="C4" s="16">
        <v>1.1111111111111099E-2</v>
      </c>
      <c r="D4" t="s">
        <v>283</v>
      </c>
      <c r="E4" s="109">
        <v>2</v>
      </c>
      <c r="F4" s="15">
        <v>45568.6433101851</v>
      </c>
      <c r="G4" s="15">
        <v>45567.75</v>
      </c>
      <c r="H4" s="15">
        <v>45568.6433101851</v>
      </c>
      <c r="I4" s="15">
        <v>1</v>
      </c>
      <c r="J4">
        <v>0</v>
      </c>
      <c r="K4" s="16">
        <v>0</v>
      </c>
      <c r="L4" s="8">
        <v>45568</v>
      </c>
      <c r="M4" s="15">
        <v>45568.6433101851</v>
      </c>
      <c r="O4" s="15">
        <v>1</v>
      </c>
      <c r="P4" s="15">
        <v>1</v>
      </c>
      <c r="R4" s="15">
        <v>1</v>
      </c>
      <c r="S4" s="15">
        <v>45588.472754629598</v>
      </c>
      <c r="T4" s="15">
        <v>45588.472754629598</v>
      </c>
      <c r="V4" t="s">
        <v>332</v>
      </c>
      <c r="W4" s="15">
        <v>45586</v>
      </c>
      <c r="X4" t="s">
        <v>333</v>
      </c>
      <c r="Y4" t="s">
        <v>142</v>
      </c>
      <c r="Z4" t="s">
        <v>211</v>
      </c>
      <c r="AA4" t="s">
        <v>133</v>
      </c>
      <c r="AB4" t="s">
        <v>203</v>
      </c>
      <c r="AC4" t="s">
        <v>204</v>
      </c>
      <c r="AE4" t="s">
        <v>26</v>
      </c>
      <c r="AF4" t="s">
        <v>37</v>
      </c>
      <c r="AG4">
        <v>7407</v>
      </c>
      <c r="AH4" t="s">
        <v>264</v>
      </c>
      <c r="AI4">
        <v>247813</v>
      </c>
      <c r="AJ4" t="s">
        <v>139</v>
      </c>
      <c r="AK4">
        <v>299</v>
      </c>
      <c r="AL4" t="s">
        <v>39</v>
      </c>
      <c r="AM4">
        <v>6</v>
      </c>
      <c r="AN4">
        <v>6</v>
      </c>
      <c r="AO4">
        <v>13</v>
      </c>
      <c r="AQ4">
        <v>1</v>
      </c>
      <c r="AR4" t="s">
        <v>39</v>
      </c>
      <c r="AS4" t="s">
        <v>265</v>
      </c>
      <c r="AT4" t="s">
        <v>334</v>
      </c>
      <c r="AU4" t="s">
        <v>40</v>
      </c>
      <c r="AV4" t="s">
        <v>6</v>
      </c>
      <c r="AW4" t="s">
        <v>335</v>
      </c>
      <c r="AX4">
        <v>69</v>
      </c>
      <c r="AZ4" t="s">
        <v>336</v>
      </c>
      <c r="BB4" t="s">
        <v>205</v>
      </c>
      <c r="BC4">
        <v>43902</v>
      </c>
      <c r="BD4">
        <v>0</v>
      </c>
      <c r="BE4">
        <v>299</v>
      </c>
      <c r="BF4" t="s">
        <v>266</v>
      </c>
    </row>
    <row r="5" spans="1:63" x14ac:dyDescent="0.3">
      <c r="A5">
        <v>7927</v>
      </c>
      <c r="B5">
        <v>0.3</v>
      </c>
      <c r="C5" s="16">
        <v>1.24999999999999E-2</v>
      </c>
      <c r="D5" t="s">
        <v>210</v>
      </c>
      <c r="E5" s="109">
        <v>1</v>
      </c>
      <c r="F5" s="15">
        <v>45575.615914351802</v>
      </c>
      <c r="G5" s="15">
        <v>45574.75</v>
      </c>
      <c r="H5" s="15">
        <v>45575.615914351802</v>
      </c>
      <c r="I5" s="15">
        <v>1</v>
      </c>
      <c r="J5">
        <v>0</v>
      </c>
      <c r="K5" s="16">
        <v>0</v>
      </c>
      <c r="L5" s="8">
        <v>45575</v>
      </c>
      <c r="M5" s="15">
        <v>45575.615914351802</v>
      </c>
      <c r="O5" s="15">
        <v>1</v>
      </c>
      <c r="P5" s="15">
        <v>1</v>
      </c>
      <c r="R5" s="15">
        <v>1</v>
      </c>
      <c r="S5" s="15">
        <v>45587.728263888799</v>
      </c>
      <c r="T5" s="15">
        <v>45587.728263888799</v>
      </c>
      <c r="W5" s="15">
        <v>45586</v>
      </c>
      <c r="X5" t="s">
        <v>337</v>
      </c>
      <c r="Y5" t="s">
        <v>136</v>
      </c>
      <c r="Z5" t="s">
        <v>338</v>
      </c>
      <c r="AA5" t="s">
        <v>133</v>
      </c>
      <c r="AB5" t="s">
        <v>220</v>
      </c>
      <c r="AE5" t="s">
        <v>26</v>
      </c>
      <c r="AF5" t="s">
        <v>294</v>
      </c>
      <c r="AG5">
        <v>7829</v>
      </c>
      <c r="AH5" t="s">
        <v>264</v>
      </c>
      <c r="AI5">
        <v>247926</v>
      </c>
      <c r="AJ5" t="s">
        <v>295</v>
      </c>
      <c r="AK5">
        <v>248</v>
      </c>
      <c r="AL5" t="s">
        <v>39</v>
      </c>
      <c r="AM5">
        <v>12</v>
      </c>
      <c r="AN5">
        <v>28</v>
      </c>
      <c r="AQ5">
        <v>1</v>
      </c>
      <c r="AR5" t="s">
        <v>39</v>
      </c>
      <c r="AS5" t="s">
        <v>278</v>
      </c>
      <c r="AT5" t="s">
        <v>339</v>
      </c>
      <c r="AU5" t="s">
        <v>40</v>
      </c>
      <c r="AV5" t="s">
        <v>6</v>
      </c>
      <c r="AW5" t="s">
        <v>340</v>
      </c>
      <c r="AX5">
        <v>71</v>
      </c>
      <c r="AZ5" t="s">
        <v>341</v>
      </c>
      <c r="BB5" t="s">
        <v>296</v>
      </c>
      <c r="BC5">
        <v>43942</v>
      </c>
      <c r="BD5">
        <v>0</v>
      </c>
      <c r="BE5">
        <v>248</v>
      </c>
      <c r="BF5" t="s">
        <v>266</v>
      </c>
    </row>
    <row r="6" spans="1:63" x14ac:dyDescent="0.3">
      <c r="A6">
        <v>7927</v>
      </c>
      <c r="B6">
        <v>0.16666666666666599</v>
      </c>
      <c r="C6" s="16">
        <v>6.9444444444444397E-3</v>
      </c>
      <c r="D6" t="s">
        <v>210</v>
      </c>
      <c r="E6" s="109">
        <v>1</v>
      </c>
      <c r="F6" s="15">
        <v>45575.615914351802</v>
      </c>
      <c r="G6" s="15">
        <v>45574.75</v>
      </c>
      <c r="H6" s="15">
        <v>45575.615914351802</v>
      </c>
      <c r="I6" s="15">
        <v>1</v>
      </c>
      <c r="J6">
        <v>0</v>
      </c>
      <c r="K6" s="16">
        <v>0</v>
      </c>
      <c r="L6" s="8">
        <v>45575</v>
      </c>
      <c r="M6" s="15">
        <v>45575.615914351802</v>
      </c>
      <c r="O6" s="15">
        <v>1</v>
      </c>
      <c r="P6" s="15">
        <v>1</v>
      </c>
      <c r="R6" s="15">
        <v>1</v>
      </c>
      <c r="S6" s="15">
        <v>45587.728263888799</v>
      </c>
      <c r="T6" s="15">
        <v>45587.728263888799</v>
      </c>
      <c r="W6" s="15">
        <v>45586</v>
      </c>
      <c r="X6" t="s">
        <v>342</v>
      </c>
      <c r="Y6" t="s">
        <v>136</v>
      </c>
      <c r="Z6" t="s">
        <v>338</v>
      </c>
      <c r="AA6" t="s">
        <v>133</v>
      </c>
      <c r="AB6" t="s">
        <v>220</v>
      </c>
      <c r="AE6" t="s">
        <v>26</v>
      </c>
      <c r="AF6" t="s">
        <v>294</v>
      </c>
      <c r="AG6">
        <v>7829</v>
      </c>
      <c r="AH6" t="s">
        <v>264</v>
      </c>
      <c r="AI6">
        <v>247926</v>
      </c>
      <c r="AJ6" t="s">
        <v>295</v>
      </c>
      <c r="AK6">
        <v>248</v>
      </c>
      <c r="AL6" t="s">
        <v>39</v>
      </c>
      <c r="AM6">
        <v>12</v>
      </c>
      <c r="AN6">
        <v>28</v>
      </c>
      <c r="AQ6">
        <v>1</v>
      </c>
      <c r="AR6" t="s">
        <v>39</v>
      </c>
      <c r="AS6" t="s">
        <v>278</v>
      </c>
      <c r="AT6" t="s">
        <v>339</v>
      </c>
      <c r="AU6" t="s">
        <v>40</v>
      </c>
      <c r="AV6" t="s">
        <v>6</v>
      </c>
      <c r="AW6" t="s">
        <v>340</v>
      </c>
      <c r="AX6">
        <v>71</v>
      </c>
      <c r="AZ6" t="s">
        <v>341</v>
      </c>
      <c r="BB6" t="s">
        <v>296</v>
      </c>
      <c r="BC6">
        <v>43940</v>
      </c>
      <c r="BD6">
        <v>0</v>
      </c>
      <c r="BE6">
        <v>248</v>
      </c>
      <c r="BF6" t="s">
        <v>266</v>
      </c>
    </row>
    <row r="7" spans="1:63" x14ac:dyDescent="0.3">
      <c r="A7">
        <v>7927</v>
      </c>
      <c r="B7">
        <v>0.25</v>
      </c>
      <c r="C7" s="16">
        <v>1.04166666666666E-2</v>
      </c>
      <c r="D7" t="s">
        <v>210</v>
      </c>
      <c r="E7" s="109">
        <v>1</v>
      </c>
      <c r="F7" s="15">
        <v>45575.615914351802</v>
      </c>
      <c r="G7" s="15">
        <v>45574.75</v>
      </c>
      <c r="H7" s="15">
        <v>45575.615914351802</v>
      </c>
      <c r="I7" s="15">
        <v>1</v>
      </c>
      <c r="J7">
        <v>0</v>
      </c>
      <c r="K7" s="16">
        <v>0</v>
      </c>
      <c r="L7" s="8">
        <v>45575</v>
      </c>
      <c r="M7" s="15">
        <v>45575.615914351802</v>
      </c>
      <c r="O7" s="15">
        <v>1</v>
      </c>
      <c r="P7" s="15">
        <v>1</v>
      </c>
      <c r="R7" s="15">
        <v>1</v>
      </c>
      <c r="S7" s="15">
        <v>45587.728263888799</v>
      </c>
      <c r="T7" s="15">
        <v>45587.728263888799</v>
      </c>
      <c r="W7" s="15">
        <v>45586</v>
      </c>
      <c r="X7" t="s">
        <v>343</v>
      </c>
      <c r="Y7" t="s">
        <v>136</v>
      </c>
      <c r="Z7" t="s">
        <v>338</v>
      </c>
      <c r="AA7" t="s">
        <v>133</v>
      </c>
      <c r="AB7" t="s">
        <v>220</v>
      </c>
      <c r="AE7" t="s">
        <v>26</v>
      </c>
      <c r="AF7" t="s">
        <v>294</v>
      </c>
      <c r="AG7">
        <v>7829</v>
      </c>
      <c r="AH7" t="s">
        <v>264</v>
      </c>
      <c r="AI7">
        <v>247926</v>
      </c>
      <c r="AJ7" t="s">
        <v>295</v>
      </c>
      <c r="AK7">
        <v>248</v>
      </c>
      <c r="AL7" t="s">
        <v>39</v>
      </c>
      <c r="AM7">
        <v>12</v>
      </c>
      <c r="AN7">
        <v>28</v>
      </c>
      <c r="AQ7">
        <v>1</v>
      </c>
      <c r="AR7" t="s">
        <v>39</v>
      </c>
      <c r="AS7" t="s">
        <v>278</v>
      </c>
      <c r="AT7" t="s">
        <v>339</v>
      </c>
      <c r="AU7" t="s">
        <v>40</v>
      </c>
      <c r="AV7" t="s">
        <v>6</v>
      </c>
      <c r="AW7" t="s">
        <v>340</v>
      </c>
      <c r="AX7">
        <v>71</v>
      </c>
      <c r="AZ7" t="s">
        <v>341</v>
      </c>
      <c r="BB7" t="s">
        <v>296</v>
      </c>
      <c r="BC7">
        <v>43934</v>
      </c>
      <c r="BD7">
        <v>0</v>
      </c>
      <c r="BE7">
        <v>248</v>
      </c>
      <c r="BF7" t="s">
        <v>266</v>
      </c>
    </row>
    <row r="8" spans="1:63" x14ac:dyDescent="0.3">
      <c r="A8">
        <v>7927</v>
      </c>
      <c r="B8">
        <v>1.6666666666666601</v>
      </c>
      <c r="C8" s="16">
        <v>6.9444444444444406E-2</v>
      </c>
      <c r="D8" t="s">
        <v>210</v>
      </c>
      <c r="E8" s="109">
        <v>1</v>
      </c>
      <c r="F8" s="15">
        <v>45575.615914351802</v>
      </c>
      <c r="G8" s="15">
        <v>45574.75</v>
      </c>
      <c r="H8" s="15">
        <v>45575.615914351802</v>
      </c>
      <c r="I8" s="15">
        <v>1</v>
      </c>
      <c r="J8">
        <v>0</v>
      </c>
      <c r="K8" s="16">
        <v>0</v>
      </c>
      <c r="L8" s="8">
        <v>45575</v>
      </c>
      <c r="M8" s="15">
        <v>45575.615914351802</v>
      </c>
      <c r="O8" s="15">
        <v>1</v>
      </c>
      <c r="P8" s="15">
        <v>1</v>
      </c>
      <c r="R8" s="15">
        <v>1</v>
      </c>
      <c r="S8" s="15">
        <v>45587.728263888799</v>
      </c>
      <c r="T8" s="15">
        <v>45587.728263888799</v>
      </c>
      <c r="W8" s="15">
        <v>45586</v>
      </c>
      <c r="X8" t="s">
        <v>344</v>
      </c>
      <c r="Y8" t="s">
        <v>136</v>
      </c>
      <c r="Z8" t="s">
        <v>338</v>
      </c>
      <c r="AA8" t="s">
        <v>133</v>
      </c>
      <c r="AB8" t="s">
        <v>220</v>
      </c>
      <c r="AE8" t="s">
        <v>26</v>
      </c>
      <c r="AF8" t="s">
        <v>294</v>
      </c>
      <c r="AG8">
        <v>7829</v>
      </c>
      <c r="AH8" t="s">
        <v>264</v>
      </c>
      <c r="AI8">
        <v>247926</v>
      </c>
      <c r="AJ8" t="s">
        <v>295</v>
      </c>
      <c r="AK8">
        <v>248</v>
      </c>
      <c r="AL8" t="s">
        <v>39</v>
      </c>
      <c r="AM8">
        <v>12</v>
      </c>
      <c r="AN8">
        <v>28</v>
      </c>
      <c r="AQ8">
        <v>1</v>
      </c>
      <c r="AR8" t="s">
        <v>39</v>
      </c>
      <c r="AS8" t="s">
        <v>278</v>
      </c>
      <c r="AT8" t="s">
        <v>339</v>
      </c>
      <c r="AU8" t="s">
        <v>40</v>
      </c>
      <c r="AV8" t="s">
        <v>6</v>
      </c>
      <c r="AW8" t="s">
        <v>340</v>
      </c>
      <c r="AX8">
        <v>71</v>
      </c>
      <c r="AZ8" t="s">
        <v>341</v>
      </c>
      <c r="BB8" t="s">
        <v>296</v>
      </c>
      <c r="BC8">
        <v>43928</v>
      </c>
      <c r="BD8">
        <v>0</v>
      </c>
      <c r="BE8">
        <v>248</v>
      </c>
      <c r="BF8" t="s">
        <v>266</v>
      </c>
    </row>
    <row r="9" spans="1:63" x14ac:dyDescent="0.3">
      <c r="A9">
        <v>7928</v>
      </c>
      <c r="B9">
        <v>0.3</v>
      </c>
      <c r="C9" s="16">
        <v>1.24999999999999E-2</v>
      </c>
      <c r="D9" t="s">
        <v>210</v>
      </c>
      <c r="E9" s="109">
        <v>1</v>
      </c>
      <c r="F9" s="15">
        <v>45575.617164351803</v>
      </c>
      <c r="G9" s="15">
        <v>45574.75</v>
      </c>
      <c r="H9" s="15">
        <v>45575.617164351803</v>
      </c>
      <c r="I9" s="15">
        <v>1</v>
      </c>
      <c r="J9">
        <v>0</v>
      </c>
      <c r="K9" s="16">
        <v>0</v>
      </c>
      <c r="L9" s="8">
        <v>45575</v>
      </c>
      <c r="M9" s="15">
        <v>45575.617164351803</v>
      </c>
      <c r="O9" s="15">
        <v>1</v>
      </c>
      <c r="P9" s="15">
        <v>1</v>
      </c>
      <c r="R9" s="15">
        <v>1</v>
      </c>
      <c r="S9" s="15">
        <v>45586.731203703697</v>
      </c>
      <c r="T9" s="15">
        <v>45586.731203703697</v>
      </c>
      <c r="W9" s="15">
        <v>45586</v>
      </c>
      <c r="X9" t="s">
        <v>345</v>
      </c>
      <c r="Y9" t="s">
        <v>136</v>
      </c>
      <c r="Z9" t="s">
        <v>140</v>
      </c>
      <c r="AA9" t="s">
        <v>133</v>
      </c>
      <c r="AB9" t="s">
        <v>220</v>
      </c>
      <c r="AE9" t="s">
        <v>26</v>
      </c>
      <c r="AF9" t="s">
        <v>346</v>
      </c>
      <c r="AG9">
        <v>7830</v>
      </c>
      <c r="AH9" t="s">
        <v>264</v>
      </c>
      <c r="AI9">
        <v>247258</v>
      </c>
      <c r="AJ9" t="s">
        <v>347</v>
      </c>
      <c r="AK9">
        <v>248</v>
      </c>
      <c r="AL9" t="s">
        <v>39</v>
      </c>
      <c r="AM9">
        <v>3</v>
      </c>
      <c r="AN9">
        <v>28</v>
      </c>
      <c r="AQ9">
        <v>1</v>
      </c>
      <c r="AR9" t="s">
        <v>39</v>
      </c>
      <c r="AS9" t="s">
        <v>278</v>
      </c>
      <c r="AT9" t="s">
        <v>348</v>
      </c>
      <c r="AU9" t="s">
        <v>40</v>
      </c>
      <c r="AV9" t="s">
        <v>6</v>
      </c>
      <c r="AW9" t="s">
        <v>349</v>
      </c>
      <c r="AX9">
        <v>71</v>
      </c>
      <c r="AZ9" t="s">
        <v>350</v>
      </c>
      <c r="BB9" t="s">
        <v>351</v>
      </c>
      <c r="BC9">
        <v>44005</v>
      </c>
      <c r="BD9">
        <v>0</v>
      </c>
      <c r="BE9">
        <v>248</v>
      </c>
      <c r="BF9" t="s">
        <v>266</v>
      </c>
    </row>
    <row r="10" spans="1:63" x14ac:dyDescent="0.3">
      <c r="A10">
        <v>8108</v>
      </c>
      <c r="B10">
        <v>0.133333333333333</v>
      </c>
      <c r="C10" s="16">
        <v>5.5555555555555497E-3</v>
      </c>
      <c r="D10" t="s">
        <v>96</v>
      </c>
      <c r="E10" s="109">
        <v>3</v>
      </c>
      <c r="F10" s="15">
        <v>45579.425648148099</v>
      </c>
      <c r="G10" s="15">
        <v>45578.75</v>
      </c>
      <c r="H10" s="15">
        <v>45579.425648148099</v>
      </c>
      <c r="I10" s="15">
        <v>45588.4515972222</v>
      </c>
      <c r="J10">
        <v>216.622777777777</v>
      </c>
      <c r="K10" s="16">
        <v>9.0259490740740702</v>
      </c>
      <c r="L10" s="8">
        <v>45579</v>
      </c>
      <c r="M10" s="15">
        <v>45579.425648148099</v>
      </c>
      <c r="O10" s="15">
        <v>1</v>
      </c>
      <c r="P10" s="15">
        <v>45588.4515972222</v>
      </c>
      <c r="R10" s="15">
        <v>1</v>
      </c>
      <c r="S10" s="15">
        <v>45588.4515972222</v>
      </c>
      <c r="T10" s="15">
        <v>45588.4515972222</v>
      </c>
      <c r="V10" t="s">
        <v>352</v>
      </c>
      <c r="W10" s="15">
        <v>45586</v>
      </c>
      <c r="X10" t="s">
        <v>353</v>
      </c>
      <c r="Y10" t="s">
        <v>142</v>
      </c>
      <c r="Z10" t="s">
        <v>211</v>
      </c>
      <c r="AA10" t="s">
        <v>133</v>
      </c>
      <c r="AB10" t="s">
        <v>203</v>
      </c>
      <c r="AC10" t="s">
        <v>204</v>
      </c>
      <c r="AE10" t="s">
        <v>26</v>
      </c>
      <c r="AF10" t="s">
        <v>37</v>
      </c>
      <c r="AG10">
        <v>8010</v>
      </c>
      <c r="AH10" t="s">
        <v>264</v>
      </c>
      <c r="AI10">
        <v>247813</v>
      </c>
      <c r="AJ10" t="s">
        <v>139</v>
      </c>
      <c r="AK10">
        <v>299</v>
      </c>
      <c r="AL10" t="s">
        <v>39</v>
      </c>
      <c r="AM10">
        <v>6</v>
      </c>
      <c r="AN10">
        <v>6</v>
      </c>
      <c r="AO10">
        <v>13</v>
      </c>
      <c r="AQ10">
        <v>1</v>
      </c>
      <c r="AR10" t="s">
        <v>39</v>
      </c>
      <c r="AS10" t="s">
        <v>265</v>
      </c>
      <c r="AT10" t="s">
        <v>354</v>
      </c>
      <c r="AU10" t="s">
        <v>40</v>
      </c>
      <c r="AV10" t="s">
        <v>6</v>
      </c>
      <c r="AW10" t="s">
        <v>355</v>
      </c>
      <c r="AX10">
        <v>72</v>
      </c>
      <c r="AY10" t="b">
        <v>1</v>
      </c>
      <c r="AZ10" t="s">
        <v>356</v>
      </c>
      <c r="BB10" t="s">
        <v>205</v>
      </c>
      <c r="BC10">
        <v>43908</v>
      </c>
      <c r="BD10">
        <v>0</v>
      </c>
      <c r="BE10">
        <v>299</v>
      </c>
      <c r="BF10" t="s">
        <v>266</v>
      </c>
    </row>
    <row r="11" spans="1:63" x14ac:dyDescent="0.3">
      <c r="A11">
        <v>8153</v>
      </c>
      <c r="B11">
        <v>0.41666666666666602</v>
      </c>
      <c r="C11" s="16">
        <v>1.7361111111111101E-2</v>
      </c>
      <c r="D11" t="s">
        <v>210</v>
      </c>
      <c r="E11" s="109">
        <v>1</v>
      </c>
      <c r="F11" s="15">
        <v>45579.710069444402</v>
      </c>
      <c r="G11" s="15">
        <v>45578.75</v>
      </c>
      <c r="H11" s="15">
        <v>45579.710069444402</v>
      </c>
      <c r="I11" s="15">
        <v>1</v>
      </c>
      <c r="J11">
        <v>0</v>
      </c>
      <c r="K11" s="16">
        <v>0</v>
      </c>
      <c r="L11" s="8">
        <v>45579</v>
      </c>
      <c r="M11" s="15">
        <v>45579.710069444402</v>
      </c>
      <c r="O11" s="15">
        <v>1</v>
      </c>
      <c r="P11" s="15">
        <v>1</v>
      </c>
      <c r="R11" s="15">
        <v>1</v>
      </c>
      <c r="S11" s="15">
        <v>45586.7054976851</v>
      </c>
      <c r="T11" s="15">
        <v>45586.7054976851</v>
      </c>
      <c r="W11" s="15">
        <v>45586</v>
      </c>
      <c r="X11" t="s">
        <v>357</v>
      </c>
      <c r="Y11" t="s">
        <v>136</v>
      </c>
      <c r="Z11" t="s">
        <v>358</v>
      </c>
      <c r="AA11" t="s">
        <v>133</v>
      </c>
      <c r="AB11" t="s">
        <v>220</v>
      </c>
      <c r="AC11" t="s">
        <v>359</v>
      </c>
      <c r="AE11" t="s">
        <v>26</v>
      </c>
      <c r="AF11" t="s">
        <v>32</v>
      </c>
      <c r="AG11">
        <v>8055</v>
      </c>
      <c r="AH11" t="s">
        <v>264</v>
      </c>
      <c r="AI11">
        <v>247783</v>
      </c>
      <c r="AJ11" t="s">
        <v>360</v>
      </c>
      <c r="AK11">
        <v>248</v>
      </c>
      <c r="AL11" t="s">
        <v>39</v>
      </c>
      <c r="AM11">
        <v>15</v>
      </c>
      <c r="AN11">
        <v>28</v>
      </c>
      <c r="AO11">
        <v>25</v>
      </c>
      <c r="AQ11">
        <v>1</v>
      </c>
      <c r="AR11" t="s">
        <v>39</v>
      </c>
      <c r="AS11" t="s">
        <v>278</v>
      </c>
      <c r="AT11" t="s">
        <v>361</v>
      </c>
      <c r="AU11" t="s">
        <v>40</v>
      </c>
      <c r="AV11" t="s">
        <v>6</v>
      </c>
      <c r="AW11" t="s">
        <v>362</v>
      </c>
      <c r="AX11">
        <v>71</v>
      </c>
      <c r="AZ11" t="s">
        <v>363</v>
      </c>
      <c r="BB11" t="s">
        <v>364</v>
      </c>
      <c r="BC11">
        <v>43989</v>
      </c>
      <c r="BD11">
        <v>0</v>
      </c>
      <c r="BE11">
        <v>248</v>
      </c>
      <c r="BF11" t="s">
        <v>266</v>
      </c>
    </row>
    <row r="12" spans="1:63" x14ac:dyDescent="0.3">
      <c r="A12">
        <v>8278</v>
      </c>
      <c r="B12">
        <v>1.68333333333333</v>
      </c>
      <c r="C12" s="16">
        <v>7.0138888888888806E-2</v>
      </c>
      <c r="D12" t="s">
        <v>283</v>
      </c>
      <c r="E12" s="109">
        <v>3</v>
      </c>
      <c r="F12" s="15">
        <v>45581.535694444399</v>
      </c>
      <c r="G12" s="15">
        <v>45580.75</v>
      </c>
      <c r="H12" s="15">
        <v>45581.535694444399</v>
      </c>
      <c r="I12" s="15">
        <v>1</v>
      </c>
      <c r="J12">
        <v>0</v>
      </c>
      <c r="K12" s="16">
        <v>0</v>
      </c>
      <c r="L12" s="8">
        <v>45581</v>
      </c>
      <c r="M12" s="15">
        <v>45581.535694444399</v>
      </c>
      <c r="O12" s="15">
        <v>1</v>
      </c>
      <c r="P12" s="15">
        <v>1</v>
      </c>
      <c r="R12" s="15">
        <v>1</v>
      </c>
      <c r="S12" s="15">
        <v>45588.472187500003</v>
      </c>
      <c r="T12" s="15">
        <v>45588.472187500003</v>
      </c>
      <c r="V12" t="s">
        <v>365</v>
      </c>
      <c r="W12" s="15">
        <v>45586</v>
      </c>
      <c r="X12" t="s">
        <v>366</v>
      </c>
      <c r="Y12" t="s">
        <v>142</v>
      </c>
      <c r="Z12" t="s">
        <v>358</v>
      </c>
      <c r="AA12" t="s">
        <v>133</v>
      </c>
      <c r="AB12" t="s">
        <v>367</v>
      </c>
      <c r="AC12" t="s">
        <v>204</v>
      </c>
      <c r="AE12" t="s">
        <v>26</v>
      </c>
      <c r="AF12" t="s">
        <v>30</v>
      </c>
      <c r="AG12">
        <v>8180</v>
      </c>
      <c r="AH12" t="s">
        <v>264</v>
      </c>
      <c r="AI12">
        <v>247795</v>
      </c>
      <c r="AJ12" t="s">
        <v>368</v>
      </c>
      <c r="AK12">
        <v>299</v>
      </c>
      <c r="AL12" t="s">
        <v>39</v>
      </c>
      <c r="AM12">
        <v>15</v>
      </c>
      <c r="AN12">
        <v>46</v>
      </c>
      <c r="AO12">
        <v>13</v>
      </c>
      <c r="AQ12">
        <v>1</v>
      </c>
      <c r="AR12" t="s">
        <v>39</v>
      </c>
      <c r="AS12" t="s">
        <v>273</v>
      </c>
      <c r="AT12" t="s">
        <v>369</v>
      </c>
      <c r="AU12" t="s">
        <v>40</v>
      </c>
      <c r="AV12" t="s">
        <v>6</v>
      </c>
      <c r="AW12" t="s">
        <v>370</v>
      </c>
      <c r="AX12">
        <v>69</v>
      </c>
      <c r="AZ12" t="s">
        <v>371</v>
      </c>
      <c r="BB12" t="s">
        <v>372</v>
      </c>
      <c r="BC12">
        <v>44011</v>
      </c>
      <c r="BD12">
        <v>0</v>
      </c>
      <c r="BE12">
        <v>299</v>
      </c>
      <c r="BF12" t="s">
        <v>266</v>
      </c>
    </row>
    <row r="13" spans="1:63" x14ac:dyDescent="0.3">
      <c r="A13">
        <v>8303</v>
      </c>
      <c r="B13">
        <v>0.58333333333333304</v>
      </c>
      <c r="C13" s="16">
        <v>2.43055555555555E-2</v>
      </c>
      <c r="D13" t="s">
        <v>210</v>
      </c>
      <c r="E13" s="109">
        <v>1</v>
      </c>
      <c r="F13" s="15">
        <v>45581.726967592498</v>
      </c>
      <c r="G13" s="15">
        <v>45580.75</v>
      </c>
      <c r="H13" s="15">
        <v>45581.726967592498</v>
      </c>
      <c r="I13" s="15">
        <v>1</v>
      </c>
      <c r="J13">
        <v>0</v>
      </c>
      <c r="K13" s="16">
        <v>0</v>
      </c>
      <c r="L13" s="8">
        <v>45581</v>
      </c>
      <c r="M13" s="15">
        <v>45581.726967592498</v>
      </c>
      <c r="O13" s="15">
        <v>1</v>
      </c>
      <c r="P13" s="15">
        <v>1</v>
      </c>
      <c r="R13" s="15">
        <v>1</v>
      </c>
      <c r="S13" s="15">
        <v>45587.727175925902</v>
      </c>
      <c r="T13" s="15">
        <v>45587.727175925902</v>
      </c>
      <c r="W13" s="15">
        <v>45586</v>
      </c>
      <c r="X13" t="s">
        <v>373</v>
      </c>
      <c r="Y13" t="s">
        <v>136</v>
      </c>
      <c r="Z13" t="s">
        <v>358</v>
      </c>
      <c r="AA13" t="s">
        <v>133</v>
      </c>
      <c r="AB13" t="s">
        <v>220</v>
      </c>
      <c r="AE13" t="s">
        <v>26</v>
      </c>
      <c r="AF13" t="s">
        <v>374</v>
      </c>
      <c r="AG13">
        <v>8205</v>
      </c>
      <c r="AH13" t="s">
        <v>264</v>
      </c>
      <c r="AI13">
        <v>247728</v>
      </c>
      <c r="AJ13" t="s">
        <v>375</v>
      </c>
      <c r="AK13">
        <v>248</v>
      </c>
      <c r="AL13" t="s">
        <v>39</v>
      </c>
      <c r="AM13">
        <v>15</v>
      </c>
      <c r="AN13">
        <v>28</v>
      </c>
      <c r="AQ13">
        <v>1</v>
      </c>
      <c r="AR13" t="s">
        <v>39</v>
      </c>
      <c r="AS13" t="s">
        <v>278</v>
      </c>
      <c r="AT13" t="s">
        <v>376</v>
      </c>
      <c r="AU13" t="s">
        <v>40</v>
      </c>
      <c r="AV13" t="s">
        <v>6</v>
      </c>
      <c r="AW13" t="s">
        <v>377</v>
      </c>
      <c r="AX13">
        <v>71</v>
      </c>
      <c r="AZ13" t="s">
        <v>378</v>
      </c>
      <c r="BB13" t="s">
        <v>379</v>
      </c>
      <c r="BC13">
        <v>43927</v>
      </c>
      <c r="BD13">
        <v>0</v>
      </c>
      <c r="BE13">
        <v>248</v>
      </c>
      <c r="BF13" t="s">
        <v>266</v>
      </c>
    </row>
    <row r="14" spans="1:63" x14ac:dyDescent="0.3">
      <c r="A14">
        <v>8303</v>
      </c>
      <c r="B14">
        <v>0.25</v>
      </c>
      <c r="C14" s="16">
        <v>1.04166666666666E-2</v>
      </c>
      <c r="D14" t="s">
        <v>210</v>
      </c>
      <c r="E14" s="109">
        <v>1</v>
      </c>
      <c r="F14" s="15">
        <v>45581.726967592498</v>
      </c>
      <c r="G14" s="15">
        <v>45580.75</v>
      </c>
      <c r="H14" s="15">
        <v>45581.726967592498</v>
      </c>
      <c r="I14" s="15">
        <v>1</v>
      </c>
      <c r="J14">
        <v>0</v>
      </c>
      <c r="K14" s="16">
        <v>0</v>
      </c>
      <c r="L14" s="8">
        <v>45581</v>
      </c>
      <c r="M14" s="15">
        <v>45581.726967592498</v>
      </c>
      <c r="O14" s="15">
        <v>1</v>
      </c>
      <c r="P14" s="15">
        <v>1</v>
      </c>
      <c r="R14" s="15">
        <v>1</v>
      </c>
      <c r="S14" s="15">
        <v>45587.727175925902</v>
      </c>
      <c r="T14" s="15">
        <v>45587.727175925902</v>
      </c>
      <c r="W14" s="15">
        <v>45586</v>
      </c>
      <c r="X14" t="s">
        <v>380</v>
      </c>
      <c r="Y14" t="s">
        <v>136</v>
      </c>
      <c r="Z14" t="s">
        <v>358</v>
      </c>
      <c r="AA14" t="s">
        <v>133</v>
      </c>
      <c r="AB14" t="s">
        <v>220</v>
      </c>
      <c r="AE14" t="s">
        <v>26</v>
      </c>
      <c r="AF14" t="s">
        <v>374</v>
      </c>
      <c r="AG14">
        <v>8205</v>
      </c>
      <c r="AH14" t="s">
        <v>264</v>
      </c>
      <c r="AI14">
        <v>247728</v>
      </c>
      <c r="AJ14" t="s">
        <v>375</v>
      </c>
      <c r="AK14">
        <v>248</v>
      </c>
      <c r="AL14" t="s">
        <v>39</v>
      </c>
      <c r="AM14">
        <v>15</v>
      </c>
      <c r="AN14">
        <v>28</v>
      </c>
      <c r="AQ14">
        <v>1</v>
      </c>
      <c r="AR14" t="s">
        <v>39</v>
      </c>
      <c r="AS14" t="s">
        <v>278</v>
      </c>
      <c r="AT14" t="s">
        <v>376</v>
      </c>
      <c r="AU14" t="s">
        <v>40</v>
      </c>
      <c r="AV14" t="s">
        <v>6</v>
      </c>
      <c r="AW14" t="s">
        <v>377</v>
      </c>
      <c r="AX14">
        <v>71</v>
      </c>
      <c r="AZ14" t="s">
        <v>378</v>
      </c>
      <c r="BB14" t="s">
        <v>379</v>
      </c>
      <c r="BC14">
        <v>43842</v>
      </c>
      <c r="BD14">
        <v>0</v>
      </c>
      <c r="BE14">
        <v>248</v>
      </c>
      <c r="BF14" t="s">
        <v>266</v>
      </c>
    </row>
    <row r="15" spans="1:63" x14ac:dyDescent="0.3">
      <c r="A15">
        <v>8364</v>
      </c>
      <c r="B15">
        <v>1.3333333333333299</v>
      </c>
      <c r="C15" s="16">
        <v>5.5555555555555497E-2</v>
      </c>
      <c r="D15" t="s">
        <v>96</v>
      </c>
      <c r="E15" s="109">
        <v>3</v>
      </c>
      <c r="F15" s="15">
        <v>45582.608865740702</v>
      </c>
      <c r="G15" s="15">
        <v>45581.75</v>
      </c>
      <c r="H15" s="15">
        <v>45582.607581018499</v>
      </c>
      <c r="I15" s="15">
        <v>45586.608888888797</v>
      </c>
      <c r="J15">
        <v>96.031388888888799</v>
      </c>
      <c r="K15" s="16">
        <v>4.0013078703703702</v>
      </c>
      <c r="L15" s="8">
        <v>45582</v>
      </c>
      <c r="M15" s="15">
        <v>45582.607581018499</v>
      </c>
      <c r="N15" t="b">
        <v>1</v>
      </c>
      <c r="O15" s="15">
        <v>45582.607581018499</v>
      </c>
      <c r="P15" s="15">
        <v>45586.608888888797</v>
      </c>
      <c r="Q15" t="b">
        <v>1</v>
      </c>
      <c r="R15" s="15">
        <v>45586.608888888797</v>
      </c>
      <c r="S15" s="15">
        <v>45587.223206018498</v>
      </c>
      <c r="T15" s="15">
        <v>45587.223206018498</v>
      </c>
      <c r="V15" t="s">
        <v>381</v>
      </c>
      <c r="W15" s="15">
        <v>45586</v>
      </c>
      <c r="X15" t="s">
        <v>24</v>
      </c>
      <c r="Y15" t="s">
        <v>138</v>
      </c>
      <c r="Z15" t="s">
        <v>135</v>
      </c>
      <c r="AA15" t="s">
        <v>133</v>
      </c>
      <c r="AB15" t="s">
        <v>220</v>
      </c>
      <c r="AE15" t="s">
        <v>26</v>
      </c>
      <c r="AF15" t="s">
        <v>37</v>
      </c>
      <c r="AG15">
        <v>8266</v>
      </c>
      <c r="AH15" t="s">
        <v>264</v>
      </c>
      <c r="AI15">
        <v>247813</v>
      </c>
      <c r="AJ15" t="s">
        <v>139</v>
      </c>
      <c r="AK15">
        <v>186</v>
      </c>
      <c r="AL15" t="s">
        <v>39</v>
      </c>
      <c r="AM15">
        <v>2</v>
      </c>
      <c r="AN15">
        <v>28</v>
      </c>
      <c r="AQ15">
        <v>1</v>
      </c>
      <c r="AR15" t="s">
        <v>39</v>
      </c>
      <c r="AS15" t="s">
        <v>272</v>
      </c>
      <c r="AT15" t="s">
        <v>382</v>
      </c>
      <c r="AU15" t="s">
        <v>40</v>
      </c>
      <c r="AV15" t="s">
        <v>6</v>
      </c>
      <c r="AW15" t="s">
        <v>383</v>
      </c>
      <c r="AX15">
        <v>72</v>
      </c>
      <c r="AY15" t="b">
        <v>1</v>
      </c>
      <c r="AZ15" t="s">
        <v>384</v>
      </c>
      <c r="BB15" t="s">
        <v>205</v>
      </c>
      <c r="BC15">
        <v>44045</v>
      </c>
      <c r="BD15">
        <v>0</v>
      </c>
      <c r="BE15">
        <v>186</v>
      </c>
      <c r="BF15" t="s">
        <v>266</v>
      </c>
    </row>
    <row r="16" spans="1:63" x14ac:dyDescent="0.3">
      <c r="A16">
        <v>8384</v>
      </c>
      <c r="B16">
        <v>0.83333333333333304</v>
      </c>
      <c r="C16" s="16">
        <v>3.4722222222222203E-2</v>
      </c>
      <c r="D16" t="s">
        <v>210</v>
      </c>
      <c r="E16" s="109">
        <v>3</v>
      </c>
      <c r="F16" s="15">
        <v>45582.712500000001</v>
      </c>
      <c r="G16" s="15">
        <v>45581.75</v>
      </c>
      <c r="H16" s="15">
        <v>45582.712175925903</v>
      </c>
      <c r="I16" s="15">
        <v>1</v>
      </c>
      <c r="J16">
        <v>7.7777777777777697E-3</v>
      </c>
      <c r="K16" s="16">
        <v>3.2407407407407401E-4</v>
      </c>
      <c r="L16" s="8">
        <v>45582</v>
      </c>
      <c r="M16" s="15">
        <v>45582.712175925903</v>
      </c>
      <c r="N16" t="b">
        <v>1</v>
      </c>
      <c r="O16" s="15">
        <v>45582.712175925903</v>
      </c>
      <c r="P16" s="15">
        <v>1</v>
      </c>
      <c r="Q16" t="b">
        <v>1</v>
      </c>
      <c r="R16" s="15">
        <v>45582.712546296199</v>
      </c>
      <c r="S16" s="15">
        <v>45589.405775462903</v>
      </c>
      <c r="T16" s="15">
        <v>45589.405775462903</v>
      </c>
      <c r="W16" s="15">
        <v>45586</v>
      </c>
      <c r="X16" t="s">
        <v>385</v>
      </c>
      <c r="Y16" t="s">
        <v>138</v>
      </c>
      <c r="Z16" t="s">
        <v>135</v>
      </c>
      <c r="AA16" t="s">
        <v>133</v>
      </c>
      <c r="AB16" t="s">
        <v>220</v>
      </c>
      <c r="AE16" t="s">
        <v>26</v>
      </c>
      <c r="AF16" t="s">
        <v>30</v>
      </c>
      <c r="AG16">
        <v>8286</v>
      </c>
      <c r="AH16" t="s">
        <v>264</v>
      </c>
      <c r="AI16">
        <v>247795</v>
      </c>
      <c r="AJ16" t="s">
        <v>368</v>
      </c>
      <c r="AK16">
        <v>186</v>
      </c>
      <c r="AL16" t="s">
        <v>39</v>
      </c>
      <c r="AM16">
        <v>2</v>
      </c>
      <c r="AN16">
        <v>28</v>
      </c>
      <c r="AQ16">
        <v>1</v>
      </c>
      <c r="AR16" t="s">
        <v>39</v>
      </c>
      <c r="AS16" t="s">
        <v>272</v>
      </c>
      <c r="AT16" t="s">
        <v>386</v>
      </c>
      <c r="AU16" t="s">
        <v>40</v>
      </c>
      <c r="AV16" t="s">
        <v>6</v>
      </c>
      <c r="AW16" t="s">
        <v>387</v>
      </c>
      <c r="AX16">
        <v>71</v>
      </c>
      <c r="AZ16" t="s">
        <v>388</v>
      </c>
      <c r="BB16" t="s">
        <v>372</v>
      </c>
      <c r="BC16">
        <v>43894</v>
      </c>
      <c r="BD16">
        <v>0</v>
      </c>
      <c r="BE16">
        <v>186</v>
      </c>
      <c r="BF16" t="s">
        <v>266</v>
      </c>
    </row>
    <row r="17" spans="1:58" x14ac:dyDescent="0.3">
      <c r="A17">
        <v>8429</v>
      </c>
      <c r="B17">
        <v>0.5</v>
      </c>
      <c r="C17" s="16">
        <v>2.0833333333333301E-2</v>
      </c>
      <c r="D17" t="s">
        <v>96</v>
      </c>
      <c r="E17" s="109">
        <v>3</v>
      </c>
      <c r="F17" s="15">
        <v>45583.404421296298</v>
      </c>
      <c r="G17" s="15">
        <v>45582.75</v>
      </c>
      <c r="H17" s="15">
        <v>45583.403310185102</v>
      </c>
      <c r="I17" s="15">
        <v>45583.404236111099</v>
      </c>
      <c r="J17">
        <v>2.2222222222222199E-2</v>
      </c>
      <c r="K17" s="16">
        <v>9.2592592592592596E-4</v>
      </c>
      <c r="L17" s="8">
        <v>45583</v>
      </c>
      <c r="M17" s="15">
        <v>45583.403310185102</v>
      </c>
      <c r="N17" t="b">
        <v>1</v>
      </c>
      <c r="O17" s="15">
        <v>45583.403310185102</v>
      </c>
      <c r="P17" s="15">
        <v>45583.404236111099</v>
      </c>
      <c r="Q17" t="b">
        <v>1</v>
      </c>
      <c r="R17" s="15">
        <v>45583.404236111099</v>
      </c>
      <c r="S17" s="15">
        <v>45586.650960648098</v>
      </c>
      <c r="T17" s="15">
        <v>45586.650960648098</v>
      </c>
      <c r="U17" t="s">
        <v>217</v>
      </c>
      <c r="V17" t="s">
        <v>306</v>
      </c>
      <c r="W17" s="15">
        <v>45586</v>
      </c>
      <c r="X17" t="s">
        <v>307</v>
      </c>
      <c r="Y17" t="s">
        <v>138</v>
      </c>
      <c r="Z17" t="s">
        <v>135</v>
      </c>
      <c r="AA17" t="s">
        <v>133</v>
      </c>
      <c r="AB17" t="s">
        <v>220</v>
      </c>
      <c r="AE17" t="s">
        <v>26</v>
      </c>
      <c r="AF17" t="s">
        <v>37</v>
      </c>
      <c r="AG17">
        <v>8331</v>
      </c>
      <c r="AH17" t="s">
        <v>264</v>
      </c>
      <c r="AI17">
        <v>247813</v>
      </c>
      <c r="AJ17" t="s">
        <v>139</v>
      </c>
      <c r="AK17">
        <v>186</v>
      </c>
      <c r="AL17" t="s">
        <v>39</v>
      </c>
      <c r="AM17">
        <v>2</v>
      </c>
      <c r="AN17">
        <v>28</v>
      </c>
      <c r="AQ17">
        <v>1</v>
      </c>
      <c r="AR17" t="s">
        <v>39</v>
      </c>
      <c r="AS17" t="s">
        <v>272</v>
      </c>
      <c r="AT17" t="s">
        <v>308</v>
      </c>
      <c r="AU17" t="s">
        <v>40</v>
      </c>
      <c r="AV17" t="s">
        <v>6</v>
      </c>
      <c r="AW17" t="s">
        <v>309</v>
      </c>
      <c r="AX17">
        <v>72</v>
      </c>
      <c r="AY17" t="b">
        <v>1</v>
      </c>
      <c r="AZ17" t="s">
        <v>389</v>
      </c>
      <c r="BA17">
        <v>2</v>
      </c>
      <c r="BB17" t="s">
        <v>205</v>
      </c>
      <c r="BC17">
        <v>43956</v>
      </c>
      <c r="BD17">
        <v>0</v>
      </c>
      <c r="BE17">
        <v>186</v>
      </c>
      <c r="BF17" t="s">
        <v>266</v>
      </c>
    </row>
    <row r="18" spans="1:58" x14ac:dyDescent="0.3">
      <c r="A18">
        <v>8456</v>
      </c>
      <c r="B18">
        <v>0.133333333333333</v>
      </c>
      <c r="C18" s="16">
        <v>5.5555555555555497E-3</v>
      </c>
      <c r="D18" t="s">
        <v>137</v>
      </c>
      <c r="E18" s="109">
        <v>1</v>
      </c>
      <c r="F18" s="15">
        <v>45583.599305555501</v>
      </c>
      <c r="G18" s="15">
        <v>45582.75</v>
      </c>
      <c r="H18" s="15">
        <v>45583.599305555501</v>
      </c>
      <c r="I18" s="15">
        <v>1</v>
      </c>
      <c r="J18">
        <v>0</v>
      </c>
      <c r="K18" s="16">
        <v>0</v>
      </c>
      <c r="L18" s="8">
        <v>45583</v>
      </c>
      <c r="M18" s="15">
        <v>45583.599305555501</v>
      </c>
      <c r="O18" s="15">
        <v>1</v>
      </c>
      <c r="P18" s="15">
        <v>1</v>
      </c>
      <c r="R18" s="15">
        <v>1</v>
      </c>
      <c r="S18" s="15">
        <v>45589.396782407399</v>
      </c>
      <c r="T18" s="15">
        <v>45589.396782407399</v>
      </c>
      <c r="W18" s="15">
        <v>45586</v>
      </c>
      <c r="X18" t="s">
        <v>390</v>
      </c>
      <c r="Y18" t="s">
        <v>136</v>
      </c>
      <c r="Z18" t="s">
        <v>216</v>
      </c>
      <c r="AA18" t="s">
        <v>293</v>
      </c>
      <c r="AB18" t="s">
        <v>220</v>
      </c>
      <c r="AE18" t="s">
        <v>26</v>
      </c>
      <c r="AF18" t="s">
        <v>274</v>
      </c>
      <c r="AG18">
        <v>8358</v>
      </c>
      <c r="AH18" t="s">
        <v>264</v>
      </c>
      <c r="AI18">
        <v>247331</v>
      </c>
      <c r="AJ18" t="s">
        <v>285</v>
      </c>
      <c r="AK18">
        <v>248</v>
      </c>
      <c r="AL18" t="s">
        <v>39</v>
      </c>
      <c r="AM18">
        <v>1</v>
      </c>
      <c r="AN18">
        <v>28</v>
      </c>
      <c r="AQ18">
        <v>1</v>
      </c>
      <c r="AR18" t="s">
        <v>39</v>
      </c>
      <c r="AS18" t="s">
        <v>278</v>
      </c>
      <c r="AT18" t="s">
        <v>311</v>
      </c>
      <c r="AU18" t="s">
        <v>40</v>
      </c>
      <c r="AV18" t="s">
        <v>6</v>
      </c>
      <c r="AW18" t="s">
        <v>312</v>
      </c>
      <c r="AX18">
        <v>70</v>
      </c>
      <c r="AZ18" t="s">
        <v>391</v>
      </c>
      <c r="BB18" t="s">
        <v>286</v>
      </c>
      <c r="BC18">
        <v>43841</v>
      </c>
      <c r="BD18">
        <v>0</v>
      </c>
      <c r="BE18">
        <v>248</v>
      </c>
      <c r="BF18" t="s">
        <v>266</v>
      </c>
    </row>
    <row r="19" spans="1:58" x14ac:dyDescent="0.3">
      <c r="A19">
        <v>8507</v>
      </c>
      <c r="B19">
        <v>0.41666666666666602</v>
      </c>
      <c r="C19" s="16">
        <v>1.7361111111111101E-2</v>
      </c>
      <c r="D19" t="s">
        <v>96</v>
      </c>
      <c r="E19" s="109">
        <v>0</v>
      </c>
      <c r="F19" s="15">
        <v>45586.312430555503</v>
      </c>
      <c r="G19" s="15">
        <v>45585.75</v>
      </c>
      <c r="H19" s="15">
        <v>45586.312430555503</v>
      </c>
      <c r="I19" s="15">
        <v>45586.329895833303</v>
      </c>
      <c r="J19">
        <v>0.41916666666666602</v>
      </c>
      <c r="K19" s="16">
        <v>1.7465277777777701E-2</v>
      </c>
      <c r="L19" s="8">
        <v>45586</v>
      </c>
      <c r="M19" s="15">
        <v>45586.312430555503</v>
      </c>
      <c r="O19" s="15">
        <v>1</v>
      </c>
      <c r="P19" s="15">
        <v>45586.329895833303</v>
      </c>
      <c r="R19" s="15">
        <v>1</v>
      </c>
      <c r="S19" s="15">
        <v>45586.329895833303</v>
      </c>
      <c r="T19" s="15">
        <v>45586.329895833303</v>
      </c>
      <c r="W19" s="15">
        <v>45586</v>
      </c>
      <c r="X19" t="s">
        <v>24</v>
      </c>
      <c r="Y19" t="s">
        <v>147</v>
      </c>
      <c r="Z19" t="s">
        <v>145</v>
      </c>
      <c r="AA19" t="s">
        <v>133</v>
      </c>
      <c r="AB19" t="s">
        <v>27</v>
      </c>
      <c r="AE19" t="s">
        <v>26</v>
      </c>
      <c r="AF19" t="s">
        <v>30</v>
      </c>
      <c r="AG19">
        <v>8409</v>
      </c>
      <c r="AH19" t="s">
        <v>264</v>
      </c>
      <c r="AI19">
        <v>247342</v>
      </c>
      <c r="AJ19" t="s">
        <v>299</v>
      </c>
      <c r="AK19">
        <v>446</v>
      </c>
      <c r="AL19" t="s">
        <v>39</v>
      </c>
      <c r="AM19">
        <v>11</v>
      </c>
      <c r="AN19">
        <v>5</v>
      </c>
      <c r="AQ19">
        <v>1</v>
      </c>
      <c r="AR19" t="s">
        <v>39</v>
      </c>
      <c r="AS19" t="s">
        <v>268</v>
      </c>
      <c r="AU19" t="s">
        <v>40</v>
      </c>
      <c r="AV19" t="s">
        <v>6</v>
      </c>
      <c r="AW19" t="s">
        <v>392</v>
      </c>
      <c r="AX19">
        <v>72</v>
      </c>
      <c r="AY19" t="b">
        <v>1</v>
      </c>
      <c r="AZ19" t="s">
        <v>393</v>
      </c>
      <c r="BB19" t="s">
        <v>300</v>
      </c>
      <c r="BC19">
        <v>43815</v>
      </c>
      <c r="BD19">
        <v>0</v>
      </c>
      <c r="BE19">
        <v>446</v>
      </c>
      <c r="BF19" t="s">
        <v>266</v>
      </c>
    </row>
    <row r="20" spans="1:58" x14ac:dyDescent="0.3">
      <c r="A20">
        <v>8508</v>
      </c>
      <c r="B20">
        <v>0.75</v>
      </c>
      <c r="C20" s="16">
        <v>3.125E-2</v>
      </c>
      <c r="D20" t="s">
        <v>96</v>
      </c>
      <c r="E20" s="109">
        <v>0</v>
      </c>
      <c r="F20" s="15">
        <v>45586.329583333303</v>
      </c>
      <c r="G20" s="15">
        <v>45585.75</v>
      </c>
      <c r="H20" s="15">
        <v>45586.329583333303</v>
      </c>
      <c r="I20" s="15">
        <v>45586.366608796299</v>
      </c>
      <c r="J20">
        <v>0.88861111111111102</v>
      </c>
      <c r="K20" s="16">
        <v>3.7025462962962899E-2</v>
      </c>
      <c r="L20" s="8">
        <v>45586</v>
      </c>
      <c r="M20" s="15">
        <v>45586.329583333303</v>
      </c>
      <c r="O20" s="15">
        <v>1</v>
      </c>
      <c r="P20" s="15">
        <v>45586.366608796299</v>
      </c>
      <c r="R20" s="15">
        <v>1</v>
      </c>
      <c r="S20" s="15">
        <v>45586.366608796299</v>
      </c>
      <c r="T20" s="15">
        <v>45586.366608796299</v>
      </c>
      <c r="W20" s="15">
        <v>45586</v>
      </c>
      <c r="X20" t="s">
        <v>24</v>
      </c>
      <c r="Y20" t="s">
        <v>147</v>
      </c>
      <c r="Z20" t="s">
        <v>145</v>
      </c>
      <c r="AA20" t="s">
        <v>133</v>
      </c>
      <c r="AB20" t="s">
        <v>27</v>
      </c>
      <c r="AG20">
        <v>8410</v>
      </c>
      <c r="AH20" t="s">
        <v>264</v>
      </c>
      <c r="AI20">
        <v>254948</v>
      </c>
      <c r="AJ20" t="s">
        <v>394</v>
      </c>
      <c r="AK20">
        <v>446</v>
      </c>
      <c r="AL20" t="s">
        <v>39</v>
      </c>
      <c r="AM20">
        <v>11</v>
      </c>
      <c r="AN20">
        <v>5</v>
      </c>
      <c r="AQ20">
        <v>1</v>
      </c>
      <c r="AR20" t="s">
        <v>39</v>
      </c>
      <c r="AS20" t="s">
        <v>268</v>
      </c>
      <c r="AU20" t="s">
        <v>40</v>
      </c>
      <c r="AV20" t="s">
        <v>6</v>
      </c>
      <c r="AW20" t="s">
        <v>395</v>
      </c>
      <c r="AX20">
        <v>72</v>
      </c>
      <c r="AY20" t="b">
        <v>1</v>
      </c>
      <c r="AZ20" t="s">
        <v>396</v>
      </c>
      <c r="BB20" t="s">
        <v>397</v>
      </c>
      <c r="BC20">
        <v>43828</v>
      </c>
      <c r="BD20">
        <v>0</v>
      </c>
      <c r="BE20">
        <v>446</v>
      </c>
      <c r="BF20" t="s">
        <v>266</v>
      </c>
    </row>
    <row r="21" spans="1:58" x14ac:dyDescent="0.3">
      <c r="A21">
        <v>8509</v>
      </c>
      <c r="B21">
        <v>0.5</v>
      </c>
      <c r="C21" s="16">
        <v>2.0833333333333301E-2</v>
      </c>
      <c r="D21" t="s">
        <v>137</v>
      </c>
      <c r="E21" s="109">
        <v>2</v>
      </c>
      <c r="F21" s="15">
        <v>45586.355844907397</v>
      </c>
      <c r="G21" s="15">
        <v>45585.75</v>
      </c>
      <c r="H21" s="15">
        <v>45586.355844907397</v>
      </c>
      <c r="I21" s="15">
        <v>1</v>
      </c>
      <c r="J21">
        <v>0</v>
      </c>
      <c r="K21" s="16">
        <v>0</v>
      </c>
      <c r="L21" s="8">
        <v>45586</v>
      </c>
      <c r="M21" s="15">
        <v>45586.355844907397</v>
      </c>
      <c r="O21" s="15">
        <v>1</v>
      </c>
      <c r="P21" s="15">
        <v>1</v>
      </c>
      <c r="R21" s="15">
        <v>1</v>
      </c>
      <c r="S21" s="15">
        <v>45586.360752314802</v>
      </c>
      <c r="T21" s="15">
        <v>45586.360752314802</v>
      </c>
      <c r="W21" s="15">
        <v>45586</v>
      </c>
      <c r="X21" t="s">
        <v>398</v>
      </c>
      <c r="Y21" t="s">
        <v>134</v>
      </c>
      <c r="Z21" t="s">
        <v>135</v>
      </c>
      <c r="AA21" t="s">
        <v>131</v>
      </c>
      <c r="AB21" t="s">
        <v>259</v>
      </c>
      <c r="AE21" t="s">
        <v>26</v>
      </c>
      <c r="AF21" t="s">
        <v>399</v>
      </c>
      <c r="AG21">
        <v>8411</v>
      </c>
      <c r="AH21" t="s">
        <v>264</v>
      </c>
      <c r="AI21">
        <v>247574</v>
      </c>
      <c r="AJ21" t="s">
        <v>400</v>
      </c>
      <c r="AK21">
        <v>2766</v>
      </c>
      <c r="AL21" t="s">
        <v>39</v>
      </c>
      <c r="AM21">
        <v>2</v>
      </c>
      <c r="AN21">
        <v>26</v>
      </c>
      <c r="AQ21">
        <v>1</v>
      </c>
      <c r="AR21" t="s">
        <v>39</v>
      </c>
      <c r="AS21" t="s">
        <v>270</v>
      </c>
      <c r="AU21" t="s">
        <v>40</v>
      </c>
      <c r="AV21" t="s">
        <v>6</v>
      </c>
      <c r="AW21" t="s">
        <v>401</v>
      </c>
      <c r="AX21">
        <v>70</v>
      </c>
      <c r="AZ21" t="s">
        <v>402</v>
      </c>
      <c r="BB21" t="s">
        <v>403</v>
      </c>
      <c r="BC21">
        <v>43822</v>
      </c>
      <c r="BD21">
        <v>0</v>
      </c>
      <c r="BE21">
        <v>2766</v>
      </c>
      <c r="BF21" t="s">
        <v>266</v>
      </c>
    </row>
    <row r="22" spans="1:58" x14ac:dyDescent="0.3">
      <c r="A22">
        <v>8510</v>
      </c>
      <c r="B22">
        <v>0.233333333333333</v>
      </c>
      <c r="C22" s="16">
        <v>9.7222222222222206E-3</v>
      </c>
      <c r="D22" t="s">
        <v>96</v>
      </c>
      <c r="E22" s="109">
        <v>1</v>
      </c>
      <c r="F22" s="15">
        <v>45586.3565856481</v>
      </c>
      <c r="G22" s="15">
        <v>45585.75</v>
      </c>
      <c r="H22" s="15">
        <v>45586.3565856481</v>
      </c>
      <c r="I22" s="15">
        <v>45586.390960648103</v>
      </c>
      <c r="J22">
        <v>0.82499999999999996</v>
      </c>
      <c r="K22" s="16">
        <v>3.4375000000000003E-2</v>
      </c>
      <c r="L22" s="8">
        <v>45586</v>
      </c>
      <c r="M22" s="15">
        <v>45586.3565856481</v>
      </c>
      <c r="O22" s="15">
        <v>1</v>
      </c>
      <c r="P22" s="15">
        <v>45586.390960648103</v>
      </c>
      <c r="R22" s="15">
        <v>1</v>
      </c>
      <c r="S22" s="15">
        <v>45586.390960648103</v>
      </c>
      <c r="T22" s="15">
        <v>45586.390960648103</v>
      </c>
      <c r="U22" t="s">
        <v>217</v>
      </c>
      <c r="W22" s="15">
        <v>45586</v>
      </c>
      <c r="X22" t="s">
        <v>404</v>
      </c>
      <c r="Y22" t="s">
        <v>136</v>
      </c>
      <c r="Z22" t="s">
        <v>140</v>
      </c>
      <c r="AA22" t="s">
        <v>293</v>
      </c>
      <c r="AB22" t="s">
        <v>405</v>
      </c>
      <c r="AE22" t="s">
        <v>26</v>
      </c>
      <c r="AF22" t="s">
        <v>37</v>
      </c>
      <c r="AG22">
        <v>8412</v>
      </c>
      <c r="AH22" t="s">
        <v>264</v>
      </c>
      <c r="AI22">
        <v>247813</v>
      </c>
      <c r="AJ22" t="s">
        <v>139</v>
      </c>
      <c r="AK22">
        <v>248</v>
      </c>
      <c r="AL22" t="s">
        <v>39</v>
      </c>
      <c r="AM22">
        <v>3</v>
      </c>
      <c r="AN22">
        <v>27</v>
      </c>
      <c r="AQ22">
        <v>1</v>
      </c>
      <c r="AR22" t="s">
        <v>39</v>
      </c>
      <c r="AS22" t="s">
        <v>278</v>
      </c>
      <c r="AT22" t="s">
        <v>406</v>
      </c>
      <c r="AU22" t="s">
        <v>40</v>
      </c>
      <c r="AV22" t="s">
        <v>6</v>
      </c>
      <c r="AW22" t="s">
        <v>404</v>
      </c>
      <c r="AX22">
        <v>72</v>
      </c>
      <c r="AY22" t="b">
        <v>1</v>
      </c>
      <c r="AZ22" t="s">
        <v>407</v>
      </c>
      <c r="BA22">
        <v>2</v>
      </c>
      <c r="BB22" t="s">
        <v>205</v>
      </c>
      <c r="BC22">
        <v>43823</v>
      </c>
      <c r="BD22">
        <v>0</v>
      </c>
      <c r="BE22">
        <v>248</v>
      </c>
      <c r="BF22" t="s">
        <v>266</v>
      </c>
    </row>
    <row r="23" spans="1:58" x14ac:dyDescent="0.3">
      <c r="A23">
        <v>8511</v>
      </c>
      <c r="B23">
        <v>0.63333333333333297</v>
      </c>
      <c r="C23" s="16">
        <v>2.6388888888888799E-2</v>
      </c>
      <c r="D23" t="s">
        <v>96</v>
      </c>
      <c r="E23" s="109">
        <v>1</v>
      </c>
      <c r="F23" s="15">
        <v>45586.3578935185</v>
      </c>
      <c r="G23" s="15">
        <v>45585.75</v>
      </c>
      <c r="H23" s="15">
        <v>45586.3578935185</v>
      </c>
      <c r="I23" s="15">
        <v>45586.609351851803</v>
      </c>
      <c r="J23">
        <v>6.0350000000000001</v>
      </c>
      <c r="K23" s="16">
        <v>0.25145833333333301</v>
      </c>
      <c r="L23" s="8">
        <v>45586</v>
      </c>
      <c r="M23" s="15">
        <v>45586.3578935185</v>
      </c>
      <c r="O23" s="15">
        <v>1</v>
      </c>
      <c r="P23" s="15">
        <v>45586.609351851803</v>
      </c>
      <c r="R23" s="15">
        <v>1</v>
      </c>
      <c r="S23" s="15">
        <v>45586.609351851803</v>
      </c>
      <c r="T23" s="15">
        <v>45586.609351851803</v>
      </c>
      <c r="U23" t="s">
        <v>217</v>
      </c>
      <c r="W23" s="15">
        <v>45586</v>
      </c>
      <c r="X23" t="s">
        <v>408</v>
      </c>
      <c r="Y23" t="s">
        <v>136</v>
      </c>
      <c r="Z23" t="s">
        <v>140</v>
      </c>
      <c r="AA23" t="s">
        <v>293</v>
      </c>
      <c r="AB23" t="s">
        <v>223</v>
      </c>
      <c r="AE23" t="s">
        <v>26</v>
      </c>
      <c r="AF23" t="s">
        <v>37</v>
      </c>
      <c r="AG23">
        <v>8413</v>
      </c>
      <c r="AH23" t="s">
        <v>264</v>
      </c>
      <c r="AI23">
        <v>247813</v>
      </c>
      <c r="AJ23" t="s">
        <v>139</v>
      </c>
      <c r="AK23">
        <v>248</v>
      </c>
      <c r="AL23" t="s">
        <v>39</v>
      </c>
      <c r="AM23">
        <v>3</v>
      </c>
      <c r="AN23">
        <v>25</v>
      </c>
      <c r="AQ23">
        <v>1</v>
      </c>
      <c r="AR23" t="s">
        <v>39</v>
      </c>
      <c r="AS23" t="s">
        <v>278</v>
      </c>
      <c r="AT23" t="s">
        <v>301</v>
      </c>
      <c r="AU23" t="s">
        <v>40</v>
      </c>
      <c r="AV23" t="s">
        <v>6</v>
      </c>
      <c r="AW23" t="s">
        <v>302</v>
      </c>
      <c r="AX23">
        <v>72</v>
      </c>
      <c r="AY23" t="b">
        <v>1</v>
      </c>
      <c r="AZ23" t="s">
        <v>409</v>
      </c>
      <c r="BA23">
        <v>2</v>
      </c>
      <c r="BB23" t="s">
        <v>205</v>
      </c>
      <c r="BC23">
        <v>43838</v>
      </c>
      <c r="BD23">
        <v>0</v>
      </c>
      <c r="BE23">
        <v>248</v>
      </c>
      <c r="BF23" t="s">
        <v>266</v>
      </c>
    </row>
    <row r="24" spans="1:58" x14ac:dyDescent="0.3">
      <c r="A24">
        <v>8511</v>
      </c>
      <c r="B24">
        <v>0.46666666666666601</v>
      </c>
      <c r="C24" s="16">
        <v>1.94444444444444E-2</v>
      </c>
      <c r="D24" t="s">
        <v>96</v>
      </c>
      <c r="E24" s="109">
        <v>1</v>
      </c>
      <c r="F24" s="15">
        <v>45586.3578935185</v>
      </c>
      <c r="G24" s="15">
        <v>45585.75</v>
      </c>
      <c r="H24" s="15">
        <v>45586.3578935185</v>
      </c>
      <c r="I24" s="15">
        <v>45586.609351851803</v>
      </c>
      <c r="J24">
        <v>6.0350000000000001</v>
      </c>
      <c r="K24" s="16">
        <v>0.25145833333333301</v>
      </c>
      <c r="L24" s="8">
        <v>45586</v>
      </c>
      <c r="M24" s="15">
        <v>45586.3578935185</v>
      </c>
      <c r="O24" s="15">
        <v>1</v>
      </c>
      <c r="P24" s="15">
        <v>45586.609351851803</v>
      </c>
      <c r="R24" s="15">
        <v>1</v>
      </c>
      <c r="S24" s="15">
        <v>45586.609351851803</v>
      </c>
      <c r="T24" s="15">
        <v>45586.609351851803</v>
      </c>
      <c r="U24" t="s">
        <v>217</v>
      </c>
      <c r="W24" s="15">
        <v>45586</v>
      </c>
      <c r="X24" t="s">
        <v>410</v>
      </c>
      <c r="Y24" t="s">
        <v>136</v>
      </c>
      <c r="Z24" t="s">
        <v>140</v>
      </c>
      <c r="AA24" t="s">
        <v>293</v>
      </c>
      <c r="AB24" t="s">
        <v>223</v>
      </c>
      <c r="AE24" t="s">
        <v>26</v>
      </c>
      <c r="AF24" t="s">
        <v>37</v>
      </c>
      <c r="AG24">
        <v>8413</v>
      </c>
      <c r="AH24" t="s">
        <v>264</v>
      </c>
      <c r="AI24">
        <v>247813</v>
      </c>
      <c r="AJ24" t="s">
        <v>139</v>
      </c>
      <c r="AK24">
        <v>248</v>
      </c>
      <c r="AL24" t="s">
        <v>39</v>
      </c>
      <c r="AM24">
        <v>3</v>
      </c>
      <c r="AN24">
        <v>25</v>
      </c>
      <c r="AQ24">
        <v>1</v>
      </c>
      <c r="AR24" t="s">
        <v>39</v>
      </c>
      <c r="AS24" t="s">
        <v>278</v>
      </c>
      <c r="AT24" t="s">
        <v>301</v>
      </c>
      <c r="AU24" t="s">
        <v>40</v>
      </c>
      <c r="AV24" t="s">
        <v>6</v>
      </c>
      <c r="AW24" t="s">
        <v>302</v>
      </c>
      <c r="AX24">
        <v>72</v>
      </c>
      <c r="AY24" t="b">
        <v>1</v>
      </c>
      <c r="AZ24" t="s">
        <v>409</v>
      </c>
      <c r="BA24">
        <v>2</v>
      </c>
      <c r="BB24" t="s">
        <v>205</v>
      </c>
      <c r="BC24">
        <v>43825</v>
      </c>
      <c r="BD24">
        <v>0</v>
      </c>
      <c r="BE24">
        <v>248</v>
      </c>
      <c r="BF24" t="s">
        <v>266</v>
      </c>
    </row>
    <row r="25" spans="1:58" x14ac:dyDescent="0.3">
      <c r="A25">
        <v>8511</v>
      </c>
      <c r="B25">
        <v>0.66666666666666596</v>
      </c>
      <c r="C25" s="16">
        <v>2.77777777777777E-2</v>
      </c>
      <c r="D25" t="s">
        <v>96</v>
      </c>
      <c r="E25" s="109">
        <v>1</v>
      </c>
      <c r="F25" s="15">
        <v>45586.3578935185</v>
      </c>
      <c r="G25" s="15">
        <v>45585.75</v>
      </c>
      <c r="H25" s="15">
        <v>45586.3578935185</v>
      </c>
      <c r="I25" s="15">
        <v>45586.609351851803</v>
      </c>
      <c r="J25">
        <v>6.0350000000000001</v>
      </c>
      <c r="K25" s="16">
        <v>0.25145833333333301</v>
      </c>
      <c r="L25" s="8">
        <v>45586</v>
      </c>
      <c r="M25" s="15">
        <v>45586.3578935185</v>
      </c>
      <c r="O25" s="15">
        <v>1</v>
      </c>
      <c r="P25" s="15">
        <v>45586.609351851803</v>
      </c>
      <c r="R25" s="15">
        <v>1</v>
      </c>
      <c r="S25" s="15">
        <v>45586.609351851803</v>
      </c>
      <c r="T25" s="15">
        <v>45586.609351851803</v>
      </c>
      <c r="U25" t="s">
        <v>217</v>
      </c>
      <c r="W25" s="15">
        <v>45586</v>
      </c>
      <c r="X25" t="s">
        <v>302</v>
      </c>
      <c r="Y25" t="s">
        <v>136</v>
      </c>
      <c r="Z25" t="s">
        <v>140</v>
      </c>
      <c r="AA25" t="s">
        <v>293</v>
      </c>
      <c r="AB25" t="s">
        <v>223</v>
      </c>
      <c r="AE25" t="s">
        <v>26</v>
      </c>
      <c r="AF25" t="s">
        <v>37</v>
      </c>
      <c r="AG25">
        <v>8413</v>
      </c>
      <c r="AH25" t="s">
        <v>264</v>
      </c>
      <c r="AI25">
        <v>247813</v>
      </c>
      <c r="AJ25" t="s">
        <v>139</v>
      </c>
      <c r="AK25">
        <v>248</v>
      </c>
      <c r="AL25" t="s">
        <v>39</v>
      </c>
      <c r="AM25">
        <v>3</v>
      </c>
      <c r="AN25">
        <v>25</v>
      </c>
      <c r="AQ25">
        <v>1</v>
      </c>
      <c r="AR25" t="s">
        <v>39</v>
      </c>
      <c r="AS25" t="s">
        <v>278</v>
      </c>
      <c r="AT25" t="s">
        <v>301</v>
      </c>
      <c r="AU25" t="s">
        <v>40</v>
      </c>
      <c r="AV25" t="s">
        <v>6</v>
      </c>
      <c r="AW25" t="s">
        <v>302</v>
      </c>
      <c r="AX25">
        <v>72</v>
      </c>
      <c r="AY25" t="b">
        <v>1</v>
      </c>
      <c r="AZ25" t="s">
        <v>409</v>
      </c>
      <c r="BA25">
        <v>2</v>
      </c>
      <c r="BB25" t="s">
        <v>205</v>
      </c>
      <c r="BC25">
        <v>43824</v>
      </c>
      <c r="BD25">
        <v>0</v>
      </c>
      <c r="BE25">
        <v>248</v>
      </c>
      <c r="BF25" t="s">
        <v>266</v>
      </c>
    </row>
    <row r="26" spans="1:58" x14ac:dyDescent="0.3">
      <c r="A26">
        <v>8512</v>
      </c>
      <c r="B26">
        <v>1.1666666666666601</v>
      </c>
      <c r="C26" s="16">
        <v>4.8611111111111098E-2</v>
      </c>
      <c r="D26" t="s">
        <v>96</v>
      </c>
      <c r="E26" s="109">
        <v>0</v>
      </c>
      <c r="F26" s="15">
        <v>45586.366400462903</v>
      </c>
      <c r="G26" s="15">
        <v>45585.75</v>
      </c>
      <c r="H26" s="15">
        <v>45586.366400462903</v>
      </c>
      <c r="I26" s="15">
        <v>45586.415335648097</v>
      </c>
      <c r="J26">
        <v>1.17444444444444</v>
      </c>
      <c r="K26" s="16">
        <v>4.8935185185185102E-2</v>
      </c>
      <c r="L26" s="8">
        <v>45586</v>
      </c>
      <c r="M26" s="15">
        <v>45586.366400462903</v>
      </c>
      <c r="O26" s="15">
        <v>1</v>
      </c>
      <c r="P26" s="15">
        <v>45586.415335648097</v>
      </c>
      <c r="R26" s="15">
        <v>1</v>
      </c>
      <c r="S26" s="15">
        <v>45586.415335648097</v>
      </c>
      <c r="T26" s="15">
        <v>45586.415335648097</v>
      </c>
      <c r="W26" s="15">
        <v>45586</v>
      </c>
      <c r="X26" t="s">
        <v>24</v>
      </c>
      <c r="Y26" t="s">
        <v>147</v>
      </c>
      <c r="Z26" t="s">
        <v>145</v>
      </c>
      <c r="AA26" t="s">
        <v>133</v>
      </c>
      <c r="AB26" t="s">
        <v>411</v>
      </c>
      <c r="AE26" t="s">
        <v>26</v>
      </c>
      <c r="AF26" t="s">
        <v>412</v>
      </c>
      <c r="AG26">
        <v>8414</v>
      </c>
      <c r="AH26" t="s">
        <v>264</v>
      </c>
      <c r="AI26">
        <v>247533</v>
      </c>
      <c r="AJ26" t="s">
        <v>413</v>
      </c>
      <c r="AK26">
        <v>446</v>
      </c>
      <c r="AL26" t="s">
        <v>39</v>
      </c>
      <c r="AM26">
        <v>11</v>
      </c>
      <c r="AN26">
        <v>44</v>
      </c>
      <c r="AQ26">
        <v>1</v>
      </c>
      <c r="AR26" t="s">
        <v>39</v>
      </c>
      <c r="AS26" t="s">
        <v>268</v>
      </c>
      <c r="AU26" t="s">
        <v>40</v>
      </c>
      <c r="AV26" t="s">
        <v>6</v>
      </c>
      <c r="AW26" t="s">
        <v>414</v>
      </c>
      <c r="AX26">
        <v>72</v>
      </c>
      <c r="AY26" t="b">
        <v>1</v>
      </c>
      <c r="AZ26" t="s">
        <v>415</v>
      </c>
      <c r="BB26" t="s">
        <v>416</v>
      </c>
      <c r="BC26">
        <v>43865</v>
      </c>
      <c r="BD26">
        <v>0</v>
      </c>
      <c r="BE26">
        <v>446</v>
      </c>
      <c r="BF26" t="s">
        <v>266</v>
      </c>
    </row>
    <row r="27" spans="1:58" x14ac:dyDescent="0.3">
      <c r="A27">
        <v>8513</v>
      </c>
      <c r="B27">
        <v>0.16666666666666599</v>
      </c>
      <c r="C27" s="16">
        <v>6.9444444444444397E-3</v>
      </c>
      <c r="D27" t="s">
        <v>96</v>
      </c>
      <c r="E27" s="109">
        <v>2</v>
      </c>
      <c r="F27" s="15">
        <v>45586.369768518503</v>
      </c>
      <c r="G27" s="15">
        <v>45585.75</v>
      </c>
      <c r="H27" s="15">
        <v>45586.369768518503</v>
      </c>
      <c r="I27" s="15">
        <v>45586.379409722198</v>
      </c>
      <c r="J27">
        <v>0.23138888888888801</v>
      </c>
      <c r="K27" s="16">
        <v>9.6412037037037004E-3</v>
      </c>
      <c r="L27" s="8">
        <v>45586</v>
      </c>
      <c r="M27" s="15">
        <v>45586.369768518503</v>
      </c>
      <c r="O27" s="15">
        <v>1</v>
      </c>
      <c r="P27" s="15">
        <v>45586.379409722198</v>
      </c>
      <c r="R27" s="15">
        <v>1</v>
      </c>
      <c r="S27" s="15">
        <v>45586.379537036999</v>
      </c>
      <c r="T27" s="15">
        <v>45586.379537036999</v>
      </c>
      <c r="W27" s="15">
        <v>45586</v>
      </c>
      <c r="X27" t="s">
        <v>417</v>
      </c>
      <c r="Y27" t="s">
        <v>134</v>
      </c>
      <c r="Z27" t="s">
        <v>216</v>
      </c>
      <c r="AA27" t="s">
        <v>131</v>
      </c>
      <c r="AB27" t="s">
        <v>257</v>
      </c>
      <c r="AE27" t="s">
        <v>26</v>
      </c>
      <c r="AF27" t="s">
        <v>32</v>
      </c>
      <c r="AG27">
        <v>8415</v>
      </c>
      <c r="AH27" t="s">
        <v>264</v>
      </c>
      <c r="AI27">
        <v>247720</v>
      </c>
      <c r="AJ27" t="s">
        <v>418</v>
      </c>
      <c r="AK27">
        <v>2766</v>
      </c>
      <c r="AL27" t="s">
        <v>39</v>
      </c>
      <c r="AM27">
        <v>1</v>
      </c>
      <c r="AN27">
        <v>21</v>
      </c>
      <c r="AQ27">
        <v>1</v>
      </c>
      <c r="AR27" t="s">
        <v>39</v>
      </c>
      <c r="AS27" t="s">
        <v>270</v>
      </c>
      <c r="AU27" t="s">
        <v>40</v>
      </c>
      <c r="AV27" t="s">
        <v>6</v>
      </c>
      <c r="AW27" t="s">
        <v>419</v>
      </c>
      <c r="AX27">
        <v>72</v>
      </c>
      <c r="AY27" t="b">
        <v>1</v>
      </c>
      <c r="AZ27" t="s">
        <v>420</v>
      </c>
      <c r="BB27" t="s">
        <v>421</v>
      </c>
      <c r="BC27">
        <v>43829</v>
      </c>
      <c r="BD27">
        <v>0</v>
      </c>
      <c r="BE27">
        <v>2766</v>
      </c>
      <c r="BF27" t="s">
        <v>266</v>
      </c>
    </row>
    <row r="28" spans="1:58" x14ac:dyDescent="0.3">
      <c r="A28">
        <v>8514</v>
      </c>
      <c r="B28">
        <v>0.5</v>
      </c>
      <c r="C28" s="16">
        <v>2.0833333333333301E-2</v>
      </c>
      <c r="D28" t="s">
        <v>210</v>
      </c>
      <c r="E28" s="109">
        <v>1</v>
      </c>
      <c r="F28" s="15">
        <v>45586.377048611103</v>
      </c>
      <c r="G28" s="15">
        <v>45585.75</v>
      </c>
      <c r="H28" s="15">
        <v>45586.377048611103</v>
      </c>
      <c r="I28" s="15">
        <v>1</v>
      </c>
      <c r="J28">
        <v>0</v>
      </c>
      <c r="K28" s="16">
        <v>0</v>
      </c>
      <c r="L28" s="8">
        <v>45586</v>
      </c>
      <c r="M28" s="15">
        <v>45586.377048611103</v>
      </c>
      <c r="O28" s="15">
        <v>1</v>
      </c>
      <c r="P28" s="15">
        <v>1</v>
      </c>
      <c r="R28" s="15">
        <v>1</v>
      </c>
      <c r="S28" s="15">
        <v>45586.473425925898</v>
      </c>
      <c r="T28" s="15">
        <v>45586.473425925898</v>
      </c>
      <c r="W28" s="15">
        <v>45586</v>
      </c>
      <c r="X28" t="s">
        <v>422</v>
      </c>
      <c r="Y28" t="s">
        <v>171</v>
      </c>
      <c r="Z28" t="s">
        <v>216</v>
      </c>
      <c r="AA28" t="s">
        <v>133</v>
      </c>
      <c r="AB28" t="s">
        <v>219</v>
      </c>
      <c r="AE28" t="s">
        <v>26</v>
      </c>
      <c r="AF28" t="s">
        <v>37</v>
      </c>
      <c r="AG28">
        <v>8416</v>
      </c>
      <c r="AH28" t="s">
        <v>264</v>
      </c>
      <c r="AI28">
        <v>247813</v>
      </c>
      <c r="AJ28" t="s">
        <v>139</v>
      </c>
      <c r="AK28">
        <v>314</v>
      </c>
      <c r="AL28" t="s">
        <v>39</v>
      </c>
      <c r="AM28">
        <v>1</v>
      </c>
      <c r="AN28">
        <v>20</v>
      </c>
      <c r="AQ28">
        <v>1</v>
      </c>
      <c r="AR28" t="s">
        <v>39</v>
      </c>
      <c r="AS28" t="s">
        <v>273</v>
      </c>
      <c r="AU28" t="s">
        <v>40</v>
      </c>
      <c r="AV28" t="s">
        <v>6</v>
      </c>
      <c r="AW28" t="s">
        <v>422</v>
      </c>
      <c r="AX28">
        <v>71</v>
      </c>
      <c r="AZ28" t="s">
        <v>423</v>
      </c>
      <c r="BB28" t="s">
        <v>205</v>
      </c>
      <c r="BC28">
        <v>43831</v>
      </c>
      <c r="BD28">
        <v>0</v>
      </c>
      <c r="BE28">
        <v>314</v>
      </c>
      <c r="BF28" t="s">
        <v>266</v>
      </c>
    </row>
    <row r="29" spans="1:58" x14ac:dyDescent="0.3">
      <c r="A29">
        <v>8515</v>
      </c>
      <c r="B29">
        <v>1</v>
      </c>
      <c r="C29" s="16">
        <v>4.1666666666666602E-2</v>
      </c>
      <c r="D29" t="s">
        <v>96</v>
      </c>
      <c r="E29" s="109">
        <v>1</v>
      </c>
      <c r="F29" s="15">
        <v>45586.380173611098</v>
      </c>
      <c r="G29" s="15">
        <v>45585.75</v>
      </c>
      <c r="H29" s="15">
        <v>45586.380173611098</v>
      </c>
      <c r="I29" s="15">
        <v>45586.4744907407</v>
      </c>
      <c r="J29">
        <v>2.2636111111111101</v>
      </c>
      <c r="K29" s="16">
        <v>9.4317129629629598E-2</v>
      </c>
      <c r="L29" s="8">
        <v>45586</v>
      </c>
      <c r="M29" s="15">
        <v>45586.380173611098</v>
      </c>
      <c r="O29" s="15">
        <v>1</v>
      </c>
      <c r="P29" s="15">
        <v>45586.4744907407</v>
      </c>
      <c r="R29" s="15">
        <v>1</v>
      </c>
      <c r="S29" s="15">
        <v>45586.4744907407</v>
      </c>
      <c r="T29" s="15">
        <v>45586.4744907407</v>
      </c>
      <c r="U29" t="s">
        <v>217</v>
      </c>
      <c r="W29" s="15">
        <v>45586</v>
      </c>
      <c r="X29" t="s">
        <v>424</v>
      </c>
      <c r="Y29" t="s">
        <v>171</v>
      </c>
      <c r="Z29" t="s">
        <v>305</v>
      </c>
      <c r="AA29" t="s">
        <v>133</v>
      </c>
      <c r="AB29" t="s">
        <v>259</v>
      </c>
      <c r="AE29" t="s">
        <v>26</v>
      </c>
      <c r="AF29" t="s">
        <v>37</v>
      </c>
      <c r="AG29">
        <v>8417</v>
      </c>
      <c r="AH29" t="s">
        <v>264</v>
      </c>
      <c r="AI29">
        <v>247552</v>
      </c>
      <c r="AJ29" t="s">
        <v>289</v>
      </c>
      <c r="AK29">
        <v>314</v>
      </c>
      <c r="AL29" t="s">
        <v>39</v>
      </c>
      <c r="AM29">
        <v>17</v>
      </c>
      <c r="AN29">
        <v>26</v>
      </c>
      <c r="AQ29">
        <v>1</v>
      </c>
      <c r="AR29" t="s">
        <v>39</v>
      </c>
      <c r="AS29" t="s">
        <v>273</v>
      </c>
      <c r="AU29" t="s">
        <v>40</v>
      </c>
      <c r="AV29" t="s">
        <v>6</v>
      </c>
      <c r="AW29" t="s">
        <v>425</v>
      </c>
      <c r="AX29">
        <v>72</v>
      </c>
      <c r="AY29" t="b">
        <v>1</v>
      </c>
      <c r="AZ29" t="s">
        <v>426</v>
      </c>
      <c r="BA29">
        <v>2</v>
      </c>
      <c r="BB29" t="s">
        <v>290</v>
      </c>
      <c r="BC29">
        <v>43915</v>
      </c>
      <c r="BD29">
        <v>0</v>
      </c>
      <c r="BE29">
        <v>314</v>
      </c>
      <c r="BF29" t="s">
        <v>266</v>
      </c>
    </row>
    <row r="30" spans="1:58" x14ac:dyDescent="0.3">
      <c r="A30">
        <v>8516</v>
      </c>
      <c r="B30">
        <v>0.33333333333333298</v>
      </c>
      <c r="C30" s="16">
        <v>1.38888888888888E-2</v>
      </c>
      <c r="D30" t="s">
        <v>96</v>
      </c>
      <c r="E30" s="109">
        <v>0</v>
      </c>
      <c r="F30" s="15">
        <v>45586.401354166599</v>
      </c>
      <c r="G30" s="15">
        <v>45585.75</v>
      </c>
      <c r="H30" s="15">
        <v>45586.400590277699</v>
      </c>
      <c r="I30" s="15">
        <v>45586.401412036997</v>
      </c>
      <c r="J30">
        <v>1.97222222222222E-2</v>
      </c>
      <c r="K30" s="16">
        <v>8.2175925925925895E-4</v>
      </c>
      <c r="L30" s="8">
        <v>45586</v>
      </c>
      <c r="M30" s="15">
        <v>45586.400590277699</v>
      </c>
      <c r="N30" t="b">
        <v>1</v>
      </c>
      <c r="O30" s="15">
        <v>45586.400590277699</v>
      </c>
      <c r="P30" s="15">
        <v>45586.401412036997</v>
      </c>
      <c r="R30" s="15">
        <v>1</v>
      </c>
      <c r="S30" s="15">
        <v>45586.401412036997</v>
      </c>
      <c r="T30" s="15">
        <v>45586.401412036997</v>
      </c>
      <c r="U30" t="s">
        <v>217</v>
      </c>
      <c r="V30" t="s">
        <v>427</v>
      </c>
      <c r="W30" s="15">
        <v>45586</v>
      </c>
      <c r="X30" t="s">
        <v>428</v>
      </c>
      <c r="Y30" t="s">
        <v>158</v>
      </c>
      <c r="Z30" t="s">
        <v>135</v>
      </c>
      <c r="AA30" t="s">
        <v>131</v>
      </c>
      <c r="AB30" t="s">
        <v>27</v>
      </c>
      <c r="AC30" t="s">
        <v>317</v>
      </c>
      <c r="AD30" t="s">
        <v>146</v>
      </c>
      <c r="AE30" t="s">
        <v>26</v>
      </c>
      <c r="AF30" t="s">
        <v>429</v>
      </c>
      <c r="AG30">
        <v>8418</v>
      </c>
      <c r="AH30" t="s">
        <v>264</v>
      </c>
      <c r="AI30">
        <v>247446</v>
      </c>
      <c r="AJ30" t="s">
        <v>430</v>
      </c>
      <c r="AK30">
        <v>171</v>
      </c>
      <c r="AL30" t="s">
        <v>39</v>
      </c>
      <c r="AM30">
        <v>2</v>
      </c>
      <c r="AN30">
        <v>5</v>
      </c>
      <c r="AO30">
        <v>33</v>
      </c>
      <c r="AP30">
        <v>5</v>
      </c>
      <c r="AQ30">
        <v>1</v>
      </c>
      <c r="AR30" t="s">
        <v>39</v>
      </c>
      <c r="AS30" t="s">
        <v>314</v>
      </c>
      <c r="AU30" t="s">
        <v>40</v>
      </c>
      <c r="AV30" t="s">
        <v>6</v>
      </c>
      <c r="AW30" t="s">
        <v>431</v>
      </c>
      <c r="AX30">
        <v>72</v>
      </c>
      <c r="AY30" t="b">
        <v>1</v>
      </c>
      <c r="AZ30" t="s">
        <v>432</v>
      </c>
      <c r="BA30">
        <v>2</v>
      </c>
      <c r="BB30" t="s">
        <v>433</v>
      </c>
      <c r="BC30">
        <v>43845</v>
      </c>
      <c r="BD30">
        <v>0</v>
      </c>
      <c r="BE30">
        <v>171</v>
      </c>
      <c r="BF30" t="s">
        <v>266</v>
      </c>
    </row>
    <row r="31" spans="1:58" x14ac:dyDescent="0.3">
      <c r="A31">
        <v>8517</v>
      </c>
      <c r="B31">
        <v>0.33333333333333298</v>
      </c>
      <c r="C31" s="16">
        <v>1.38888888888888E-2</v>
      </c>
      <c r="D31" t="s">
        <v>137</v>
      </c>
      <c r="E31" s="109">
        <v>2</v>
      </c>
      <c r="F31" s="15">
        <v>45586.4088888888</v>
      </c>
      <c r="G31" s="15">
        <v>45585.75</v>
      </c>
      <c r="H31" s="15">
        <v>45586.4088888888</v>
      </c>
      <c r="I31" s="15">
        <v>1</v>
      </c>
      <c r="J31">
        <v>0</v>
      </c>
      <c r="K31" s="16">
        <v>0</v>
      </c>
      <c r="L31" s="8">
        <v>45586</v>
      </c>
      <c r="M31" s="15">
        <v>45586.4088888888</v>
      </c>
      <c r="O31" s="15">
        <v>1</v>
      </c>
      <c r="P31" s="15">
        <v>1</v>
      </c>
      <c r="R31" s="15">
        <v>1</v>
      </c>
      <c r="S31" s="15">
        <v>45586.4274421296</v>
      </c>
      <c r="T31" s="15">
        <v>45586.4274421296</v>
      </c>
      <c r="W31" s="15">
        <v>45586</v>
      </c>
      <c r="X31" t="s">
        <v>434</v>
      </c>
      <c r="Y31" t="s">
        <v>134</v>
      </c>
      <c r="Z31" t="s">
        <v>135</v>
      </c>
      <c r="AA31" t="s">
        <v>131</v>
      </c>
      <c r="AB31" t="s">
        <v>203</v>
      </c>
      <c r="AE31" t="s">
        <v>26</v>
      </c>
      <c r="AF31" t="s">
        <v>435</v>
      </c>
      <c r="AG31">
        <v>8419</v>
      </c>
      <c r="AH31" t="s">
        <v>264</v>
      </c>
      <c r="AI31">
        <v>246986</v>
      </c>
      <c r="AJ31" t="s">
        <v>436</v>
      </c>
      <c r="AK31">
        <v>2766</v>
      </c>
      <c r="AL31" t="s">
        <v>39</v>
      </c>
      <c r="AM31">
        <v>2</v>
      </c>
      <c r="AN31">
        <v>6</v>
      </c>
      <c r="AQ31">
        <v>1</v>
      </c>
      <c r="AR31" t="s">
        <v>39</v>
      </c>
      <c r="AS31" t="s">
        <v>270</v>
      </c>
      <c r="AU31" t="s">
        <v>40</v>
      </c>
      <c r="AV31" t="s">
        <v>6</v>
      </c>
      <c r="AW31" t="s">
        <v>437</v>
      </c>
      <c r="AX31">
        <v>70</v>
      </c>
      <c r="AZ31" t="s">
        <v>438</v>
      </c>
      <c r="BB31" t="s">
        <v>439</v>
      </c>
      <c r="BC31">
        <v>43879</v>
      </c>
      <c r="BD31">
        <v>0</v>
      </c>
      <c r="BE31">
        <v>2766</v>
      </c>
      <c r="BF31" t="s">
        <v>266</v>
      </c>
    </row>
    <row r="32" spans="1:58" x14ac:dyDescent="0.3">
      <c r="A32">
        <v>8517</v>
      </c>
      <c r="B32">
        <v>0.16666666666666599</v>
      </c>
      <c r="C32" s="16">
        <v>6.9444444444444397E-3</v>
      </c>
      <c r="D32" t="s">
        <v>137</v>
      </c>
      <c r="E32" s="109">
        <v>2</v>
      </c>
      <c r="F32" s="15">
        <v>45586.4088888888</v>
      </c>
      <c r="G32" s="15">
        <v>45585.75</v>
      </c>
      <c r="H32" s="15">
        <v>45586.4088888888</v>
      </c>
      <c r="I32" s="15">
        <v>1</v>
      </c>
      <c r="J32">
        <v>0</v>
      </c>
      <c r="K32" s="16">
        <v>0</v>
      </c>
      <c r="L32" s="8">
        <v>45586</v>
      </c>
      <c r="M32" s="15">
        <v>45586.4088888888</v>
      </c>
      <c r="O32" s="15">
        <v>1</v>
      </c>
      <c r="P32" s="15">
        <v>1</v>
      </c>
      <c r="R32" s="15">
        <v>1</v>
      </c>
      <c r="S32" s="15">
        <v>45586.4274421296</v>
      </c>
      <c r="T32" s="15">
        <v>45586.4274421296</v>
      </c>
      <c r="W32" s="15">
        <v>45586</v>
      </c>
      <c r="X32" t="s">
        <v>440</v>
      </c>
      <c r="Y32" t="s">
        <v>134</v>
      </c>
      <c r="Z32" t="s">
        <v>135</v>
      </c>
      <c r="AA32" t="s">
        <v>131</v>
      </c>
      <c r="AB32" t="s">
        <v>203</v>
      </c>
      <c r="AE32" t="s">
        <v>26</v>
      </c>
      <c r="AF32" t="s">
        <v>435</v>
      </c>
      <c r="AG32">
        <v>8419</v>
      </c>
      <c r="AH32" t="s">
        <v>264</v>
      </c>
      <c r="AI32">
        <v>246986</v>
      </c>
      <c r="AJ32" t="s">
        <v>436</v>
      </c>
      <c r="AK32">
        <v>2766</v>
      </c>
      <c r="AL32" t="s">
        <v>39</v>
      </c>
      <c r="AM32">
        <v>2</v>
      </c>
      <c r="AN32">
        <v>6</v>
      </c>
      <c r="AQ32">
        <v>1</v>
      </c>
      <c r="AR32" t="s">
        <v>39</v>
      </c>
      <c r="AS32" t="s">
        <v>270</v>
      </c>
      <c r="AU32" t="s">
        <v>40</v>
      </c>
      <c r="AV32" t="s">
        <v>6</v>
      </c>
      <c r="AW32" t="s">
        <v>437</v>
      </c>
      <c r="AX32">
        <v>70</v>
      </c>
      <c r="AZ32" t="s">
        <v>438</v>
      </c>
      <c r="BB32" t="s">
        <v>439</v>
      </c>
      <c r="BC32">
        <v>43854</v>
      </c>
      <c r="BD32">
        <v>0</v>
      </c>
      <c r="BE32">
        <v>2766</v>
      </c>
      <c r="BF32" t="s">
        <v>266</v>
      </c>
    </row>
    <row r="33" spans="1:58" x14ac:dyDescent="0.3">
      <c r="A33">
        <v>8518</v>
      </c>
      <c r="B33">
        <v>0.75</v>
      </c>
      <c r="C33" s="16">
        <v>3.125E-2</v>
      </c>
      <c r="D33" t="s">
        <v>96</v>
      </c>
      <c r="E33" s="109">
        <v>0</v>
      </c>
      <c r="F33" s="15">
        <v>45586.414745370297</v>
      </c>
      <c r="G33" s="15">
        <v>45585.75</v>
      </c>
      <c r="H33" s="15">
        <v>45586.414745370297</v>
      </c>
      <c r="I33" s="15">
        <v>45586.4486226851</v>
      </c>
      <c r="J33">
        <v>0.81305555555555498</v>
      </c>
      <c r="K33" s="16">
        <v>3.3877314814814798E-2</v>
      </c>
      <c r="L33" s="8">
        <v>45586</v>
      </c>
      <c r="M33" s="15">
        <v>45586.414745370297</v>
      </c>
      <c r="O33" s="15">
        <v>1</v>
      </c>
      <c r="P33" s="15">
        <v>45586.4486226851</v>
      </c>
      <c r="R33" s="15">
        <v>1</v>
      </c>
      <c r="S33" s="15">
        <v>45586.4486226851</v>
      </c>
      <c r="T33" s="15">
        <v>45586.4486226851</v>
      </c>
      <c r="W33" s="15">
        <v>45586</v>
      </c>
      <c r="X33" t="s">
        <v>24</v>
      </c>
      <c r="Y33" t="s">
        <v>147</v>
      </c>
      <c r="Z33" t="s">
        <v>145</v>
      </c>
      <c r="AA33" t="s">
        <v>133</v>
      </c>
      <c r="AB33" t="s">
        <v>29</v>
      </c>
      <c r="AC33" t="s">
        <v>441</v>
      </c>
      <c r="AE33" t="s">
        <v>26</v>
      </c>
      <c r="AF33" t="s">
        <v>282</v>
      </c>
      <c r="AG33">
        <v>8420</v>
      </c>
      <c r="AH33" t="s">
        <v>264</v>
      </c>
      <c r="AI33">
        <v>247792</v>
      </c>
      <c r="AJ33" t="s">
        <v>321</v>
      </c>
      <c r="AK33">
        <v>446</v>
      </c>
      <c r="AL33" t="s">
        <v>39</v>
      </c>
      <c r="AM33">
        <v>11</v>
      </c>
      <c r="AN33">
        <v>8</v>
      </c>
      <c r="AO33">
        <v>82</v>
      </c>
      <c r="AQ33">
        <v>1</v>
      </c>
      <c r="AR33" t="s">
        <v>39</v>
      </c>
      <c r="AS33" t="s">
        <v>268</v>
      </c>
      <c r="AU33" t="s">
        <v>40</v>
      </c>
      <c r="AV33" t="s">
        <v>6</v>
      </c>
      <c r="AW33" t="s">
        <v>442</v>
      </c>
      <c r="AX33">
        <v>72</v>
      </c>
      <c r="AY33" t="b">
        <v>1</v>
      </c>
      <c r="AZ33" t="s">
        <v>443</v>
      </c>
      <c r="BB33" t="s">
        <v>322</v>
      </c>
      <c r="BC33">
        <v>43897</v>
      </c>
      <c r="BD33">
        <v>0</v>
      </c>
      <c r="BE33">
        <v>446</v>
      </c>
      <c r="BF33" t="s">
        <v>266</v>
      </c>
    </row>
    <row r="34" spans="1:58" x14ac:dyDescent="0.3">
      <c r="A34">
        <v>8519</v>
      </c>
      <c r="B34">
        <v>0.25</v>
      </c>
      <c r="C34" s="16">
        <v>1.04166666666666E-2</v>
      </c>
      <c r="D34" t="s">
        <v>96</v>
      </c>
      <c r="E34" s="109">
        <v>3</v>
      </c>
      <c r="F34" s="15">
        <v>45586.418935185102</v>
      </c>
      <c r="G34" s="15">
        <v>45585.75</v>
      </c>
      <c r="H34" s="15">
        <v>45586.418935185102</v>
      </c>
      <c r="I34" s="15">
        <v>45586.430625000001</v>
      </c>
      <c r="J34">
        <v>0.280555555555555</v>
      </c>
      <c r="K34" s="16">
        <v>1.16898148148148E-2</v>
      </c>
      <c r="L34" s="8">
        <v>45586</v>
      </c>
      <c r="M34" s="15">
        <v>45586.418935185102</v>
      </c>
      <c r="O34" s="15">
        <v>1</v>
      </c>
      <c r="P34" s="15">
        <v>45586.430625000001</v>
      </c>
      <c r="Q34" t="b">
        <v>1</v>
      </c>
      <c r="R34" s="15">
        <v>45586.430625000001</v>
      </c>
      <c r="S34" s="15">
        <v>45586.4663657407</v>
      </c>
      <c r="T34" s="15">
        <v>45586.4663657407</v>
      </c>
      <c r="W34" s="15">
        <v>45586</v>
      </c>
      <c r="X34" t="s">
        <v>24</v>
      </c>
      <c r="Y34" t="s">
        <v>144</v>
      </c>
      <c r="Z34" t="s">
        <v>135</v>
      </c>
      <c r="AA34" t="s">
        <v>131</v>
      </c>
      <c r="AB34" t="s">
        <v>27</v>
      </c>
      <c r="AC34" t="s">
        <v>145</v>
      </c>
      <c r="AD34" t="s">
        <v>146</v>
      </c>
      <c r="AE34" t="s">
        <v>444</v>
      </c>
      <c r="AF34" t="s">
        <v>445</v>
      </c>
      <c r="AG34">
        <v>8421</v>
      </c>
      <c r="AH34" t="s">
        <v>264</v>
      </c>
      <c r="AI34">
        <v>247156</v>
      </c>
      <c r="AJ34" t="s">
        <v>446</v>
      </c>
      <c r="AK34">
        <v>267</v>
      </c>
      <c r="AL34" t="s">
        <v>39</v>
      </c>
      <c r="AM34">
        <v>2</v>
      </c>
      <c r="AN34">
        <v>5</v>
      </c>
      <c r="AO34">
        <v>14</v>
      </c>
      <c r="AP34">
        <v>5</v>
      </c>
      <c r="AQ34">
        <v>1</v>
      </c>
      <c r="AR34" t="s">
        <v>39</v>
      </c>
      <c r="AS34" t="s">
        <v>267</v>
      </c>
      <c r="AU34" t="s">
        <v>40</v>
      </c>
      <c r="AV34" t="s">
        <v>6</v>
      </c>
      <c r="AW34" t="s">
        <v>447</v>
      </c>
      <c r="AX34">
        <v>72</v>
      </c>
      <c r="AY34" t="b">
        <v>1</v>
      </c>
      <c r="AZ34" t="s">
        <v>448</v>
      </c>
      <c r="BB34" t="s">
        <v>449</v>
      </c>
      <c r="BC34">
        <v>43874</v>
      </c>
      <c r="BD34">
        <v>0</v>
      </c>
      <c r="BE34">
        <v>267</v>
      </c>
      <c r="BF34" t="s">
        <v>266</v>
      </c>
    </row>
    <row r="35" spans="1:58" x14ac:dyDescent="0.3">
      <c r="A35">
        <v>8520</v>
      </c>
      <c r="B35">
        <v>0.43333333333333302</v>
      </c>
      <c r="C35" s="16">
        <v>1.8055555555555498E-2</v>
      </c>
      <c r="D35" t="s">
        <v>96</v>
      </c>
      <c r="E35" s="109">
        <v>0</v>
      </c>
      <c r="F35" s="15">
        <v>45586.422210648103</v>
      </c>
      <c r="G35" s="15">
        <v>45585.75</v>
      </c>
      <c r="H35" s="15">
        <v>45586.420891203699</v>
      </c>
      <c r="I35" s="15">
        <v>45586.422280092498</v>
      </c>
      <c r="J35">
        <v>3.3333333333333298E-2</v>
      </c>
      <c r="K35" s="16">
        <v>1.3888888888888801E-3</v>
      </c>
      <c r="L35" s="8">
        <v>45586</v>
      </c>
      <c r="M35" s="15">
        <v>45586.420891203699</v>
      </c>
      <c r="N35" t="b">
        <v>1</v>
      </c>
      <c r="O35" s="15">
        <v>45586.420891203699</v>
      </c>
      <c r="P35" s="15">
        <v>45586.422280092498</v>
      </c>
      <c r="R35" s="15">
        <v>1</v>
      </c>
      <c r="S35" s="15">
        <v>45586.422280092498</v>
      </c>
      <c r="T35" s="15">
        <v>45586.422280092498</v>
      </c>
      <c r="U35" t="s">
        <v>217</v>
      </c>
      <c r="V35" t="s">
        <v>450</v>
      </c>
      <c r="W35" s="15">
        <v>45586</v>
      </c>
      <c r="X35" t="s">
        <v>450</v>
      </c>
      <c r="Y35" t="s">
        <v>158</v>
      </c>
      <c r="Z35" t="s">
        <v>135</v>
      </c>
      <c r="AA35" t="s">
        <v>131</v>
      </c>
      <c r="AB35" t="s">
        <v>29</v>
      </c>
      <c r="AC35" t="s">
        <v>441</v>
      </c>
      <c r="AD35" t="s">
        <v>146</v>
      </c>
      <c r="AE35" t="s">
        <v>26</v>
      </c>
      <c r="AF35" t="s">
        <v>451</v>
      </c>
      <c r="AG35">
        <v>8422</v>
      </c>
      <c r="AH35" t="s">
        <v>264</v>
      </c>
      <c r="AI35">
        <v>246794</v>
      </c>
      <c r="AJ35" t="s">
        <v>452</v>
      </c>
      <c r="AK35">
        <v>171</v>
      </c>
      <c r="AL35" t="s">
        <v>39</v>
      </c>
      <c r="AM35">
        <v>2</v>
      </c>
      <c r="AN35">
        <v>8</v>
      </c>
      <c r="AO35">
        <v>82</v>
      </c>
      <c r="AP35">
        <v>5</v>
      </c>
      <c r="AQ35">
        <v>1</v>
      </c>
      <c r="AR35" t="s">
        <v>39</v>
      </c>
      <c r="AS35" t="s">
        <v>314</v>
      </c>
      <c r="AT35" t="s">
        <v>453</v>
      </c>
      <c r="AU35" t="s">
        <v>40</v>
      </c>
      <c r="AV35" t="s">
        <v>6</v>
      </c>
      <c r="AW35" t="s">
        <v>454</v>
      </c>
      <c r="AX35">
        <v>72</v>
      </c>
      <c r="AY35" t="b">
        <v>1</v>
      </c>
      <c r="AZ35" t="s">
        <v>455</v>
      </c>
      <c r="BA35">
        <v>2</v>
      </c>
      <c r="BB35" t="s">
        <v>456</v>
      </c>
      <c r="BC35">
        <v>43877</v>
      </c>
      <c r="BD35">
        <v>0</v>
      </c>
      <c r="BE35">
        <v>171</v>
      </c>
      <c r="BF35" t="s">
        <v>266</v>
      </c>
    </row>
    <row r="36" spans="1:58" x14ac:dyDescent="0.3">
      <c r="A36">
        <v>8522</v>
      </c>
      <c r="B36">
        <v>0.58333333333333304</v>
      </c>
      <c r="C36" s="16">
        <v>2.43055555555555E-2</v>
      </c>
      <c r="D36" t="s">
        <v>96</v>
      </c>
      <c r="E36" s="109">
        <v>0</v>
      </c>
      <c r="F36" s="15">
        <v>45586.429097222201</v>
      </c>
      <c r="G36" s="15">
        <v>45585.75</v>
      </c>
      <c r="H36" s="15">
        <v>45586.426747685102</v>
      </c>
      <c r="I36" s="15">
        <v>45586.429178240702</v>
      </c>
      <c r="J36">
        <v>5.83333333333333E-2</v>
      </c>
      <c r="K36" s="16">
        <v>2.43055555555555E-3</v>
      </c>
      <c r="L36" s="8">
        <v>45586</v>
      </c>
      <c r="M36" s="15">
        <v>45586.426747685102</v>
      </c>
      <c r="N36" t="b">
        <v>1</v>
      </c>
      <c r="O36" s="15">
        <v>45586.426747685102</v>
      </c>
      <c r="P36" s="15">
        <v>45586.429178240702</v>
      </c>
      <c r="R36" s="15">
        <v>1</v>
      </c>
      <c r="S36" s="15">
        <v>45586.429178240702</v>
      </c>
      <c r="T36" s="15">
        <v>45586.429178240702</v>
      </c>
      <c r="U36" t="s">
        <v>217</v>
      </c>
      <c r="V36" t="s">
        <v>457</v>
      </c>
      <c r="W36" s="15">
        <v>45586</v>
      </c>
      <c r="X36" t="s">
        <v>457</v>
      </c>
      <c r="Y36" t="s">
        <v>158</v>
      </c>
      <c r="Z36" t="s">
        <v>135</v>
      </c>
      <c r="AA36" t="s">
        <v>131</v>
      </c>
      <c r="AB36" t="s">
        <v>27</v>
      </c>
      <c r="AC36" t="s">
        <v>298</v>
      </c>
      <c r="AD36" t="s">
        <v>146</v>
      </c>
      <c r="AE36" t="s">
        <v>26</v>
      </c>
      <c r="AF36" t="s">
        <v>451</v>
      </c>
      <c r="AG36">
        <v>8424</v>
      </c>
      <c r="AH36" t="s">
        <v>264</v>
      </c>
      <c r="AI36">
        <v>247657</v>
      </c>
      <c r="AJ36" t="s">
        <v>458</v>
      </c>
      <c r="AK36">
        <v>171</v>
      </c>
      <c r="AL36" t="s">
        <v>39</v>
      </c>
      <c r="AM36">
        <v>2</v>
      </c>
      <c r="AN36">
        <v>5</v>
      </c>
      <c r="AO36">
        <v>64</v>
      </c>
      <c r="AP36">
        <v>5</v>
      </c>
      <c r="AQ36">
        <v>1</v>
      </c>
      <c r="AR36" t="s">
        <v>39</v>
      </c>
      <c r="AS36" t="s">
        <v>314</v>
      </c>
      <c r="AU36" t="s">
        <v>40</v>
      </c>
      <c r="AV36" t="s">
        <v>6</v>
      </c>
      <c r="AW36" t="s">
        <v>459</v>
      </c>
      <c r="AX36">
        <v>72</v>
      </c>
      <c r="AY36" t="b">
        <v>1</v>
      </c>
      <c r="AZ36" t="s">
        <v>460</v>
      </c>
      <c r="BA36">
        <v>2</v>
      </c>
      <c r="BB36" t="s">
        <v>461</v>
      </c>
      <c r="BC36">
        <v>43880</v>
      </c>
      <c r="BD36">
        <v>0</v>
      </c>
      <c r="BE36">
        <v>171</v>
      </c>
      <c r="BF36" t="s">
        <v>266</v>
      </c>
    </row>
    <row r="37" spans="1:58" x14ac:dyDescent="0.3">
      <c r="A37">
        <v>8523</v>
      </c>
      <c r="B37">
        <v>0.66666666666666596</v>
      </c>
      <c r="C37" s="16">
        <v>2.77777777777777E-2</v>
      </c>
      <c r="D37" t="s">
        <v>96</v>
      </c>
      <c r="E37" s="109">
        <v>0</v>
      </c>
      <c r="F37" s="15">
        <v>45586.430486111101</v>
      </c>
      <c r="G37" s="15">
        <v>45585.75</v>
      </c>
      <c r="H37" s="15">
        <v>45586.429756944402</v>
      </c>
      <c r="I37" s="15">
        <v>45586.430555555497</v>
      </c>
      <c r="J37">
        <v>1.9166666666666599E-2</v>
      </c>
      <c r="K37" s="16">
        <v>7.9861111111111105E-4</v>
      </c>
      <c r="L37" s="8">
        <v>45586</v>
      </c>
      <c r="M37" s="15">
        <v>45586.429756944402</v>
      </c>
      <c r="N37" t="b">
        <v>1</v>
      </c>
      <c r="O37" s="15">
        <v>45586.429756944402</v>
      </c>
      <c r="P37" s="15">
        <v>45586.430555555497</v>
      </c>
      <c r="R37" s="15">
        <v>1</v>
      </c>
      <c r="S37" s="15">
        <v>45586.430555555497</v>
      </c>
      <c r="T37" s="15">
        <v>45586.430555555497</v>
      </c>
      <c r="U37" t="s">
        <v>217</v>
      </c>
      <c r="V37" t="s">
        <v>315</v>
      </c>
      <c r="W37" s="15">
        <v>45586</v>
      </c>
      <c r="X37" t="s">
        <v>316</v>
      </c>
      <c r="Y37" t="s">
        <v>158</v>
      </c>
      <c r="Z37" t="s">
        <v>155</v>
      </c>
      <c r="AA37" t="s">
        <v>131</v>
      </c>
      <c r="AB37" t="s">
        <v>27</v>
      </c>
      <c r="AC37" t="s">
        <v>317</v>
      </c>
      <c r="AD37" t="s">
        <v>146</v>
      </c>
      <c r="AE37" t="s">
        <v>26</v>
      </c>
      <c r="AF37" t="s">
        <v>37</v>
      </c>
      <c r="AG37">
        <v>8425</v>
      </c>
      <c r="AH37" t="s">
        <v>264</v>
      </c>
      <c r="AI37">
        <v>247813</v>
      </c>
      <c r="AJ37" t="s">
        <v>139</v>
      </c>
      <c r="AK37">
        <v>171</v>
      </c>
      <c r="AL37" t="s">
        <v>39</v>
      </c>
      <c r="AM37">
        <v>4</v>
      </c>
      <c r="AN37">
        <v>5</v>
      </c>
      <c r="AO37">
        <v>33</v>
      </c>
      <c r="AP37">
        <v>5</v>
      </c>
      <c r="AQ37">
        <v>1</v>
      </c>
      <c r="AR37" t="s">
        <v>39</v>
      </c>
      <c r="AS37" t="s">
        <v>314</v>
      </c>
      <c r="AU37" t="s">
        <v>40</v>
      </c>
      <c r="AV37" t="s">
        <v>6</v>
      </c>
      <c r="AW37" t="s">
        <v>316</v>
      </c>
      <c r="AX37">
        <v>72</v>
      </c>
      <c r="AY37" t="b">
        <v>1</v>
      </c>
      <c r="AZ37" t="s">
        <v>462</v>
      </c>
      <c r="BA37">
        <v>2</v>
      </c>
      <c r="BB37" t="s">
        <v>205</v>
      </c>
      <c r="BC37">
        <v>43881</v>
      </c>
      <c r="BD37">
        <v>0</v>
      </c>
      <c r="BE37">
        <v>171</v>
      </c>
      <c r="BF37" t="s">
        <v>266</v>
      </c>
    </row>
    <row r="38" spans="1:58" x14ac:dyDescent="0.3">
      <c r="A38">
        <v>8524</v>
      </c>
      <c r="B38">
        <v>1.5</v>
      </c>
      <c r="C38" s="16">
        <v>6.25E-2</v>
      </c>
      <c r="D38" t="s">
        <v>96</v>
      </c>
      <c r="E38" s="109">
        <v>3</v>
      </c>
      <c r="F38" s="15">
        <v>45586.438020833302</v>
      </c>
      <c r="G38" s="15">
        <v>45585.75</v>
      </c>
      <c r="H38" s="15">
        <v>45586.433692129598</v>
      </c>
      <c r="I38" s="15">
        <v>45586.437928240703</v>
      </c>
      <c r="J38">
        <v>0.101666666666666</v>
      </c>
      <c r="K38" s="16">
        <v>4.2361111111111098E-3</v>
      </c>
      <c r="L38" s="8">
        <v>45586</v>
      </c>
      <c r="M38" s="15">
        <v>45586.433692129598</v>
      </c>
      <c r="N38" t="b">
        <v>1</v>
      </c>
      <c r="O38" s="15">
        <v>45586.433692129598</v>
      </c>
      <c r="P38" s="15">
        <v>45586.437928240703</v>
      </c>
      <c r="Q38" t="b">
        <v>1</v>
      </c>
      <c r="R38" s="15">
        <v>45586.437928240703</v>
      </c>
      <c r="S38" s="15">
        <v>45588.4287847222</v>
      </c>
      <c r="T38" s="15">
        <v>45588.4287847222</v>
      </c>
      <c r="V38" t="s">
        <v>463</v>
      </c>
      <c r="W38" s="15">
        <v>45586</v>
      </c>
      <c r="X38" t="s">
        <v>464</v>
      </c>
      <c r="Y38" t="s">
        <v>138</v>
      </c>
      <c r="Z38" t="s">
        <v>135</v>
      </c>
      <c r="AA38" t="s">
        <v>320</v>
      </c>
      <c r="AB38" t="s">
        <v>220</v>
      </c>
      <c r="AE38" t="s">
        <v>26</v>
      </c>
      <c r="AF38" t="s">
        <v>465</v>
      </c>
      <c r="AG38">
        <v>8426</v>
      </c>
      <c r="AH38" t="s">
        <v>264</v>
      </c>
      <c r="AI38">
        <v>247769</v>
      </c>
      <c r="AJ38" t="s">
        <v>466</v>
      </c>
      <c r="AK38">
        <v>186</v>
      </c>
      <c r="AL38" t="s">
        <v>39</v>
      </c>
      <c r="AM38">
        <v>2</v>
      </c>
      <c r="AN38">
        <v>28</v>
      </c>
      <c r="AQ38">
        <v>1</v>
      </c>
      <c r="AR38" t="s">
        <v>39</v>
      </c>
      <c r="AS38" t="s">
        <v>272</v>
      </c>
      <c r="AT38" t="s">
        <v>467</v>
      </c>
      <c r="AU38" t="s">
        <v>40</v>
      </c>
      <c r="AV38" t="s">
        <v>6</v>
      </c>
      <c r="AW38" t="s">
        <v>463</v>
      </c>
      <c r="AX38">
        <v>72</v>
      </c>
      <c r="AY38" t="b">
        <v>1</v>
      </c>
      <c r="AZ38" t="s">
        <v>468</v>
      </c>
      <c r="BB38" t="s">
        <v>469</v>
      </c>
      <c r="BC38">
        <v>43955</v>
      </c>
      <c r="BD38">
        <v>0</v>
      </c>
      <c r="BE38">
        <v>186</v>
      </c>
      <c r="BF38" t="s">
        <v>266</v>
      </c>
    </row>
    <row r="39" spans="1:58" x14ac:dyDescent="0.3">
      <c r="A39">
        <v>8524</v>
      </c>
      <c r="B39">
        <v>1.13333333333333</v>
      </c>
      <c r="C39" s="16">
        <v>4.72222222222222E-2</v>
      </c>
      <c r="D39" t="s">
        <v>96</v>
      </c>
      <c r="E39" s="109">
        <v>3</v>
      </c>
      <c r="F39" s="15">
        <v>45586.438020833302</v>
      </c>
      <c r="G39" s="15">
        <v>45585.75</v>
      </c>
      <c r="H39" s="15">
        <v>45586.433692129598</v>
      </c>
      <c r="I39" s="15">
        <v>45586.437928240703</v>
      </c>
      <c r="J39">
        <v>0.101666666666666</v>
      </c>
      <c r="K39" s="16">
        <v>4.2361111111111098E-3</v>
      </c>
      <c r="L39" s="8">
        <v>45586</v>
      </c>
      <c r="M39" s="15">
        <v>45586.433692129598</v>
      </c>
      <c r="N39" t="b">
        <v>1</v>
      </c>
      <c r="O39" s="15">
        <v>45586.433692129598</v>
      </c>
      <c r="P39" s="15">
        <v>45586.437928240703</v>
      </c>
      <c r="Q39" t="b">
        <v>1</v>
      </c>
      <c r="R39" s="15">
        <v>45586.437928240703</v>
      </c>
      <c r="S39" s="15">
        <v>45588.4287847222</v>
      </c>
      <c r="T39" s="15">
        <v>45588.4287847222</v>
      </c>
      <c r="V39" t="s">
        <v>463</v>
      </c>
      <c r="W39" s="15">
        <v>45586</v>
      </c>
      <c r="X39" t="s">
        <v>463</v>
      </c>
      <c r="Y39" t="s">
        <v>138</v>
      </c>
      <c r="Z39" t="s">
        <v>135</v>
      </c>
      <c r="AA39" t="s">
        <v>320</v>
      </c>
      <c r="AB39" t="s">
        <v>220</v>
      </c>
      <c r="AE39" t="s">
        <v>26</v>
      </c>
      <c r="AF39" t="s">
        <v>465</v>
      </c>
      <c r="AG39">
        <v>8426</v>
      </c>
      <c r="AH39" t="s">
        <v>264</v>
      </c>
      <c r="AI39">
        <v>247769</v>
      </c>
      <c r="AJ39" t="s">
        <v>466</v>
      </c>
      <c r="AK39">
        <v>186</v>
      </c>
      <c r="AL39" t="s">
        <v>39</v>
      </c>
      <c r="AM39">
        <v>2</v>
      </c>
      <c r="AN39">
        <v>28</v>
      </c>
      <c r="AQ39">
        <v>1</v>
      </c>
      <c r="AR39" t="s">
        <v>39</v>
      </c>
      <c r="AS39" t="s">
        <v>272</v>
      </c>
      <c r="AT39" t="s">
        <v>467</v>
      </c>
      <c r="AU39" t="s">
        <v>40</v>
      </c>
      <c r="AV39" t="s">
        <v>6</v>
      </c>
      <c r="AW39" t="s">
        <v>463</v>
      </c>
      <c r="AX39">
        <v>72</v>
      </c>
      <c r="AY39" t="b">
        <v>1</v>
      </c>
      <c r="AZ39" t="s">
        <v>468</v>
      </c>
      <c r="BB39" t="s">
        <v>469</v>
      </c>
      <c r="BC39">
        <v>43887</v>
      </c>
      <c r="BD39">
        <v>0</v>
      </c>
      <c r="BE39">
        <v>186</v>
      </c>
      <c r="BF39" t="s">
        <v>266</v>
      </c>
    </row>
    <row r="40" spans="1:58" x14ac:dyDescent="0.3">
      <c r="A40">
        <v>8525</v>
      </c>
      <c r="B40">
        <v>0.41666666666666602</v>
      </c>
      <c r="C40" s="16">
        <v>1.7361111111111101E-2</v>
      </c>
      <c r="D40" t="s">
        <v>96</v>
      </c>
      <c r="E40" s="109">
        <v>3</v>
      </c>
      <c r="F40" s="15">
        <v>45586.439282407402</v>
      </c>
      <c r="G40" s="15">
        <v>45585.75</v>
      </c>
      <c r="H40" s="15">
        <v>45586.438668981398</v>
      </c>
      <c r="I40" s="15">
        <v>45586.439189814802</v>
      </c>
      <c r="J40">
        <v>1.2500000000000001E-2</v>
      </c>
      <c r="K40" s="16">
        <v>5.20833333333333E-4</v>
      </c>
      <c r="L40" s="8">
        <v>45586</v>
      </c>
      <c r="M40" s="15">
        <v>45586.438668981398</v>
      </c>
      <c r="N40" t="b">
        <v>1</v>
      </c>
      <c r="O40" s="15">
        <v>45586.438668981398</v>
      </c>
      <c r="P40" s="15">
        <v>45586.439189814802</v>
      </c>
      <c r="Q40" t="b">
        <v>1</v>
      </c>
      <c r="R40" s="15">
        <v>45586.439189814802</v>
      </c>
      <c r="S40" s="15">
        <v>45586.439375000002</v>
      </c>
      <c r="T40" s="15">
        <v>45586.439375000002</v>
      </c>
      <c r="U40" t="s">
        <v>217</v>
      </c>
      <c r="V40" t="s">
        <v>470</v>
      </c>
      <c r="W40" s="15">
        <v>45586</v>
      </c>
      <c r="X40" t="s">
        <v>470</v>
      </c>
      <c r="Y40" t="s">
        <v>138</v>
      </c>
      <c r="Z40" t="s">
        <v>135</v>
      </c>
      <c r="AA40" t="s">
        <v>133</v>
      </c>
      <c r="AB40" t="s">
        <v>220</v>
      </c>
      <c r="AE40" t="s">
        <v>26</v>
      </c>
      <c r="AF40" t="s">
        <v>37</v>
      </c>
      <c r="AG40">
        <v>8427</v>
      </c>
      <c r="AH40" t="s">
        <v>264</v>
      </c>
      <c r="AI40">
        <v>247813</v>
      </c>
      <c r="AJ40" t="s">
        <v>139</v>
      </c>
      <c r="AK40">
        <v>186</v>
      </c>
      <c r="AL40" t="s">
        <v>39</v>
      </c>
      <c r="AM40">
        <v>2</v>
      </c>
      <c r="AN40">
        <v>28</v>
      </c>
      <c r="AQ40">
        <v>1</v>
      </c>
      <c r="AR40" t="s">
        <v>39</v>
      </c>
      <c r="AS40" t="s">
        <v>272</v>
      </c>
      <c r="AT40" t="s">
        <v>471</v>
      </c>
      <c r="AU40" t="s">
        <v>40</v>
      </c>
      <c r="AV40" t="s">
        <v>6</v>
      </c>
      <c r="AW40" t="s">
        <v>470</v>
      </c>
      <c r="AX40">
        <v>72</v>
      </c>
      <c r="AY40" t="b">
        <v>1</v>
      </c>
      <c r="AZ40" t="s">
        <v>472</v>
      </c>
      <c r="BA40">
        <v>2</v>
      </c>
      <c r="BB40" t="s">
        <v>205</v>
      </c>
      <c r="BC40">
        <v>43888</v>
      </c>
      <c r="BD40">
        <v>0</v>
      </c>
      <c r="BE40">
        <v>186</v>
      </c>
      <c r="BF40" t="s">
        <v>266</v>
      </c>
    </row>
    <row r="41" spans="1:58" x14ac:dyDescent="0.3">
      <c r="A41">
        <v>8526</v>
      </c>
      <c r="B41">
        <v>0.53333333333333299</v>
      </c>
      <c r="C41" s="16">
        <v>2.2222222222222199E-2</v>
      </c>
      <c r="D41" t="s">
        <v>96</v>
      </c>
      <c r="E41" s="109">
        <v>0</v>
      </c>
      <c r="F41" s="15">
        <v>45586.442453703698</v>
      </c>
      <c r="G41" s="15">
        <v>45585.75</v>
      </c>
      <c r="H41" s="15">
        <v>45586.440960648099</v>
      </c>
      <c r="I41" s="15">
        <v>45586.442488425899</v>
      </c>
      <c r="J41">
        <v>3.6666666666666597E-2</v>
      </c>
      <c r="K41" s="16">
        <v>1.5277777777777701E-3</v>
      </c>
      <c r="L41" s="8">
        <v>45586</v>
      </c>
      <c r="M41" s="15">
        <v>45586.440960648099</v>
      </c>
      <c r="N41" t="b">
        <v>1</v>
      </c>
      <c r="O41" s="15">
        <v>45586.440960648099</v>
      </c>
      <c r="P41" s="15">
        <v>45586.442488425899</v>
      </c>
      <c r="R41" s="15">
        <v>1</v>
      </c>
      <c r="S41" s="15">
        <v>45586.442488425899</v>
      </c>
      <c r="T41" s="15">
        <v>45586.442488425899</v>
      </c>
      <c r="U41" t="s">
        <v>217</v>
      </c>
      <c r="V41" t="s">
        <v>473</v>
      </c>
      <c r="W41" s="15">
        <v>45586</v>
      </c>
      <c r="X41" t="s">
        <v>473</v>
      </c>
      <c r="Y41" t="s">
        <v>158</v>
      </c>
      <c r="Z41" t="s">
        <v>135</v>
      </c>
      <c r="AA41" t="s">
        <v>131</v>
      </c>
      <c r="AB41" t="s">
        <v>29</v>
      </c>
      <c r="AC41" t="s">
        <v>258</v>
      </c>
      <c r="AD41" t="s">
        <v>146</v>
      </c>
      <c r="AE41" t="s">
        <v>26</v>
      </c>
      <c r="AF41" t="s">
        <v>32</v>
      </c>
      <c r="AG41">
        <v>8428</v>
      </c>
      <c r="AH41" t="s">
        <v>264</v>
      </c>
      <c r="AI41">
        <v>247783</v>
      </c>
      <c r="AJ41" t="s">
        <v>360</v>
      </c>
      <c r="AK41">
        <v>171</v>
      </c>
      <c r="AL41" t="s">
        <v>39</v>
      </c>
      <c r="AM41">
        <v>2</v>
      </c>
      <c r="AN41">
        <v>8</v>
      </c>
      <c r="AO41">
        <v>34</v>
      </c>
      <c r="AP41">
        <v>5</v>
      </c>
      <c r="AQ41">
        <v>1</v>
      </c>
      <c r="AR41" t="s">
        <v>39</v>
      </c>
      <c r="AS41" t="s">
        <v>314</v>
      </c>
      <c r="AU41" t="s">
        <v>40</v>
      </c>
      <c r="AV41" t="s">
        <v>6</v>
      </c>
      <c r="AW41" t="s">
        <v>474</v>
      </c>
      <c r="AX41">
        <v>72</v>
      </c>
      <c r="AY41" t="b">
        <v>1</v>
      </c>
      <c r="AZ41" t="s">
        <v>475</v>
      </c>
      <c r="BA41">
        <v>2</v>
      </c>
      <c r="BB41" t="s">
        <v>364</v>
      </c>
      <c r="BC41">
        <v>43889</v>
      </c>
      <c r="BD41">
        <v>0</v>
      </c>
      <c r="BE41">
        <v>171</v>
      </c>
      <c r="BF41" t="s">
        <v>266</v>
      </c>
    </row>
    <row r="42" spans="1:58" x14ac:dyDescent="0.3">
      <c r="A42">
        <v>8527</v>
      </c>
      <c r="B42">
        <v>0.25</v>
      </c>
      <c r="C42" s="16">
        <v>1.04166666666666E-2</v>
      </c>
      <c r="D42" t="s">
        <v>96</v>
      </c>
      <c r="E42" s="109">
        <v>1</v>
      </c>
      <c r="F42" s="15">
        <v>45586.443136574002</v>
      </c>
      <c r="G42" s="15">
        <v>45585.75</v>
      </c>
      <c r="H42" s="15">
        <v>45586.443136574002</v>
      </c>
      <c r="I42" s="15">
        <v>45586.4733217592</v>
      </c>
      <c r="J42">
        <v>0.724444444444444</v>
      </c>
      <c r="K42" s="16">
        <v>3.01851851851851E-2</v>
      </c>
      <c r="L42" s="8">
        <v>45586</v>
      </c>
      <c r="M42" s="15">
        <v>45586.443136574002</v>
      </c>
      <c r="O42" s="15">
        <v>1</v>
      </c>
      <c r="P42" s="15">
        <v>45586.4733217592</v>
      </c>
      <c r="R42" s="15">
        <v>1</v>
      </c>
      <c r="S42" s="15">
        <v>45586.4733680555</v>
      </c>
      <c r="T42" s="15">
        <v>45586.4733680555</v>
      </c>
      <c r="U42" t="s">
        <v>217</v>
      </c>
      <c r="W42" s="15">
        <v>45586</v>
      </c>
      <c r="X42" t="s">
        <v>476</v>
      </c>
      <c r="Y42" t="s">
        <v>171</v>
      </c>
      <c r="Z42" t="s">
        <v>216</v>
      </c>
      <c r="AA42" t="s">
        <v>133</v>
      </c>
      <c r="AB42" t="s">
        <v>223</v>
      </c>
      <c r="AE42" t="s">
        <v>26</v>
      </c>
      <c r="AF42" t="s">
        <v>477</v>
      </c>
      <c r="AG42">
        <v>8429</v>
      </c>
      <c r="AH42" t="s">
        <v>264</v>
      </c>
      <c r="AI42">
        <v>247922</v>
      </c>
      <c r="AJ42" t="s">
        <v>478</v>
      </c>
      <c r="AK42">
        <v>314</v>
      </c>
      <c r="AL42" t="s">
        <v>39</v>
      </c>
      <c r="AM42">
        <v>1</v>
      </c>
      <c r="AN42">
        <v>25</v>
      </c>
      <c r="AQ42">
        <v>1</v>
      </c>
      <c r="AR42" t="s">
        <v>39</v>
      </c>
      <c r="AS42" t="s">
        <v>273</v>
      </c>
      <c r="AU42" t="s">
        <v>40</v>
      </c>
      <c r="AV42" t="s">
        <v>6</v>
      </c>
      <c r="AW42" t="s">
        <v>476</v>
      </c>
      <c r="AX42">
        <v>72</v>
      </c>
      <c r="AY42" t="b">
        <v>1</v>
      </c>
      <c r="AZ42" t="s">
        <v>479</v>
      </c>
      <c r="BA42">
        <v>2</v>
      </c>
      <c r="BB42" t="s">
        <v>480</v>
      </c>
      <c r="BC42">
        <v>43890</v>
      </c>
      <c r="BD42">
        <v>0</v>
      </c>
      <c r="BE42">
        <v>314</v>
      </c>
      <c r="BF42" t="s">
        <v>266</v>
      </c>
    </row>
    <row r="43" spans="1:58" x14ac:dyDescent="0.3">
      <c r="A43">
        <v>8528</v>
      </c>
      <c r="B43">
        <v>0.66666666666666596</v>
      </c>
      <c r="C43" s="16">
        <v>2.77777777777777E-2</v>
      </c>
      <c r="D43" t="s">
        <v>96</v>
      </c>
      <c r="E43" s="109">
        <v>1</v>
      </c>
      <c r="F43" s="15">
        <v>45586.445798611101</v>
      </c>
      <c r="G43" s="15">
        <v>45585.75</v>
      </c>
      <c r="H43" s="15">
        <v>45586.445798611101</v>
      </c>
      <c r="I43" s="15">
        <v>45586.473229166601</v>
      </c>
      <c r="J43">
        <v>0.65833333333333299</v>
      </c>
      <c r="K43" s="16">
        <v>2.74305555555555E-2</v>
      </c>
      <c r="L43" s="8">
        <v>45586</v>
      </c>
      <c r="M43" s="15">
        <v>45586.445798611101</v>
      </c>
      <c r="O43" s="15">
        <v>1</v>
      </c>
      <c r="P43" s="15">
        <v>45586.473229166601</v>
      </c>
      <c r="R43" s="15">
        <v>1</v>
      </c>
      <c r="S43" s="15">
        <v>45586.473229166601</v>
      </c>
      <c r="T43" s="15">
        <v>45586.473229166601</v>
      </c>
      <c r="U43" t="s">
        <v>217</v>
      </c>
      <c r="W43" s="15">
        <v>45586</v>
      </c>
      <c r="X43" t="s">
        <v>481</v>
      </c>
      <c r="Y43" t="s">
        <v>171</v>
      </c>
      <c r="Z43" t="s">
        <v>135</v>
      </c>
      <c r="AA43" t="s">
        <v>133</v>
      </c>
      <c r="AB43" t="s">
        <v>259</v>
      </c>
      <c r="AE43" t="s">
        <v>26</v>
      </c>
      <c r="AF43" t="s">
        <v>482</v>
      </c>
      <c r="AG43">
        <v>8430</v>
      </c>
      <c r="AH43" t="s">
        <v>264</v>
      </c>
      <c r="AI43">
        <v>246934</v>
      </c>
      <c r="AJ43" t="s">
        <v>483</v>
      </c>
      <c r="AK43">
        <v>314</v>
      </c>
      <c r="AL43" t="s">
        <v>39</v>
      </c>
      <c r="AM43">
        <v>2</v>
      </c>
      <c r="AN43">
        <v>26</v>
      </c>
      <c r="AQ43">
        <v>1</v>
      </c>
      <c r="AR43" t="s">
        <v>39</v>
      </c>
      <c r="AS43" t="s">
        <v>273</v>
      </c>
      <c r="AU43" t="s">
        <v>40</v>
      </c>
      <c r="AV43" t="s">
        <v>6</v>
      </c>
      <c r="AW43" t="s">
        <v>484</v>
      </c>
      <c r="AX43">
        <v>72</v>
      </c>
      <c r="AY43" t="b">
        <v>1</v>
      </c>
      <c r="AZ43" t="s">
        <v>485</v>
      </c>
      <c r="BA43">
        <v>2</v>
      </c>
      <c r="BB43" t="s">
        <v>486</v>
      </c>
      <c r="BC43">
        <v>43913</v>
      </c>
      <c r="BD43">
        <v>0</v>
      </c>
      <c r="BE43">
        <v>314</v>
      </c>
      <c r="BF43" t="s">
        <v>266</v>
      </c>
    </row>
    <row r="44" spans="1:58" x14ac:dyDescent="0.3">
      <c r="A44">
        <v>8529</v>
      </c>
      <c r="B44">
        <v>0.16666666666666599</v>
      </c>
      <c r="C44" s="16">
        <v>6.9444444444444397E-3</v>
      </c>
      <c r="D44" t="s">
        <v>96</v>
      </c>
      <c r="E44" s="109">
        <v>2</v>
      </c>
      <c r="F44" s="15">
        <v>45586.446226851796</v>
      </c>
      <c r="G44" s="15">
        <v>45585.75</v>
      </c>
      <c r="H44" s="15">
        <v>45586.445486111101</v>
      </c>
      <c r="I44" s="15">
        <v>45586.446134259197</v>
      </c>
      <c r="J44">
        <v>1.55555555555555E-2</v>
      </c>
      <c r="K44" s="16">
        <v>6.4814814814814802E-4</v>
      </c>
      <c r="L44" s="8">
        <v>45586</v>
      </c>
      <c r="M44" s="15">
        <v>45586.445486111101</v>
      </c>
      <c r="N44" t="b">
        <v>1</v>
      </c>
      <c r="O44" s="15">
        <v>45586.445486111101</v>
      </c>
      <c r="P44" s="15">
        <v>45586.446134259197</v>
      </c>
      <c r="Q44" t="b">
        <v>1</v>
      </c>
      <c r="R44" s="15">
        <v>45586.446134259197</v>
      </c>
      <c r="S44" s="15">
        <v>45586.446388888799</v>
      </c>
      <c r="T44" s="15">
        <v>45586.446388888799</v>
      </c>
      <c r="V44" t="s">
        <v>487</v>
      </c>
      <c r="W44" s="15">
        <v>45586</v>
      </c>
      <c r="X44" t="s">
        <v>488</v>
      </c>
      <c r="Y44" t="s">
        <v>138</v>
      </c>
      <c r="Z44" t="s">
        <v>135</v>
      </c>
      <c r="AA44" t="s">
        <v>133</v>
      </c>
      <c r="AB44" t="s">
        <v>220</v>
      </c>
      <c r="AE44" t="s">
        <v>287</v>
      </c>
      <c r="AF44" t="s">
        <v>489</v>
      </c>
      <c r="AG44">
        <v>8431</v>
      </c>
      <c r="AH44" t="s">
        <v>264</v>
      </c>
      <c r="AI44">
        <v>246800</v>
      </c>
      <c r="AJ44" t="s">
        <v>490</v>
      </c>
      <c r="AK44">
        <v>186</v>
      </c>
      <c r="AL44" t="s">
        <v>39</v>
      </c>
      <c r="AM44">
        <v>2</v>
      </c>
      <c r="AN44">
        <v>28</v>
      </c>
      <c r="AQ44">
        <v>1</v>
      </c>
      <c r="AR44" t="s">
        <v>39</v>
      </c>
      <c r="AS44" t="s">
        <v>272</v>
      </c>
      <c r="AT44" t="s">
        <v>491</v>
      </c>
      <c r="AU44" t="s">
        <v>40</v>
      </c>
      <c r="AV44" t="s">
        <v>6</v>
      </c>
      <c r="AW44" t="s">
        <v>488</v>
      </c>
      <c r="AX44">
        <v>72</v>
      </c>
      <c r="AY44" t="b">
        <v>1</v>
      </c>
      <c r="AZ44" t="s">
        <v>492</v>
      </c>
      <c r="BB44" t="s">
        <v>493</v>
      </c>
      <c r="BC44">
        <v>43892</v>
      </c>
      <c r="BD44">
        <v>0</v>
      </c>
      <c r="BE44">
        <v>186</v>
      </c>
      <c r="BF44" t="s">
        <v>266</v>
      </c>
    </row>
    <row r="45" spans="1:58" x14ac:dyDescent="0.3">
      <c r="A45">
        <v>8530</v>
      </c>
      <c r="B45">
        <v>0.133333333333333</v>
      </c>
      <c r="C45" s="16">
        <v>5.5555555555555497E-3</v>
      </c>
      <c r="D45" t="s">
        <v>137</v>
      </c>
      <c r="E45" s="109">
        <v>2</v>
      </c>
      <c r="F45" s="15">
        <v>45586.446226851796</v>
      </c>
      <c r="G45" s="15">
        <v>45585.75</v>
      </c>
      <c r="H45" s="15">
        <v>45586.446226851796</v>
      </c>
      <c r="I45" s="15">
        <v>1</v>
      </c>
      <c r="J45">
        <v>0</v>
      </c>
      <c r="K45" s="16">
        <v>0</v>
      </c>
      <c r="L45" s="8">
        <v>45586</v>
      </c>
      <c r="M45" s="15">
        <v>45586.446226851796</v>
      </c>
      <c r="O45" s="15">
        <v>1</v>
      </c>
      <c r="P45" s="15">
        <v>1</v>
      </c>
      <c r="R45" s="15">
        <v>1</v>
      </c>
      <c r="S45" s="15">
        <v>45586.446226851796</v>
      </c>
      <c r="T45" s="15">
        <v>45586.446226851796</v>
      </c>
      <c r="W45" s="15">
        <v>45586</v>
      </c>
      <c r="X45" t="s">
        <v>494</v>
      </c>
      <c r="Y45" t="s">
        <v>134</v>
      </c>
      <c r="Z45" t="s">
        <v>135</v>
      </c>
      <c r="AA45" t="s">
        <v>131</v>
      </c>
      <c r="AB45" t="s">
        <v>288</v>
      </c>
      <c r="AE45" t="s">
        <v>26</v>
      </c>
      <c r="AF45" t="s">
        <v>38</v>
      </c>
      <c r="AG45">
        <v>8432</v>
      </c>
      <c r="AH45" t="s">
        <v>264</v>
      </c>
      <c r="AI45">
        <v>247605</v>
      </c>
      <c r="AJ45" t="s">
        <v>495</v>
      </c>
      <c r="AK45">
        <v>2766</v>
      </c>
      <c r="AL45" t="s">
        <v>39</v>
      </c>
      <c r="AM45">
        <v>2</v>
      </c>
      <c r="AN45">
        <v>19</v>
      </c>
      <c r="AQ45">
        <v>1</v>
      </c>
      <c r="AR45" t="s">
        <v>39</v>
      </c>
      <c r="AS45" t="s">
        <v>270</v>
      </c>
      <c r="AU45" t="s">
        <v>40</v>
      </c>
      <c r="AV45" t="s">
        <v>6</v>
      </c>
      <c r="AW45" t="s">
        <v>496</v>
      </c>
      <c r="AX45">
        <v>70</v>
      </c>
      <c r="AZ45" t="s">
        <v>497</v>
      </c>
      <c r="BB45" t="s">
        <v>498</v>
      </c>
      <c r="BC45">
        <v>43893</v>
      </c>
      <c r="BD45">
        <v>0</v>
      </c>
      <c r="BE45">
        <v>2766</v>
      </c>
      <c r="BF45" t="s">
        <v>266</v>
      </c>
    </row>
    <row r="46" spans="1:58" x14ac:dyDescent="0.3">
      <c r="A46">
        <v>8531</v>
      </c>
      <c r="B46">
        <v>8.3333333333333301E-2</v>
      </c>
      <c r="C46" s="16">
        <v>3.4722222222222199E-3</v>
      </c>
      <c r="D46" t="s">
        <v>137</v>
      </c>
      <c r="E46" s="109">
        <v>2</v>
      </c>
      <c r="F46" s="15">
        <v>45586.447812500002</v>
      </c>
      <c r="G46" s="15">
        <v>45585.75</v>
      </c>
      <c r="H46" s="15">
        <v>45586.447812500002</v>
      </c>
      <c r="I46" s="15">
        <v>1</v>
      </c>
      <c r="J46">
        <v>0</v>
      </c>
      <c r="K46" s="16">
        <v>0</v>
      </c>
      <c r="L46" s="8">
        <v>45586</v>
      </c>
      <c r="M46" s="15">
        <v>45586.447812500002</v>
      </c>
      <c r="O46" s="15">
        <v>1</v>
      </c>
      <c r="P46" s="15">
        <v>1</v>
      </c>
      <c r="R46" s="15">
        <v>1</v>
      </c>
      <c r="S46" s="15">
        <v>45586.447812500002</v>
      </c>
      <c r="T46" s="15">
        <v>45586.447812500002</v>
      </c>
      <c r="W46" s="15">
        <v>45586</v>
      </c>
      <c r="X46" t="s">
        <v>499</v>
      </c>
      <c r="Y46" t="s">
        <v>134</v>
      </c>
      <c r="Z46" t="s">
        <v>135</v>
      </c>
      <c r="AA46" t="s">
        <v>131</v>
      </c>
      <c r="AB46" t="s">
        <v>259</v>
      </c>
      <c r="AE46" t="s">
        <v>26</v>
      </c>
      <c r="AF46" t="s">
        <v>374</v>
      </c>
      <c r="AG46">
        <v>8433</v>
      </c>
      <c r="AH46" t="s">
        <v>264</v>
      </c>
      <c r="AI46">
        <v>247026</v>
      </c>
      <c r="AJ46" t="s">
        <v>500</v>
      </c>
      <c r="AK46">
        <v>2766</v>
      </c>
      <c r="AL46" t="s">
        <v>39</v>
      </c>
      <c r="AM46">
        <v>2</v>
      </c>
      <c r="AN46">
        <v>26</v>
      </c>
      <c r="AQ46">
        <v>1</v>
      </c>
      <c r="AR46" t="s">
        <v>39</v>
      </c>
      <c r="AS46" t="s">
        <v>270</v>
      </c>
      <c r="AU46" t="s">
        <v>40</v>
      </c>
      <c r="AV46" t="s">
        <v>6</v>
      </c>
      <c r="AW46" t="s">
        <v>501</v>
      </c>
      <c r="AX46">
        <v>70</v>
      </c>
      <c r="AZ46" t="s">
        <v>502</v>
      </c>
      <c r="BB46" t="s">
        <v>503</v>
      </c>
      <c r="BC46">
        <v>43895</v>
      </c>
      <c r="BD46">
        <v>0</v>
      </c>
      <c r="BE46">
        <v>2766</v>
      </c>
      <c r="BF46" t="s">
        <v>266</v>
      </c>
    </row>
    <row r="47" spans="1:58" x14ac:dyDescent="0.3">
      <c r="A47">
        <v>8532</v>
      </c>
      <c r="B47">
        <v>0.1</v>
      </c>
      <c r="C47" s="16">
        <v>4.1666666666666597E-3</v>
      </c>
      <c r="D47" t="s">
        <v>96</v>
      </c>
      <c r="E47" s="109">
        <v>3</v>
      </c>
      <c r="F47" s="15">
        <v>45586.448182870299</v>
      </c>
      <c r="G47" s="15">
        <v>45585.75</v>
      </c>
      <c r="H47" s="15">
        <v>45586.448182870299</v>
      </c>
      <c r="I47" s="15">
        <v>45586.467094907399</v>
      </c>
      <c r="J47">
        <v>0.45388888888888801</v>
      </c>
      <c r="K47" s="16">
        <v>1.8912037037037002E-2</v>
      </c>
      <c r="L47" s="8">
        <v>45586</v>
      </c>
      <c r="M47" s="15">
        <v>45586.448182870299</v>
      </c>
      <c r="O47" s="15">
        <v>1</v>
      </c>
      <c r="P47" s="15">
        <v>45586.467094907399</v>
      </c>
      <c r="R47" s="15">
        <v>1</v>
      </c>
      <c r="S47" s="15">
        <v>45586.467094907399</v>
      </c>
      <c r="T47" s="15">
        <v>45586.467094907399</v>
      </c>
      <c r="U47" t="s">
        <v>217</v>
      </c>
      <c r="V47" t="s">
        <v>504</v>
      </c>
      <c r="W47" s="15">
        <v>45586</v>
      </c>
      <c r="X47" t="s">
        <v>504</v>
      </c>
      <c r="Y47" t="s">
        <v>142</v>
      </c>
      <c r="Z47" t="s">
        <v>216</v>
      </c>
      <c r="AA47" t="s">
        <v>131</v>
      </c>
      <c r="AB47" t="s">
        <v>203</v>
      </c>
      <c r="AE47" t="s">
        <v>26</v>
      </c>
      <c r="AF47" t="s">
        <v>505</v>
      </c>
      <c r="AG47">
        <v>8434</v>
      </c>
      <c r="AH47" t="s">
        <v>264</v>
      </c>
      <c r="AI47">
        <v>246970</v>
      </c>
      <c r="AJ47" t="s">
        <v>506</v>
      </c>
      <c r="AK47">
        <v>299</v>
      </c>
      <c r="AL47" t="s">
        <v>39</v>
      </c>
      <c r="AM47">
        <v>1</v>
      </c>
      <c r="AN47">
        <v>6</v>
      </c>
      <c r="AQ47">
        <v>1</v>
      </c>
      <c r="AR47" t="s">
        <v>39</v>
      </c>
      <c r="AS47" t="s">
        <v>265</v>
      </c>
      <c r="AT47" t="s">
        <v>507</v>
      </c>
      <c r="AU47" t="s">
        <v>40</v>
      </c>
      <c r="AV47" t="s">
        <v>6</v>
      </c>
      <c r="AW47" t="s">
        <v>504</v>
      </c>
      <c r="AX47">
        <v>72</v>
      </c>
      <c r="AY47" t="b">
        <v>1</v>
      </c>
      <c r="AZ47" t="s">
        <v>508</v>
      </c>
      <c r="BA47">
        <v>2</v>
      </c>
      <c r="BB47" t="s">
        <v>509</v>
      </c>
      <c r="BC47">
        <v>43896</v>
      </c>
      <c r="BD47">
        <v>0</v>
      </c>
      <c r="BE47">
        <v>299</v>
      </c>
      <c r="BF47" t="s">
        <v>266</v>
      </c>
    </row>
    <row r="48" spans="1:58" x14ac:dyDescent="0.3">
      <c r="A48">
        <v>8533</v>
      </c>
      <c r="B48">
        <v>2.1666666666666599</v>
      </c>
      <c r="C48" s="16">
        <v>9.0277777777777707E-2</v>
      </c>
      <c r="D48" t="s">
        <v>96</v>
      </c>
      <c r="E48" s="109">
        <v>0</v>
      </c>
      <c r="F48" s="15">
        <v>45586.449340277701</v>
      </c>
      <c r="G48" s="15">
        <v>45585.75</v>
      </c>
      <c r="H48" s="15">
        <v>45586.449340277701</v>
      </c>
      <c r="I48" s="15">
        <v>45586.542673611097</v>
      </c>
      <c r="J48">
        <v>2.2400000000000002</v>
      </c>
      <c r="K48" s="16">
        <v>9.3333333333333296E-2</v>
      </c>
      <c r="L48" s="8">
        <v>45586</v>
      </c>
      <c r="M48" s="15">
        <v>45586.449340277701</v>
      </c>
      <c r="O48" s="15">
        <v>1</v>
      </c>
      <c r="P48" s="15">
        <v>45586.542673611097</v>
      </c>
      <c r="R48" s="15">
        <v>1</v>
      </c>
      <c r="S48" s="15">
        <v>45586.542673611097</v>
      </c>
      <c r="T48" s="15">
        <v>45586.542673611097</v>
      </c>
      <c r="W48" s="15">
        <v>45586</v>
      </c>
      <c r="X48" t="s">
        <v>24</v>
      </c>
      <c r="Y48" t="s">
        <v>147</v>
      </c>
      <c r="Z48" t="s">
        <v>145</v>
      </c>
      <c r="AA48" t="s">
        <v>131</v>
      </c>
      <c r="AB48" t="s">
        <v>29</v>
      </c>
      <c r="AC48" t="s">
        <v>148</v>
      </c>
      <c r="AE48" t="s">
        <v>26</v>
      </c>
      <c r="AF48" t="s">
        <v>28</v>
      </c>
      <c r="AG48">
        <v>8435</v>
      </c>
      <c r="AH48" t="s">
        <v>264</v>
      </c>
      <c r="AI48">
        <v>247615</v>
      </c>
      <c r="AJ48" t="s">
        <v>510</v>
      </c>
      <c r="AK48">
        <v>446</v>
      </c>
      <c r="AL48" t="s">
        <v>39</v>
      </c>
      <c r="AM48">
        <v>11</v>
      </c>
      <c r="AN48">
        <v>8</v>
      </c>
      <c r="AO48">
        <v>86</v>
      </c>
      <c r="AQ48">
        <v>1</v>
      </c>
      <c r="AR48" t="s">
        <v>39</v>
      </c>
      <c r="AS48" t="s">
        <v>268</v>
      </c>
      <c r="AU48" t="s">
        <v>40</v>
      </c>
      <c r="AV48" t="s">
        <v>6</v>
      </c>
      <c r="AW48" t="s">
        <v>511</v>
      </c>
      <c r="AX48">
        <v>72</v>
      </c>
      <c r="AY48" t="b">
        <v>1</v>
      </c>
      <c r="AZ48" t="s">
        <v>512</v>
      </c>
      <c r="BB48" t="s">
        <v>513</v>
      </c>
      <c r="BC48">
        <v>43923</v>
      </c>
      <c r="BD48">
        <v>0</v>
      </c>
      <c r="BE48">
        <v>446</v>
      </c>
      <c r="BF48" t="s">
        <v>266</v>
      </c>
    </row>
    <row r="49" spans="1:58" x14ac:dyDescent="0.3">
      <c r="A49">
        <v>8534</v>
      </c>
      <c r="B49">
        <v>0.25</v>
      </c>
      <c r="C49" s="16">
        <v>1.04166666666666E-2</v>
      </c>
      <c r="D49" t="s">
        <v>96</v>
      </c>
      <c r="E49" s="109">
        <v>1</v>
      </c>
      <c r="F49" s="15">
        <v>45586.453958333303</v>
      </c>
      <c r="G49" s="15">
        <v>45585.75</v>
      </c>
      <c r="H49" s="15">
        <v>45586.453958333303</v>
      </c>
      <c r="I49" s="15">
        <v>45586.4721064814</v>
      </c>
      <c r="J49">
        <v>0.43555555555555497</v>
      </c>
      <c r="K49" s="16">
        <v>1.8148148148148101E-2</v>
      </c>
      <c r="L49" s="8">
        <v>45586</v>
      </c>
      <c r="M49" s="15">
        <v>45586.453958333303</v>
      </c>
      <c r="O49" s="15">
        <v>1</v>
      </c>
      <c r="P49" s="15">
        <v>45586.4721064814</v>
      </c>
      <c r="R49" s="15">
        <v>1</v>
      </c>
      <c r="S49" s="15">
        <v>45586.472094907404</v>
      </c>
      <c r="T49" s="15">
        <v>45586.472094907404</v>
      </c>
      <c r="W49" s="15">
        <v>45586</v>
      </c>
      <c r="X49" t="s">
        <v>514</v>
      </c>
      <c r="Y49" t="s">
        <v>171</v>
      </c>
      <c r="Z49" t="s">
        <v>216</v>
      </c>
      <c r="AA49" t="s">
        <v>133</v>
      </c>
      <c r="AB49" t="s">
        <v>212</v>
      </c>
      <c r="AE49" t="s">
        <v>26</v>
      </c>
      <c r="AF49" t="s">
        <v>515</v>
      </c>
      <c r="AG49">
        <v>8436</v>
      </c>
      <c r="AH49" t="s">
        <v>264</v>
      </c>
      <c r="AI49">
        <v>247277</v>
      </c>
      <c r="AJ49" t="s">
        <v>516</v>
      </c>
      <c r="AK49">
        <v>314</v>
      </c>
      <c r="AL49" t="s">
        <v>39</v>
      </c>
      <c r="AM49">
        <v>1</v>
      </c>
      <c r="AN49">
        <v>7</v>
      </c>
      <c r="AQ49">
        <v>1</v>
      </c>
      <c r="AR49" t="s">
        <v>39</v>
      </c>
      <c r="AS49" t="s">
        <v>273</v>
      </c>
      <c r="AU49" t="s">
        <v>40</v>
      </c>
      <c r="AV49" t="s">
        <v>6</v>
      </c>
      <c r="AW49" t="s">
        <v>514</v>
      </c>
      <c r="AX49">
        <v>72</v>
      </c>
      <c r="AY49" t="b">
        <v>1</v>
      </c>
      <c r="AZ49" t="s">
        <v>517</v>
      </c>
      <c r="BB49" t="s">
        <v>518</v>
      </c>
      <c r="BC49">
        <v>43899</v>
      </c>
      <c r="BD49">
        <v>0</v>
      </c>
      <c r="BE49">
        <v>314</v>
      </c>
      <c r="BF49" t="s">
        <v>266</v>
      </c>
    </row>
    <row r="50" spans="1:58" x14ac:dyDescent="0.3">
      <c r="A50">
        <v>8535</v>
      </c>
      <c r="B50">
        <v>0.63333333333333297</v>
      </c>
      <c r="C50" s="16">
        <v>2.6388888888888799E-2</v>
      </c>
      <c r="D50" t="s">
        <v>96</v>
      </c>
      <c r="E50" s="109">
        <v>3</v>
      </c>
      <c r="F50" s="15">
        <v>45586.454421296199</v>
      </c>
      <c r="G50" s="15">
        <v>45585.75</v>
      </c>
      <c r="H50" s="15">
        <v>45586.454421296199</v>
      </c>
      <c r="I50" s="15">
        <v>45586.467060185103</v>
      </c>
      <c r="J50">
        <v>0.30333333333333301</v>
      </c>
      <c r="K50" s="16">
        <v>1.26388888888888E-2</v>
      </c>
      <c r="L50" s="8">
        <v>45586</v>
      </c>
      <c r="M50" s="15">
        <v>45586.454421296199</v>
      </c>
      <c r="O50" s="15">
        <v>1</v>
      </c>
      <c r="P50" s="15">
        <v>45586.467060185103</v>
      </c>
      <c r="R50" s="15">
        <v>1</v>
      </c>
      <c r="S50" s="15">
        <v>45586.467060185103</v>
      </c>
      <c r="T50" s="15">
        <v>45586.467060185103</v>
      </c>
      <c r="U50" t="s">
        <v>217</v>
      </c>
      <c r="V50" t="s">
        <v>519</v>
      </c>
      <c r="W50" s="15">
        <v>45586</v>
      </c>
      <c r="X50" t="s">
        <v>519</v>
      </c>
      <c r="Y50" t="s">
        <v>142</v>
      </c>
      <c r="Z50" t="s">
        <v>216</v>
      </c>
      <c r="AA50" t="s">
        <v>131</v>
      </c>
      <c r="AB50" t="s">
        <v>27</v>
      </c>
      <c r="AC50" t="s">
        <v>145</v>
      </c>
      <c r="AE50" t="s">
        <v>35</v>
      </c>
      <c r="AF50" t="s">
        <v>520</v>
      </c>
      <c r="AG50">
        <v>8437</v>
      </c>
      <c r="AH50" t="s">
        <v>264</v>
      </c>
      <c r="AI50">
        <v>247895</v>
      </c>
      <c r="AJ50" t="s">
        <v>521</v>
      </c>
      <c r="AK50">
        <v>299</v>
      </c>
      <c r="AL50" t="s">
        <v>39</v>
      </c>
      <c r="AM50">
        <v>1</v>
      </c>
      <c r="AN50">
        <v>5</v>
      </c>
      <c r="AO50">
        <v>14</v>
      </c>
      <c r="AQ50">
        <v>1</v>
      </c>
      <c r="AR50" t="s">
        <v>39</v>
      </c>
      <c r="AS50" t="s">
        <v>265</v>
      </c>
      <c r="AT50" t="s">
        <v>522</v>
      </c>
      <c r="AU50" t="s">
        <v>40</v>
      </c>
      <c r="AV50" t="s">
        <v>6</v>
      </c>
      <c r="AW50" t="s">
        <v>519</v>
      </c>
      <c r="AX50">
        <v>72</v>
      </c>
      <c r="AY50" t="b">
        <v>1</v>
      </c>
      <c r="AZ50" t="s">
        <v>523</v>
      </c>
      <c r="BA50">
        <v>2</v>
      </c>
      <c r="BB50" t="s">
        <v>524</v>
      </c>
      <c r="BC50">
        <v>43898</v>
      </c>
      <c r="BD50">
        <v>0</v>
      </c>
      <c r="BE50">
        <v>299</v>
      </c>
      <c r="BF50" t="s">
        <v>266</v>
      </c>
    </row>
    <row r="51" spans="1:58" x14ac:dyDescent="0.3">
      <c r="A51">
        <v>8536</v>
      </c>
      <c r="B51">
        <v>1.1666666666666601</v>
      </c>
      <c r="C51" s="16">
        <v>4.8611111111111098E-2</v>
      </c>
      <c r="D51" t="s">
        <v>96</v>
      </c>
      <c r="E51" s="109">
        <v>1</v>
      </c>
      <c r="F51" s="15">
        <v>45586.454803240696</v>
      </c>
      <c r="G51" s="15">
        <v>45585.75</v>
      </c>
      <c r="H51" s="15">
        <v>45586.454803240696</v>
      </c>
      <c r="I51" s="15">
        <v>45586.609953703701</v>
      </c>
      <c r="J51">
        <v>3.7236111111111101</v>
      </c>
      <c r="K51" s="16">
        <v>0.155150462962962</v>
      </c>
      <c r="L51" s="8">
        <v>45586</v>
      </c>
      <c r="M51" s="15">
        <v>45586.454803240696</v>
      </c>
      <c r="O51" s="15">
        <v>1</v>
      </c>
      <c r="P51" s="15">
        <v>45586.609953703701</v>
      </c>
      <c r="R51" s="15">
        <v>1</v>
      </c>
      <c r="S51" s="15">
        <v>45586.609953703701</v>
      </c>
      <c r="T51" s="15">
        <v>45586.609953703701</v>
      </c>
      <c r="U51" t="s">
        <v>217</v>
      </c>
      <c r="W51" s="15">
        <v>45586</v>
      </c>
      <c r="X51" t="s">
        <v>525</v>
      </c>
      <c r="Y51" t="s">
        <v>136</v>
      </c>
      <c r="Z51" t="s">
        <v>221</v>
      </c>
      <c r="AA51" t="s">
        <v>131</v>
      </c>
      <c r="AB51" t="s">
        <v>212</v>
      </c>
      <c r="AE51" t="s">
        <v>26</v>
      </c>
      <c r="AF51" t="s">
        <v>515</v>
      </c>
      <c r="AG51">
        <v>8438</v>
      </c>
      <c r="AH51" t="s">
        <v>264</v>
      </c>
      <c r="AI51">
        <v>247277</v>
      </c>
      <c r="AJ51" t="s">
        <v>516</v>
      </c>
      <c r="AK51">
        <v>248</v>
      </c>
      <c r="AL51" t="s">
        <v>39</v>
      </c>
      <c r="AM51">
        <v>10</v>
      </c>
      <c r="AN51">
        <v>7</v>
      </c>
      <c r="AQ51">
        <v>1</v>
      </c>
      <c r="AR51" t="s">
        <v>39</v>
      </c>
      <c r="AS51" t="s">
        <v>278</v>
      </c>
      <c r="AT51" t="s">
        <v>526</v>
      </c>
      <c r="AU51" t="s">
        <v>40</v>
      </c>
      <c r="AV51" t="s">
        <v>6</v>
      </c>
      <c r="AW51" t="s">
        <v>525</v>
      </c>
      <c r="AX51">
        <v>72</v>
      </c>
      <c r="AY51" t="b">
        <v>1</v>
      </c>
      <c r="AZ51" t="s">
        <v>527</v>
      </c>
      <c r="BA51">
        <v>2</v>
      </c>
      <c r="BB51" t="s">
        <v>518</v>
      </c>
      <c r="BC51">
        <v>43900</v>
      </c>
      <c r="BD51">
        <v>0</v>
      </c>
      <c r="BE51">
        <v>248</v>
      </c>
      <c r="BF51" t="s">
        <v>266</v>
      </c>
    </row>
    <row r="52" spans="1:58" x14ac:dyDescent="0.3">
      <c r="A52">
        <v>8537</v>
      </c>
      <c r="B52">
        <v>0.1</v>
      </c>
      <c r="C52" s="16">
        <v>4.1666666666666597E-3</v>
      </c>
      <c r="D52" t="s">
        <v>96</v>
      </c>
      <c r="E52" s="109">
        <v>3</v>
      </c>
      <c r="F52" s="15">
        <v>45586.455729166599</v>
      </c>
      <c r="G52" s="15">
        <v>45585.75</v>
      </c>
      <c r="H52" s="15">
        <v>45586.455729166599</v>
      </c>
      <c r="I52" s="15">
        <v>45586.467048611099</v>
      </c>
      <c r="J52">
        <v>0.271666666666666</v>
      </c>
      <c r="K52" s="16">
        <v>1.1319444444444399E-2</v>
      </c>
      <c r="L52" s="8">
        <v>45586</v>
      </c>
      <c r="M52" s="15">
        <v>45586.455729166599</v>
      </c>
      <c r="O52" s="15">
        <v>1</v>
      </c>
      <c r="P52" s="15">
        <v>45586.467048611099</v>
      </c>
      <c r="R52" s="15">
        <v>1</v>
      </c>
      <c r="S52" s="15">
        <v>45586.467048611099</v>
      </c>
      <c r="T52" s="15">
        <v>45586.467048611099</v>
      </c>
      <c r="U52" t="s">
        <v>217</v>
      </c>
      <c r="V52" t="s">
        <v>528</v>
      </c>
      <c r="W52" s="15">
        <v>45586</v>
      </c>
      <c r="X52" t="s">
        <v>528</v>
      </c>
      <c r="Y52" t="s">
        <v>142</v>
      </c>
      <c r="Z52" t="s">
        <v>145</v>
      </c>
      <c r="AA52" t="s">
        <v>131</v>
      </c>
      <c r="AB52" t="s">
        <v>203</v>
      </c>
      <c r="AC52" t="s">
        <v>204</v>
      </c>
      <c r="AE52" t="s">
        <v>529</v>
      </c>
      <c r="AF52" t="s">
        <v>530</v>
      </c>
      <c r="AG52">
        <v>8439</v>
      </c>
      <c r="AH52" t="s">
        <v>264</v>
      </c>
      <c r="AI52">
        <v>247355</v>
      </c>
      <c r="AJ52" t="s">
        <v>531</v>
      </c>
      <c r="AK52">
        <v>299</v>
      </c>
      <c r="AL52" t="s">
        <v>39</v>
      </c>
      <c r="AM52">
        <v>11</v>
      </c>
      <c r="AN52">
        <v>6</v>
      </c>
      <c r="AO52">
        <v>13</v>
      </c>
      <c r="AQ52">
        <v>1</v>
      </c>
      <c r="AR52" t="s">
        <v>39</v>
      </c>
      <c r="AS52" t="s">
        <v>265</v>
      </c>
      <c r="AT52" t="s">
        <v>532</v>
      </c>
      <c r="AU52" t="s">
        <v>40</v>
      </c>
      <c r="AV52" t="s">
        <v>6</v>
      </c>
      <c r="AW52" t="s">
        <v>528</v>
      </c>
      <c r="AX52">
        <v>72</v>
      </c>
      <c r="AY52" t="b">
        <v>1</v>
      </c>
      <c r="AZ52" t="s">
        <v>533</v>
      </c>
      <c r="BA52">
        <v>2</v>
      </c>
      <c r="BB52" t="s">
        <v>534</v>
      </c>
      <c r="BC52">
        <v>43901</v>
      </c>
      <c r="BD52">
        <v>0</v>
      </c>
      <c r="BE52">
        <v>299</v>
      </c>
      <c r="BF52" t="s">
        <v>266</v>
      </c>
    </row>
    <row r="53" spans="1:58" x14ac:dyDescent="0.3">
      <c r="A53">
        <v>8538</v>
      </c>
      <c r="B53">
        <v>0.33333333333333298</v>
      </c>
      <c r="C53" s="16">
        <v>1.38888888888888E-2</v>
      </c>
      <c r="D53" t="s">
        <v>96</v>
      </c>
      <c r="E53" s="109">
        <v>1</v>
      </c>
      <c r="F53" s="15">
        <v>45586.457129629598</v>
      </c>
      <c r="G53" s="15">
        <v>45585.75</v>
      </c>
      <c r="H53" s="15">
        <v>45586.457129629598</v>
      </c>
      <c r="I53" s="15">
        <v>45586.471967592501</v>
      </c>
      <c r="J53">
        <v>0.35611111111111099</v>
      </c>
      <c r="K53" s="16">
        <v>1.48379629629629E-2</v>
      </c>
      <c r="L53" s="8">
        <v>45586</v>
      </c>
      <c r="M53" s="15">
        <v>45586.457129629598</v>
      </c>
      <c r="O53" s="15">
        <v>1</v>
      </c>
      <c r="P53" s="15">
        <v>45586.471967592501</v>
      </c>
      <c r="R53" s="15">
        <v>1</v>
      </c>
      <c r="S53" s="15">
        <v>45586.471967592501</v>
      </c>
      <c r="T53" s="15">
        <v>45586.471967592501</v>
      </c>
      <c r="U53" t="s">
        <v>217</v>
      </c>
      <c r="W53" s="15">
        <v>45586</v>
      </c>
      <c r="X53" t="s">
        <v>535</v>
      </c>
      <c r="Y53" t="s">
        <v>171</v>
      </c>
      <c r="Z53" t="s">
        <v>216</v>
      </c>
      <c r="AA53" t="s">
        <v>133</v>
      </c>
      <c r="AB53" t="s">
        <v>257</v>
      </c>
      <c r="AE53" t="s">
        <v>26</v>
      </c>
      <c r="AF53" t="s">
        <v>477</v>
      </c>
      <c r="AG53">
        <v>8440</v>
      </c>
      <c r="AH53" t="s">
        <v>264</v>
      </c>
      <c r="AI53">
        <v>247922</v>
      </c>
      <c r="AJ53" t="s">
        <v>478</v>
      </c>
      <c r="AK53">
        <v>314</v>
      </c>
      <c r="AL53" t="s">
        <v>39</v>
      </c>
      <c r="AM53">
        <v>1</v>
      </c>
      <c r="AN53">
        <v>21</v>
      </c>
      <c r="AQ53">
        <v>1</v>
      </c>
      <c r="AR53" t="s">
        <v>39</v>
      </c>
      <c r="AS53" t="s">
        <v>273</v>
      </c>
      <c r="AU53" t="s">
        <v>40</v>
      </c>
      <c r="AV53" t="s">
        <v>6</v>
      </c>
      <c r="AW53" t="s">
        <v>536</v>
      </c>
      <c r="AX53">
        <v>72</v>
      </c>
      <c r="AY53" t="b">
        <v>1</v>
      </c>
      <c r="AZ53" t="s">
        <v>537</v>
      </c>
      <c r="BA53">
        <v>2</v>
      </c>
      <c r="BB53" t="s">
        <v>480</v>
      </c>
      <c r="BC53">
        <v>43912</v>
      </c>
      <c r="BD53">
        <v>0</v>
      </c>
      <c r="BE53">
        <v>314</v>
      </c>
      <c r="BF53" t="s">
        <v>266</v>
      </c>
    </row>
    <row r="54" spans="1:58" x14ac:dyDescent="0.3">
      <c r="A54">
        <v>8539</v>
      </c>
      <c r="B54">
        <v>0.21666666666666601</v>
      </c>
      <c r="C54" s="16">
        <v>9.02777777777777E-3</v>
      </c>
      <c r="D54" t="s">
        <v>96</v>
      </c>
      <c r="E54" s="109">
        <v>1</v>
      </c>
      <c r="F54" s="15">
        <v>45586.457256944399</v>
      </c>
      <c r="G54" s="15">
        <v>45585.75</v>
      </c>
      <c r="H54" s="15">
        <v>45586.457256944399</v>
      </c>
      <c r="I54" s="15">
        <v>45586.469363425902</v>
      </c>
      <c r="J54">
        <v>0.29055555555555501</v>
      </c>
      <c r="K54" s="16">
        <v>1.21064814814814E-2</v>
      </c>
      <c r="L54" s="8">
        <v>45586</v>
      </c>
      <c r="M54" s="15">
        <v>45586.457256944399</v>
      </c>
      <c r="O54" s="15">
        <v>1</v>
      </c>
      <c r="P54" s="15">
        <v>45586.469363425902</v>
      </c>
      <c r="R54" s="15">
        <v>1</v>
      </c>
      <c r="S54" s="15">
        <v>45586.469363425902</v>
      </c>
      <c r="T54" s="15">
        <v>45586.469363425902</v>
      </c>
      <c r="U54" t="s">
        <v>217</v>
      </c>
      <c r="W54" s="15">
        <v>45586</v>
      </c>
      <c r="X54" t="s">
        <v>538</v>
      </c>
      <c r="Y54" t="s">
        <v>171</v>
      </c>
      <c r="Z54" t="s">
        <v>216</v>
      </c>
      <c r="AA54" t="s">
        <v>131</v>
      </c>
      <c r="AB54" t="s">
        <v>257</v>
      </c>
      <c r="AE54" t="s">
        <v>287</v>
      </c>
      <c r="AF54" t="s">
        <v>539</v>
      </c>
      <c r="AG54">
        <v>8441</v>
      </c>
      <c r="AH54" t="s">
        <v>264</v>
      </c>
      <c r="AI54">
        <v>246924</v>
      </c>
      <c r="AJ54" t="s">
        <v>540</v>
      </c>
      <c r="AK54">
        <v>314</v>
      </c>
      <c r="AL54" t="s">
        <v>39</v>
      </c>
      <c r="AM54">
        <v>1</v>
      </c>
      <c r="AN54">
        <v>21</v>
      </c>
      <c r="AQ54">
        <v>1</v>
      </c>
      <c r="AR54" t="s">
        <v>39</v>
      </c>
      <c r="AS54" t="s">
        <v>273</v>
      </c>
      <c r="AU54" t="s">
        <v>40</v>
      </c>
      <c r="AV54" t="s">
        <v>6</v>
      </c>
      <c r="AW54" t="s">
        <v>541</v>
      </c>
      <c r="AX54">
        <v>72</v>
      </c>
      <c r="AY54" t="b">
        <v>1</v>
      </c>
      <c r="AZ54" t="s">
        <v>542</v>
      </c>
      <c r="BA54">
        <v>2</v>
      </c>
      <c r="BB54" t="s">
        <v>543</v>
      </c>
      <c r="BC54">
        <v>43910</v>
      </c>
      <c r="BD54">
        <v>0</v>
      </c>
      <c r="BE54">
        <v>314</v>
      </c>
      <c r="BF54" t="s">
        <v>266</v>
      </c>
    </row>
    <row r="55" spans="1:58" x14ac:dyDescent="0.3">
      <c r="A55">
        <v>8540</v>
      </c>
      <c r="B55">
        <v>0.05</v>
      </c>
      <c r="C55" s="16">
        <v>2.0833333333333298E-3</v>
      </c>
      <c r="D55" t="s">
        <v>96</v>
      </c>
      <c r="E55" s="109">
        <v>2</v>
      </c>
      <c r="F55" s="15">
        <v>45586.458831018499</v>
      </c>
      <c r="G55" s="15">
        <v>45585.75</v>
      </c>
      <c r="H55" s="15">
        <v>45586.458831018499</v>
      </c>
      <c r="I55" s="15">
        <v>45586.4679398148</v>
      </c>
      <c r="J55">
        <v>0.21861111111111101</v>
      </c>
      <c r="K55" s="16">
        <v>9.1087962962962902E-3</v>
      </c>
      <c r="L55" s="8">
        <v>45586</v>
      </c>
      <c r="M55" s="15">
        <v>45586.458831018499</v>
      </c>
      <c r="O55" s="15">
        <v>1</v>
      </c>
      <c r="P55" s="15">
        <v>45586.4679398148</v>
      </c>
      <c r="R55" s="15">
        <v>1</v>
      </c>
      <c r="S55" s="15">
        <v>45586.4679398148</v>
      </c>
      <c r="T55" s="15">
        <v>45586.4679398148</v>
      </c>
      <c r="U55" t="s">
        <v>217</v>
      </c>
      <c r="V55" t="s">
        <v>544</v>
      </c>
      <c r="W55" s="15">
        <v>45586</v>
      </c>
      <c r="X55" t="s">
        <v>545</v>
      </c>
      <c r="Y55" t="s">
        <v>142</v>
      </c>
      <c r="Z55" t="s">
        <v>145</v>
      </c>
      <c r="AA55" t="s">
        <v>131</v>
      </c>
      <c r="AB55" t="s">
        <v>259</v>
      </c>
      <c r="AE55" t="s">
        <v>26</v>
      </c>
      <c r="AF55" t="s">
        <v>546</v>
      </c>
      <c r="AG55">
        <v>8442</v>
      </c>
      <c r="AH55" t="s">
        <v>264</v>
      </c>
      <c r="AI55">
        <v>247429</v>
      </c>
      <c r="AJ55" t="s">
        <v>547</v>
      </c>
      <c r="AK55">
        <v>299</v>
      </c>
      <c r="AL55" t="s">
        <v>39</v>
      </c>
      <c r="AM55">
        <v>11</v>
      </c>
      <c r="AN55">
        <v>26</v>
      </c>
      <c r="AQ55">
        <v>1</v>
      </c>
      <c r="AR55" t="s">
        <v>39</v>
      </c>
      <c r="AS55" t="s">
        <v>265</v>
      </c>
      <c r="AT55" t="s">
        <v>548</v>
      </c>
      <c r="AU55" t="s">
        <v>40</v>
      </c>
      <c r="AV55" t="s">
        <v>6</v>
      </c>
      <c r="AW55" t="s">
        <v>549</v>
      </c>
      <c r="AX55">
        <v>72</v>
      </c>
      <c r="AY55" t="b">
        <v>1</v>
      </c>
      <c r="AZ55" t="s">
        <v>550</v>
      </c>
      <c r="BA55">
        <v>2</v>
      </c>
      <c r="BB55" t="s">
        <v>551</v>
      </c>
      <c r="BC55">
        <v>43904</v>
      </c>
      <c r="BD55">
        <v>0</v>
      </c>
      <c r="BE55">
        <v>299</v>
      </c>
      <c r="BF55" t="s">
        <v>266</v>
      </c>
    </row>
    <row r="56" spans="1:58" x14ac:dyDescent="0.3">
      <c r="A56">
        <v>8541</v>
      </c>
      <c r="B56">
        <v>0.2</v>
      </c>
      <c r="C56" s="16">
        <v>8.3333333333333297E-3</v>
      </c>
      <c r="D56" t="s">
        <v>96</v>
      </c>
      <c r="E56" s="109">
        <v>1</v>
      </c>
      <c r="F56" s="15">
        <v>45586.460324074003</v>
      </c>
      <c r="G56" s="15">
        <v>45585.75</v>
      </c>
      <c r="H56" s="15">
        <v>45586.460324074003</v>
      </c>
      <c r="I56" s="15">
        <v>45586.468761573997</v>
      </c>
      <c r="J56">
        <v>0.20250000000000001</v>
      </c>
      <c r="K56" s="16">
        <v>8.4375000000000006E-3</v>
      </c>
      <c r="L56" s="8">
        <v>45586</v>
      </c>
      <c r="M56" s="15">
        <v>45586.460324074003</v>
      </c>
      <c r="O56" s="15">
        <v>1</v>
      </c>
      <c r="P56" s="15">
        <v>45586.468761573997</v>
      </c>
      <c r="R56" s="15">
        <v>1</v>
      </c>
      <c r="S56" s="15">
        <v>45586.468761573997</v>
      </c>
      <c r="T56" s="15">
        <v>45586.468761573997</v>
      </c>
      <c r="U56" t="s">
        <v>217</v>
      </c>
      <c r="W56" s="15">
        <v>45586</v>
      </c>
      <c r="X56" t="s">
        <v>552</v>
      </c>
      <c r="Y56" t="s">
        <v>171</v>
      </c>
      <c r="Z56" t="s">
        <v>135</v>
      </c>
      <c r="AA56" t="s">
        <v>133</v>
      </c>
      <c r="AB56" t="s">
        <v>259</v>
      </c>
      <c r="AE56" t="s">
        <v>34</v>
      </c>
      <c r="AF56" t="s">
        <v>275</v>
      </c>
      <c r="AG56">
        <v>8443</v>
      </c>
      <c r="AH56" t="s">
        <v>264</v>
      </c>
      <c r="AI56">
        <v>247711</v>
      </c>
      <c r="AJ56" t="s">
        <v>276</v>
      </c>
      <c r="AK56">
        <v>314</v>
      </c>
      <c r="AL56" t="s">
        <v>39</v>
      </c>
      <c r="AM56">
        <v>2</v>
      </c>
      <c r="AN56">
        <v>26</v>
      </c>
      <c r="AQ56">
        <v>1</v>
      </c>
      <c r="AR56" t="s">
        <v>39</v>
      </c>
      <c r="AS56" t="s">
        <v>273</v>
      </c>
      <c r="AU56" t="s">
        <v>40</v>
      </c>
      <c r="AV56" t="s">
        <v>6</v>
      </c>
      <c r="AW56" t="s">
        <v>552</v>
      </c>
      <c r="AX56">
        <v>72</v>
      </c>
      <c r="AY56" t="b">
        <v>1</v>
      </c>
      <c r="AZ56" t="s">
        <v>553</v>
      </c>
      <c r="BA56">
        <v>2</v>
      </c>
      <c r="BB56" t="s">
        <v>277</v>
      </c>
      <c r="BC56">
        <v>43905</v>
      </c>
      <c r="BD56">
        <v>0</v>
      </c>
      <c r="BE56">
        <v>314</v>
      </c>
      <c r="BF56" t="s">
        <v>266</v>
      </c>
    </row>
    <row r="57" spans="1:58" x14ac:dyDescent="0.3">
      <c r="A57">
        <v>8542</v>
      </c>
      <c r="B57">
        <v>0.28333333333333299</v>
      </c>
      <c r="C57" s="16">
        <v>1.18055555555555E-2</v>
      </c>
      <c r="D57" t="s">
        <v>96</v>
      </c>
      <c r="E57" s="109">
        <v>3</v>
      </c>
      <c r="F57" s="15">
        <v>45586.462500000001</v>
      </c>
      <c r="G57" s="15">
        <v>45585.75</v>
      </c>
      <c r="H57" s="15">
        <v>45586.462500000001</v>
      </c>
      <c r="I57" s="15">
        <v>45586.467013888803</v>
      </c>
      <c r="J57">
        <v>0.108333333333333</v>
      </c>
      <c r="K57" s="16">
        <v>4.5138888888888798E-3</v>
      </c>
      <c r="L57" s="8">
        <v>45586</v>
      </c>
      <c r="M57" s="15">
        <v>45586.462500000001</v>
      </c>
      <c r="O57" s="15">
        <v>1</v>
      </c>
      <c r="P57" s="15">
        <v>45586.467013888803</v>
      </c>
      <c r="R57" s="15">
        <v>1</v>
      </c>
      <c r="S57" s="15">
        <v>45586.467013888803</v>
      </c>
      <c r="T57" s="15">
        <v>45586.467013888803</v>
      </c>
      <c r="U57" t="s">
        <v>217</v>
      </c>
      <c r="V57" t="s">
        <v>554</v>
      </c>
      <c r="W57" s="15">
        <v>45586</v>
      </c>
      <c r="X57" t="s">
        <v>555</v>
      </c>
      <c r="Y57" t="s">
        <v>142</v>
      </c>
      <c r="Z57" t="s">
        <v>280</v>
      </c>
      <c r="AA57" t="s">
        <v>133</v>
      </c>
      <c r="AB57" t="s">
        <v>203</v>
      </c>
      <c r="AC57" t="s">
        <v>204</v>
      </c>
      <c r="AE57" t="s">
        <v>26</v>
      </c>
      <c r="AF57" t="s">
        <v>37</v>
      </c>
      <c r="AG57">
        <v>8444</v>
      </c>
      <c r="AH57" t="s">
        <v>264</v>
      </c>
      <c r="AI57">
        <v>247014</v>
      </c>
      <c r="AJ57" t="s">
        <v>318</v>
      </c>
      <c r="AK57">
        <v>299</v>
      </c>
      <c r="AL57" t="s">
        <v>39</v>
      </c>
      <c r="AM57">
        <v>9</v>
      </c>
      <c r="AN57">
        <v>6</v>
      </c>
      <c r="AO57">
        <v>13</v>
      </c>
      <c r="AQ57">
        <v>1</v>
      </c>
      <c r="AR57" t="s">
        <v>39</v>
      </c>
      <c r="AS57" t="s">
        <v>265</v>
      </c>
      <c r="AT57" t="s">
        <v>556</v>
      </c>
      <c r="AU57" t="s">
        <v>40</v>
      </c>
      <c r="AV57" t="s">
        <v>6</v>
      </c>
      <c r="AW57" t="s">
        <v>555</v>
      </c>
      <c r="AX57">
        <v>72</v>
      </c>
      <c r="AY57" t="b">
        <v>1</v>
      </c>
      <c r="AZ57" t="s">
        <v>557</v>
      </c>
      <c r="BA57">
        <v>2</v>
      </c>
      <c r="BB57" t="s">
        <v>319</v>
      </c>
      <c r="BC57">
        <v>43906</v>
      </c>
      <c r="BD57">
        <v>0</v>
      </c>
      <c r="BE57">
        <v>299</v>
      </c>
      <c r="BF57" t="s">
        <v>266</v>
      </c>
    </row>
    <row r="58" spans="1:58" x14ac:dyDescent="0.3">
      <c r="A58">
        <v>8543</v>
      </c>
      <c r="B58">
        <v>0.1</v>
      </c>
      <c r="C58" s="16">
        <v>4.1666666666666597E-3</v>
      </c>
      <c r="D58" t="s">
        <v>96</v>
      </c>
      <c r="E58" s="109">
        <v>3</v>
      </c>
      <c r="F58" s="15">
        <v>45586.463460648098</v>
      </c>
      <c r="G58" s="15">
        <v>45585.75</v>
      </c>
      <c r="H58" s="15">
        <v>45586.463460648098</v>
      </c>
      <c r="I58" s="15">
        <v>45586.467002314799</v>
      </c>
      <c r="J58">
        <v>8.4999999999999895E-2</v>
      </c>
      <c r="K58" s="16">
        <v>3.54166666666666E-3</v>
      </c>
      <c r="L58" s="8">
        <v>45586</v>
      </c>
      <c r="M58" s="15">
        <v>45586.463460648098</v>
      </c>
      <c r="O58" s="15">
        <v>1</v>
      </c>
      <c r="P58" s="15">
        <v>45586.467002314799</v>
      </c>
      <c r="R58" s="15">
        <v>1</v>
      </c>
      <c r="S58" s="15">
        <v>45586.467002314799</v>
      </c>
      <c r="T58" s="15">
        <v>45586.467002314799</v>
      </c>
      <c r="U58" t="s">
        <v>217</v>
      </c>
      <c r="V58" t="s">
        <v>558</v>
      </c>
      <c r="W58" s="15">
        <v>45586</v>
      </c>
      <c r="X58" t="s">
        <v>559</v>
      </c>
      <c r="Y58" t="s">
        <v>142</v>
      </c>
      <c r="Z58" t="s">
        <v>145</v>
      </c>
      <c r="AA58" t="s">
        <v>131</v>
      </c>
      <c r="AB58" t="s">
        <v>259</v>
      </c>
      <c r="AE58" t="s">
        <v>26</v>
      </c>
      <c r="AF58" t="s">
        <v>546</v>
      </c>
      <c r="AG58">
        <v>8445</v>
      </c>
      <c r="AH58" t="s">
        <v>264</v>
      </c>
      <c r="AI58">
        <v>246888</v>
      </c>
      <c r="AJ58" t="s">
        <v>560</v>
      </c>
      <c r="AK58">
        <v>299</v>
      </c>
      <c r="AL58" t="s">
        <v>39</v>
      </c>
      <c r="AM58">
        <v>11</v>
      </c>
      <c r="AN58">
        <v>26</v>
      </c>
      <c r="AQ58">
        <v>1</v>
      </c>
      <c r="AR58" t="s">
        <v>39</v>
      </c>
      <c r="AS58" t="s">
        <v>265</v>
      </c>
      <c r="AT58" t="s">
        <v>561</v>
      </c>
      <c r="AU58" t="s">
        <v>40</v>
      </c>
      <c r="AV58" t="s">
        <v>6</v>
      </c>
      <c r="AW58" t="s">
        <v>559</v>
      </c>
      <c r="AX58">
        <v>72</v>
      </c>
      <c r="AY58" t="b">
        <v>1</v>
      </c>
      <c r="AZ58" t="s">
        <v>562</v>
      </c>
      <c r="BA58">
        <v>2</v>
      </c>
      <c r="BB58" t="s">
        <v>563</v>
      </c>
      <c r="BC58">
        <v>43907</v>
      </c>
      <c r="BD58">
        <v>0</v>
      </c>
      <c r="BE58">
        <v>299</v>
      </c>
      <c r="BF58" t="s">
        <v>266</v>
      </c>
    </row>
    <row r="59" spans="1:58" x14ac:dyDescent="0.3">
      <c r="A59">
        <v>8544</v>
      </c>
      <c r="B59">
        <v>0.116666666666666</v>
      </c>
      <c r="C59" s="16">
        <v>4.8611111111111103E-3</v>
      </c>
      <c r="D59" t="s">
        <v>96</v>
      </c>
      <c r="E59" s="109">
        <v>2</v>
      </c>
      <c r="F59" s="15">
        <v>45586.466828703698</v>
      </c>
      <c r="G59" s="15">
        <v>45585.75</v>
      </c>
      <c r="H59" s="15">
        <v>45586.466828703698</v>
      </c>
      <c r="I59" s="15">
        <v>45586.467905092497</v>
      </c>
      <c r="J59">
        <v>2.5833333333333298E-2</v>
      </c>
      <c r="K59" s="16">
        <v>1.07638888888888E-3</v>
      </c>
      <c r="L59" s="8">
        <v>45586</v>
      </c>
      <c r="M59" s="15">
        <v>45586.466828703698</v>
      </c>
      <c r="O59" s="15">
        <v>1</v>
      </c>
      <c r="P59" s="15">
        <v>45586.467905092497</v>
      </c>
      <c r="R59" s="15">
        <v>1</v>
      </c>
      <c r="S59" s="15">
        <v>45586.467905092497</v>
      </c>
      <c r="T59" s="15">
        <v>45586.467905092497</v>
      </c>
      <c r="U59" t="s">
        <v>217</v>
      </c>
      <c r="V59" t="s">
        <v>564</v>
      </c>
      <c r="W59" s="15">
        <v>45586</v>
      </c>
      <c r="X59" t="s">
        <v>564</v>
      </c>
      <c r="Y59" t="s">
        <v>142</v>
      </c>
      <c r="Z59" t="s">
        <v>216</v>
      </c>
      <c r="AA59" t="s">
        <v>131</v>
      </c>
      <c r="AB59" t="s">
        <v>203</v>
      </c>
      <c r="AE59" t="s">
        <v>26</v>
      </c>
      <c r="AF59" t="s">
        <v>374</v>
      </c>
      <c r="AG59">
        <v>8446</v>
      </c>
      <c r="AH59" t="s">
        <v>264</v>
      </c>
      <c r="AI59">
        <v>247026</v>
      </c>
      <c r="AJ59" t="s">
        <v>500</v>
      </c>
      <c r="AK59">
        <v>299</v>
      </c>
      <c r="AL59" t="s">
        <v>39</v>
      </c>
      <c r="AM59">
        <v>1</v>
      </c>
      <c r="AN59">
        <v>6</v>
      </c>
      <c r="AQ59">
        <v>1</v>
      </c>
      <c r="AR59" t="s">
        <v>39</v>
      </c>
      <c r="AS59" t="s">
        <v>265</v>
      </c>
      <c r="AT59" t="s">
        <v>565</v>
      </c>
      <c r="AU59" t="s">
        <v>40</v>
      </c>
      <c r="AV59" t="s">
        <v>6</v>
      </c>
      <c r="AW59" t="s">
        <v>566</v>
      </c>
      <c r="AX59">
        <v>72</v>
      </c>
      <c r="AY59" t="b">
        <v>1</v>
      </c>
      <c r="AZ59" t="s">
        <v>567</v>
      </c>
      <c r="BA59">
        <v>2</v>
      </c>
      <c r="BB59" t="s">
        <v>503</v>
      </c>
      <c r="BC59">
        <v>43909</v>
      </c>
      <c r="BD59">
        <v>0</v>
      </c>
      <c r="BE59">
        <v>299</v>
      </c>
      <c r="BF59" t="s">
        <v>266</v>
      </c>
    </row>
    <row r="60" spans="1:58" x14ac:dyDescent="0.3">
      <c r="A60">
        <v>8545</v>
      </c>
      <c r="B60">
        <v>0.18333333333333299</v>
      </c>
      <c r="C60" s="16">
        <v>7.63888888888888E-3</v>
      </c>
      <c r="D60" t="s">
        <v>96</v>
      </c>
      <c r="E60" s="109">
        <v>3</v>
      </c>
      <c r="F60" s="15">
        <v>45586.469467592498</v>
      </c>
      <c r="G60" s="15">
        <v>45585.75</v>
      </c>
      <c r="H60" s="15">
        <v>45586.469467592498</v>
      </c>
      <c r="I60" s="15">
        <v>45586.469780092499</v>
      </c>
      <c r="J60">
        <v>7.4999999999999997E-3</v>
      </c>
      <c r="K60" s="16">
        <v>3.1250000000000001E-4</v>
      </c>
      <c r="L60" s="8">
        <v>45586</v>
      </c>
      <c r="M60" s="15">
        <v>45586.469467592498</v>
      </c>
      <c r="O60" s="15">
        <v>1</v>
      </c>
      <c r="P60" s="15">
        <v>45586.469780092499</v>
      </c>
      <c r="R60" s="15">
        <v>1</v>
      </c>
      <c r="S60" s="15">
        <v>45586.469780092499</v>
      </c>
      <c r="T60" s="15">
        <v>45586.469780092499</v>
      </c>
      <c r="U60" t="s">
        <v>217</v>
      </c>
      <c r="V60" t="s">
        <v>568</v>
      </c>
      <c r="W60" s="15">
        <v>45586</v>
      </c>
      <c r="X60" t="s">
        <v>569</v>
      </c>
      <c r="Y60" t="s">
        <v>142</v>
      </c>
      <c r="Z60" t="s">
        <v>211</v>
      </c>
      <c r="AA60" t="s">
        <v>133</v>
      </c>
      <c r="AB60" t="s">
        <v>203</v>
      </c>
      <c r="AE60" t="s">
        <v>26</v>
      </c>
      <c r="AF60" t="s">
        <v>37</v>
      </c>
      <c r="AG60">
        <v>8447</v>
      </c>
      <c r="AH60" t="s">
        <v>264</v>
      </c>
      <c r="AI60">
        <v>247813</v>
      </c>
      <c r="AJ60" t="s">
        <v>139</v>
      </c>
      <c r="AK60">
        <v>299</v>
      </c>
      <c r="AL60" t="s">
        <v>39</v>
      </c>
      <c r="AM60">
        <v>6</v>
      </c>
      <c r="AN60">
        <v>6</v>
      </c>
      <c r="AQ60">
        <v>1</v>
      </c>
      <c r="AR60" t="s">
        <v>39</v>
      </c>
      <c r="AS60" t="s">
        <v>265</v>
      </c>
      <c r="AT60" t="s">
        <v>570</v>
      </c>
      <c r="AU60" t="s">
        <v>40</v>
      </c>
      <c r="AV60" t="s">
        <v>6</v>
      </c>
      <c r="AW60" t="s">
        <v>571</v>
      </c>
      <c r="AX60">
        <v>72</v>
      </c>
      <c r="AY60" t="b">
        <v>1</v>
      </c>
      <c r="AZ60" t="s">
        <v>572</v>
      </c>
      <c r="BA60">
        <v>2</v>
      </c>
      <c r="BB60" t="s">
        <v>205</v>
      </c>
      <c r="BC60">
        <v>43911</v>
      </c>
      <c r="BD60">
        <v>0</v>
      </c>
      <c r="BE60">
        <v>299</v>
      </c>
      <c r="BF60" t="s">
        <v>266</v>
      </c>
    </row>
    <row r="61" spans="1:58" x14ac:dyDescent="0.3">
      <c r="A61">
        <v>8546</v>
      </c>
      <c r="B61">
        <v>0.1</v>
      </c>
      <c r="C61" s="16">
        <v>4.1666666666666597E-3</v>
      </c>
      <c r="D61" t="s">
        <v>96</v>
      </c>
      <c r="E61" s="109">
        <v>3</v>
      </c>
      <c r="F61" s="15">
        <v>45586.471446759198</v>
      </c>
      <c r="G61" s="15">
        <v>45585.75</v>
      </c>
      <c r="H61" s="15">
        <v>45586.471446759198</v>
      </c>
      <c r="I61" s="15">
        <v>45586.474710648101</v>
      </c>
      <c r="J61">
        <v>7.8333333333333297E-2</v>
      </c>
      <c r="K61" s="16">
        <v>3.26388888888888E-3</v>
      </c>
      <c r="L61" s="8">
        <v>45586</v>
      </c>
      <c r="M61" s="15">
        <v>45586.471446759198</v>
      </c>
      <c r="O61" s="15">
        <v>1</v>
      </c>
      <c r="P61" s="15">
        <v>45586.474710648101</v>
      </c>
      <c r="R61" s="15">
        <v>1</v>
      </c>
      <c r="S61" s="15">
        <v>45586.474710648101</v>
      </c>
      <c r="T61" s="15">
        <v>45586.474710648101</v>
      </c>
      <c r="V61" t="s">
        <v>573</v>
      </c>
      <c r="W61" s="15">
        <v>45586</v>
      </c>
      <c r="X61" t="s">
        <v>573</v>
      </c>
      <c r="Y61" t="s">
        <v>142</v>
      </c>
      <c r="Z61" t="s">
        <v>145</v>
      </c>
      <c r="AA61" t="s">
        <v>131</v>
      </c>
      <c r="AB61" t="s">
        <v>203</v>
      </c>
      <c r="AC61" t="s">
        <v>204</v>
      </c>
      <c r="AE61" t="s">
        <v>26</v>
      </c>
      <c r="AF61" t="s">
        <v>274</v>
      </c>
      <c r="AG61">
        <v>8448</v>
      </c>
      <c r="AH61" t="s">
        <v>264</v>
      </c>
      <c r="AI61">
        <v>247331</v>
      </c>
      <c r="AJ61" t="s">
        <v>285</v>
      </c>
      <c r="AK61">
        <v>299</v>
      </c>
      <c r="AL61" t="s">
        <v>39</v>
      </c>
      <c r="AM61">
        <v>11</v>
      </c>
      <c r="AN61">
        <v>6</v>
      </c>
      <c r="AO61">
        <v>13</v>
      </c>
      <c r="AQ61">
        <v>1</v>
      </c>
      <c r="AR61" t="s">
        <v>39</v>
      </c>
      <c r="AS61" t="s">
        <v>265</v>
      </c>
      <c r="AT61" t="s">
        <v>574</v>
      </c>
      <c r="AU61" t="s">
        <v>40</v>
      </c>
      <c r="AV61" t="s">
        <v>6</v>
      </c>
      <c r="AW61" t="s">
        <v>575</v>
      </c>
      <c r="AX61">
        <v>72</v>
      </c>
      <c r="AY61" t="b">
        <v>1</v>
      </c>
      <c r="AZ61" t="s">
        <v>576</v>
      </c>
      <c r="BB61" t="s">
        <v>286</v>
      </c>
      <c r="BC61">
        <v>43916</v>
      </c>
      <c r="BD61">
        <v>0</v>
      </c>
      <c r="BE61">
        <v>299</v>
      </c>
      <c r="BF61" t="s">
        <v>266</v>
      </c>
    </row>
    <row r="62" spans="1:58" x14ac:dyDescent="0.3">
      <c r="A62">
        <v>8547</v>
      </c>
      <c r="B62">
        <v>3.5</v>
      </c>
      <c r="C62" s="16">
        <v>0.14583333333333301</v>
      </c>
      <c r="D62" t="s">
        <v>96</v>
      </c>
      <c r="E62" s="109">
        <v>3</v>
      </c>
      <c r="F62" s="15">
        <v>45586.473298611098</v>
      </c>
      <c r="G62" s="15">
        <v>45585.75</v>
      </c>
      <c r="H62" s="15">
        <v>45586.341469907398</v>
      </c>
      <c r="I62" s="15">
        <v>45586.493414351797</v>
      </c>
      <c r="J62">
        <v>3.6466666666666598</v>
      </c>
      <c r="K62" s="16">
        <v>0.15194444444444399</v>
      </c>
      <c r="L62" s="8">
        <v>45586</v>
      </c>
      <c r="M62" s="15">
        <v>45586.341469907398</v>
      </c>
      <c r="N62" t="b">
        <v>1</v>
      </c>
      <c r="O62" s="15">
        <v>45586.341469907398</v>
      </c>
      <c r="P62" s="15">
        <v>45586.493414351797</v>
      </c>
      <c r="Q62" t="b">
        <v>1</v>
      </c>
      <c r="R62" s="15">
        <v>45586.493414351797</v>
      </c>
      <c r="S62" s="15">
        <v>45587.414247685098</v>
      </c>
      <c r="T62" s="15">
        <v>45587.414247685098</v>
      </c>
      <c r="W62" s="15">
        <v>45586</v>
      </c>
      <c r="X62" t="s">
        <v>24</v>
      </c>
      <c r="Y62" t="s">
        <v>144</v>
      </c>
      <c r="Z62" t="s">
        <v>135</v>
      </c>
      <c r="AA62" t="s">
        <v>133</v>
      </c>
      <c r="AB62" t="s">
        <v>153</v>
      </c>
      <c r="AC62" t="s">
        <v>154</v>
      </c>
      <c r="AD62" t="s">
        <v>146</v>
      </c>
      <c r="AE62" t="s">
        <v>26</v>
      </c>
      <c r="AF62" t="s">
        <v>37</v>
      </c>
      <c r="AG62">
        <v>8449</v>
      </c>
      <c r="AH62" t="s">
        <v>264</v>
      </c>
      <c r="AI62">
        <v>247813</v>
      </c>
      <c r="AJ62" t="s">
        <v>139</v>
      </c>
      <c r="AK62">
        <v>267</v>
      </c>
      <c r="AL62" t="s">
        <v>39</v>
      </c>
      <c r="AM62">
        <v>2</v>
      </c>
      <c r="AN62">
        <v>41</v>
      </c>
      <c r="AO62">
        <v>48</v>
      </c>
      <c r="AP62">
        <v>5</v>
      </c>
      <c r="AQ62">
        <v>1</v>
      </c>
      <c r="AR62" t="s">
        <v>39</v>
      </c>
      <c r="AS62" t="s">
        <v>267</v>
      </c>
      <c r="AU62" t="s">
        <v>40</v>
      </c>
      <c r="AV62" t="s">
        <v>6</v>
      </c>
      <c r="AW62" t="s">
        <v>577</v>
      </c>
      <c r="AX62">
        <v>72</v>
      </c>
      <c r="AY62" t="b">
        <v>1</v>
      </c>
      <c r="AZ62" t="s">
        <v>578</v>
      </c>
      <c r="BB62" t="s">
        <v>205</v>
      </c>
      <c r="BC62">
        <v>43914</v>
      </c>
      <c r="BD62">
        <v>0</v>
      </c>
      <c r="BE62">
        <v>267</v>
      </c>
      <c r="BF62" t="s">
        <v>266</v>
      </c>
    </row>
    <row r="63" spans="1:58" x14ac:dyDescent="0.3">
      <c r="A63">
        <v>8548</v>
      </c>
      <c r="B63">
        <v>2.7833333333333301</v>
      </c>
      <c r="C63" s="16">
        <v>0.115972222222222</v>
      </c>
      <c r="D63" t="s">
        <v>210</v>
      </c>
      <c r="E63" s="109">
        <v>3</v>
      </c>
      <c r="F63" s="15">
        <v>45586.485196759197</v>
      </c>
      <c r="G63" s="15">
        <v>45585.75</v>
      </c>
      <c r="H63" s="15">
        <v>45586.485196759197</v>
      </c>
      <c r="I63" s="15">
        <v>1</v>
      </c>
      <c r="J63">
        <v>0</v>
      </c>
      <c r="K63" s="16">
        <v>0</v>
      </c>
      <c r="L63" s="8">
        <v>45586</v>
      </c>
      <c r="M63" s="15">
        <v>45586.485196759197</v>
      </c>
      <c r="O63" s="15">
        <v>1</v>
      </c>
      <c r="P63" s="15">
        <v>1</v>
      </c>
      <c r="R63" s="15">
        <v>1</v>
      </c>
      <c r="S63" s="15">
        <v>45588.472430555499</v>
      </c>
      <c r="T63" s="15">
        <v>45588.472430555499</v>
      </c>
      <c r="V63" t="s">
        <v>579</v>
      </c>
      <c r="W63" s="15">
        <v>45586</v>
      </c>
      <c r="X63" t="s">
        <v>580</v>
      </c>
      <c r="Y63" t="s">
        <v>142</v>
      </c>
      <c r="Z63" t="s">
        <v>211</v>
      </c>
      <c r="AA63" t="s">
        <v>133</v>
      </c>
      <c r="AB63" t="s">
        <v>203</v>
      </c>
      <c r="AC63" t="s">
        <v>204</v>
      </c>
      <c r="AE63" t="s">
        <v>26</v>
      </c>
      <c r="AF63" t="s">
        <v>581</v>
      </c>
      <c r="AG63">
        <v>8450</v>
      </c>
      <c r="AH63" t="s">
        <v>264</v>
      </c>
      <c r="AI63">
        <v>246912</v>
      </c>
      <c r="AJ63" t="s">
        <v>582</v>
      </c>
      <c r="AK63">
        <v>299</v>
      </c>
      <c r="AL63" t="s">
        <v>39</v>
      </c>
      <c r="AM63">
        <v>6</v>
      </c>
      <c r="AN63">
        <v>6</v>
      </c>
      <c r="AO63">
        <v>13</v>
      </c>
      <c r="AQ63">
        <v>1</v>
      </c>
      <c r="AR63" t="s">
        <v>39</v>
      </c>
      <c r="AS63" t="s">
        <v>265</v>
      </c>
      <c r="AT63" t="s">
        <v>583</v>
      </c>
      <c r="AU63" t="s">
        <v>40</v>
      </c>
      <c r="AV63" t="s">
        <v>6</v>
      </c>
      <c r="AW63" t="s">
        <v>584</v>
      </c>
      <c r="AX63">
        <v>71</v>
      </c>
      <c r="AZ63" t="s">
        <v>585</v>
      </c>
      <c r="BB63" t="s">
        <v>586</v>
      </c>
      <c r="BC63">
        <v>43917</v>
      </c>
      <c r="BD63">
        <v>0</v>
      </c>
      <c r="BE63">
        <v>299</v>
      </c>
      <c r="BF63" t="s">
        <v>266</v>
      </c>
    </row>
    <row r="64" spans="1:58" x14ac:dyDescent="0.3">
      <c r="A64">
        <v>8551</v>
      </c>
      <c r="B64">
        <v>0.33333333333333298</v>
      </c>
      <c r="C64" s="16">
        <v>1.38888888888888E-2</v>
      </c>
      <c r="D64" t="s">
        <v>137</v>
      </c>
      <c r="E64" s="109">
        <v>2</v>
      </c>
      <c r="F64" s="15">
        <v>45586.501481481399</v>
      </c>
      <c r="G64" s="15">
        <v>45585.75</v>
      </c>
      <c r="H64" s="15">
        <v>45586.501481481399</v>
      </c>
      <c r="I64" s="15">
        <v>1</v>
      </c>
      <c r="J64">
        <v>0</v>
      </c>
      <c r="K64" s="16">
        <v>0</v>
      </c>
      <c r="L64" s="8">
        <v>45586</v>
      </c>
      <c r="M64" s="15">
        <v>45586.501481481399</v>
      </c>
      <c r="O64" s="15">
        <v>1</v>
      </c>
      <c r="P64" s="15">
        <v>1</v>
      </c>
      <c r="R64" s="15">
        <v>1</v>
      </c>
      <c r="S64" s="15">
        <v>45586.501562500001</v>
      </c>
      <c r="T64" s="15">
        <v>45586.501562500001</v>
      </c>
      <c r="W64" s="15">
        <v>45586</v>
      </c>
      <c r="X64" t="s">
        <v>587</v>
      </c>
      <c r="Y64" t="s">
        <v>134</v>
      </c>
      <c r="Z64" t="s">
        <v>135</v>
      </c>
      <c r="AA64" t="s">
        <v>131</v>
      </c>
      <c r="AB64" t="s">
        <v>259</v>
      </c>
      <c r="AE64" t="s">
        <v>26</v>
      </c>
      <c r="AF64" t="s">
        <v>304</v>
      </c>
      <c r="AG64">
        <v>8453</v>
      </c>
      <c r="AH64" t="s">
        <v>264</v>
      </c>
      <c r="AI64">
        <v>247670</v>
      </c>
      <c r="AJ64" t="s">
        <v>588</v>
      </c>
      <c r="AK64">
        <v>2766</v>
      </c>
      <c r="AL64" t="s">
        <v>39</v>
      </c>
      <c r="AM64">
        <v>2</v>
      </c>
      <c r="AN64">
        <v>26</v>
      </c>
      <c r="AQ64">
        <v>1</v>
      </c>
      <c r="AR64" t="s">
        <v>39</v>
      </c>
      <c r="AS64" t="s">
        <v>270</v>
      </c>
      <c r="AU64" t="s">
        <v>40</v>
      </c>
      <c r="AV64" t="s">
        <v>6</v>
      </c>
      <c r="AW64" t="s">
        <v>589</v>
      </c>
      <c r="AX64">
        <v>70</v>
      </c>
      <c r="AZ64" t="s">
        <v>590</v>
      </c>
      <c r="BB64" t="s">
        <v>591</v>
      </c>
      <c r="BC64">
        <v>43918</v>
      </c>
      <c r="BD64">
        <v>0</v>
      </c>
      <c r="BE64">
        <v>2766</v>
      </c>
      <c r="BF64" t="s">
        <v>266</v>
      </c>
    </row>
    <row r="65" spans="1:58" x14ac:dyDescent="0.3">
      <c r="A65">
        <v>8552</v>
      </c>
      <c r="B65">
        <v>0.116666666666666</v>
      </c>
      <c r="C65" s="16">
        <v>4.8611111111111103E-3</v>
      </c>
      <c r="D65" t="s">
        <v>210</v>
      </c>
      <c r="E65" s="109">
        <v>1</v>
      </c>
      <c r="F65" s="15">
        <v>45586.502662036997</v>
      </c>
      <c r="G65" s="15">
        <v>45585.75</v>
      </c>
      <c r="H65" s="15">
        <v>45586.502662036997</v>
      </c>
      <c r="I65" s="15">
        <v>1</v>
      </c>
      <c r="J65">
        <v>0</v>
      </c>
      <c r="K65" s="16">
        <v>0</v>
      </c>
      <c r="L65" s="8">
        <v>45586</v>
      </c>
      <c r="M65" s="15">
        <v>45586.502662036997</v>
      </c>
      <c r="O65" s="15">
        <v>1</v>
      </c>
      <c r="P65" s="15">
        <v>1</v>
      </c>
      <c r="R65" s="15">
        <v>1</v>
      </c>
      <c r="S65" s="15">
        <v>45586.603541666598</v>
      </c>
      <c r="T65" s="15">
        <v>45586.603541666598</v>
      </c>
      <c r="U65" t="s">
        <v>217</v>
      </c>
      <c r="W65" s="15">
        <v>45586</v>
      </c>
      <c r="X65" t="s">
        <v>592</v>
      </c>
      <c r="Y65" t="s">
        <v>171</v>
      </c>
      <c r="Z65" t="s">
        <v>135</v>
      </c>
      <c r="AA65" t="s">
        <v>133</v>
      </c>
      <c r="AB65" t="s">
        <v>288</v>
      </c>
      <c r="AE65" t="s">
        <v>26</v>
      </c>
      <c r="AF65" t="s">
        <v>31</v>
      </c>
      <c r="AG65">
        <v>8454</v>
      </c>
      <c r="AH65" t="s">
        <v>264</v>
      </c>
      <c r="AI65">
        <v>247233</v>
      </c>
      <c r="AJ65" t="s">
        <v>593</v>
      </c>
      <c r="AK65">
        <v>314</v>
      </c>
      <c r="AL65" t="s">
        <v>39</v>
      </c>
      <c r="AM65">
        <v>2</v>
      </c>
      <c r="AN65">
        <v>19</v>
      </c>
      <c r="AQ65">
        <v>1</v>
      </c>
      <c r="AR65" t="s">
        <v>39</v>
      </c>
      <c r="AS65" t="s">
        <v>273</v>
      </c>
      <c r="AU65" t="s">
        <v>40</v>
      </c>
      <c r="AV65" t="s">
        <v>6</v>
      </c>
      <c r="AW65" t="s">
        <v>592</v>
      </c>
      <c r="AX65">
        <v>71</v>
      </c>
      <c r="AZ65" t="s">
        <v>594</v>
      </c>
      <c r="BA65">
        <v>2</v>
      </c>
      <c r="BB65" t="s">
        <v>595</v>
      </c>
      <c r="BC65">
        <v>43919</v>
      </c>
      <c r="BD65">
        <v>0</v>
      </c>
      <c r="BE65">
        <v>314</v>
      </c>
      <c r="BF65" t="s">
        <v>266</v>
      </c>
    </row>
    <row r="66" spans="1:58" x14ac:dyDescent="0.3">
      <c r="A66">
        <v>8553</v>
      </c>
      <c r="B66">
        <v>0.28333333333333299</v>
      </c>
      <c r="C66" s="16">
        <v>1.18055555555555E-2</v>
      </c>
      <c r="D66" t="s">
        <v>96</v>
      </c>
      <c r="E66" s="109">
        <v>2</v>
      </c>
      <c r="F66" s="15">
        <v>45586.517395833303</v>
      </c>
      <c r="G66" s="15">
        <v>45585.75</v>
      </c>
      <c r="H66" s="15">
        <v>45586.517395833303</v>
      </c>
      <c r="I66" s="15">
        <v>45586.517488425903</v>
      </c>
      <c r="J66">
        <v>2.2222222222222201E-3</v>
      </c>
      <c r="K66" s="16">
        <v>9.2592592592592507E-5</v>
      </c>
      <c r="L66" s="8">
        <v>45586</v>
      </c>
      <c r="M66" s="15">
        <v>45586.517395833303</v>
      </c>
      <c r="O66" s="15">
        <v>1</v>
      </c>
      <c r="P66" s="15">
        <v>45586.517488425903</v>
      </c>
      <c r="R66" s="15">
        <v>1</v>
      </c>
      <c r="S66" s="15">
        <v>45586.517488425903</v>
      </c>
      <c r="T66" s="15">
        <v>45586.517488425903</v>
      </c>
      <c r="U66" t="s">
        <v>217</v>
      </c>
      <c r="V66" t="s">
        <v>596</v>
      </c>
      <c r="W66" s="15">
        <v>45586</v>
      </c>
      <c r="X66" t="s">
        <v>597</v>
      </c>
      <c r="Y66" t="s">
        <v>142</v>
      </c>
      <c r="Z66" t="s">
        <v>221</v>
      </c>
      <c r="AA66" t="s">
        <v>131</v>
      </c>
      <c r="AB66" t="s">
        <v>203</v>
      </c>
      <c r="AC66" t="s">
        <v>204</v>
      </c>
      <c r="AE66" t="s">
        <v>26</v>
      </c>
      <c r="AF66" t="s">
        <v>32</v>
      </c>
      <c r="AG66">
        <v>8455</v>
      </c>
      <c r="AH66" t="s">
        <v>264</v>
      </c>
      <c r="AI66">
        <v>247374</v>
      </c>
      <c r="AJ66" t="s">
        <v>269</v>
      </c>
      <c r="AK66">
        <v>299</v>
      </c>
      <c r="AL66" t="s">
        <v>39</v>
      </c>
      <c r="AM66">
        <v>10</v>
      </c>
      <c r="AN66">
        <v>6</v>
      </c>
      <c r="AO66">
        <v>13</v>
      </c>
      <c r="AQ66">
        <v>1</v>
      </c>
      <c r="AR66" t="s">
        <v>39</v>
      </c>
      <c r="AS66" t="s">
        <v>265</v>
      </c>
      <c r="AT66" t="s">
        <v>598</v>
      </c>
      <c r="AU66" t="s">
        <v>40</v>
      </c>
      <c r="AV66" t="s">
        <v>6</v>
      </c>
      <c r="AW66" t="s">
        <v>597</v>
      </c>
      <c r="AX66">
        <v>72</v>
      </c>
      <c r="AY66" t="b">
        <v>1</v>
      </c>
      <c r="AZ66" t="s">
        <v>599</v>
      </c>
      <c r="BA66">
        <v>2</v>
      </c>
      <c r="BB66" t="s">
        <v>271</v>
      </c>
      <c r="BC66">
        <v>43920</v>
      </c>
      <c r="BD66">
        <v>0</v>
      </c>
      <c r="BE66">
        <v>299</v>
      </c>
      <c r="BF66" t="s">
        <v>266</v>
      </c>
    </row>
    <row r="67" spans="1:58" x14ac:dyDescent="0.3">
      <c r="A67">
        <v>8554</v>
      </c>
      <c r="B67">
        <v>0.75</v>
      </c>
      <c r="C67" s="16">
        <v>3.125E-2</v>
      </c>
      <c r="D67" t="s">
        <v>137</v>
      </c>
      <c r="E67" s="109">
        <v>2</v>
      </c>
      <c r="F67" s="15">
        <v>45586.533865740697</v>
      </c>
      <c r="G67" s="15">
        <v>45585.75</v>
      </c>
      <c r="H67" s="15">
        <v>45586.533865740697</v>
      </c>
      <c r="I67" s="15">
        <v>1</v>
      </c>
      <c r="J67">
        <v>0</v>
      </c>
      <c r="K67" s="16">
        <v>0</v>
      </c>
      <c r="L67" s="8">
        <v>45586</v>
      </c>
      <c r="M67" s="15">
        <v>45586.533865740697</v>
      </c>
      <c r="O67" s="15">
        <v>1</v>
      </c>
      <c r="P67" s="15">
        <v>1</v>
      </c>
      <c r="R67" s="15">
        <v>1</v>
      </c>
      <c r="S67" s="15">
        <v>45586.708912037</v>
      </c>
      <c r="T67" s="15">
        <v>45586.708912037</v>
      </c>
      <c r="W67" s="15">
        <v>45586</v>
      </c>
      <c r="X67" t="s">
        <v>600</v>
      </c>
      <c r="Y67" t="s">
        <v>134</v>
      </c>
      <c r="Z67" t="s">
        <v>135</v>
      </c>
      <c r="AA67" t="s">
        <v>131</v>
      </c>
      <c r="AB67" t="s">
        <v>257</v>
      </c>
      <c r="AE67" t="s">
        <v>26</v>
      </c>
      <c r="AF67" t="s">
        <v>477</v>
      </c>
      <c r="AG67">
        <v>8456</v>
      </c>
      <c r="AH67" t="s">
        <v>264</v>
      </c>
      <c r="AI67">
        <v>247922</v>
      </c>
      <c r="AJ67" t="s">
        <v>478</v>
      </c>
      <c r="AK67">
        <v>2766</v>
      </c>
      <c r="AL67" t="s">
        <v>39</v>
      </c>
      <c r="AM67">
        <v>2</v>
      </c>
      <c r="AN67">
        <v>21</v>
      </c>
      <c r="AQ67">
        <v>1</v>
      </c>
      <c r="AR67" t="s">
        <v>39</v>
      </c>
      <c r="AS67" t="s">
        <v>270</v>
      </c>
      <c r="AU67" t="s">
        <v>40</v>
      </c>
      <c r="AV67" t="s">
        <v>6</v>
      </c>
      <c r="AW67" t="s">
        <v>601</v>
      </c>
      <c r="AX67">
        <v>70</v>
      </c>
      <c r="AZ67" t="s">
        <v>602</v>
      </c>
      <c r="BB67" t="s">
        <v>480</v>
      </c>
      <c r="BC67">
        <v>43993</v>
      </c>
      <c r="BD67">
        <v>0</v>
      </c>
      <c r="BE67">
        <v>2766</v>
      </c>
      <c r="BF67" t="s">
        <v>266</v>
      </c>
    </row>
    <row r="68" spans="1:58" x14ac:dyDescent="0.3">
      <c r="A68">
        <v>8554</v>
      </c>
      <c r="B68">
        <v>1.5</v>
      </c>
      <c r="C68" s="16">
        <v>6.25E-2</v>
      </c>
      <c r="D68" t="s">
        <v>137</v>
      </c>
      <c r="E68" s="109">
        <v>2</v>
      </c>
      <c r="F68" s="15">
        <v>45586.533865740697</v>
      </c>
      <c r="G68" s="15">
        <v>45585.75</v>
      </c>
      <c r="H68" s="15">
        <v>45586.533865740697</v>
      </c>
      <c r="I68" s="15">
        <v>1</v>
      </c>
      <c r="J68">
        <v>0</v>
      </c>
      <c r="K68" s="16">
        <v>0</v>
      </c>
      <c r="L68" s="8">
        <v>45586</v>
      </c>
      <c r="M68" s="15">
        <v>45586.533865740697</v>
      </c>
      <c r="O68" s="15">
        <v>1</v>
      </c>
      <c r="P68" s="15">
        <v>1</v>
      </c>
      <c r="R68" s="15">
        <v>1</v>
      </c>
      <c r="S68" s="15">
        <v>45586.708912037</v>
      </c>
      <c r="T68" s="15">
        <v>45586.708912037</v>
      </c>
      <c r="W68" s="15">
        <v>45586</v>
      </c>
      <c r="X68" t="s">
        <v>603</v>
      </c>
      <c r="Y68" t="s">
        <v>134</v>
      </c>
      <c r="Z68" t="s">
        <v>135</v>
      </c>
      <c r="AA68" t="s">
        <v>131</v>
      </c>
      <c r="AB68" t="s">
        <v>257</v>
      </c>
      <c r="AE68" t="s">
        <v>26</v>
      </c>
      <c r="AF68" t="s">
        <v>477</v>
      </c>
      <c r="AG68">
        <v>8456</v>
      </c>
      <c r="AH68" t="s">
        <v>264</v>
      </c>
      <c r="AI68">
        <v>247922</v>
      </c>
      <c r="AJ68" t="s">
        <v>478</v>
      </c>
      <c r="AK68">
        <v>2766</v>
      </c>
      <c r="AL68" t="s">
        <v>39</v>
      </c>
      <c r="AM68">
        <v>2</v>
      </c>
      <c r="AN68">
        <v>21</v>
      </c>
      <c r="AQ68">
        <v>1</v>
      </c>
      <c r="AR68" t="s">
        <v>39</v>
      </c>
      <c r="AS68" t="s">
        <v>270</v>
      </c>
      <c r="AU68" t="s">
        <v>40</v>
      </c>
      <c r="AV68" t="s">
        <v>6</v>
      </c>
      <c r="AW68" t="s">
        <v>601</v>
      </c>
      <c r="AX68">
        <v>70</v>
      </c>
      <c r="AZ68" t="s">
        <v>602</v>
      </c>
      <c r="BB68" t="s">
        <v>480</v>
      </c>
      <c r="BC68">
        <v>43951</v>
      </c>
      <c r="BD68">
        <v>0</v>
      </c>
      <c r="BE68">
        <v>2766</v>
      </c>
      <c r="BF68" t="s">
        <v>266</v>
      </c>
    </row>
    <row r="69" spans="1:58" x14ac:dyDescent="0.3">
      <c r="A69">
        <v>8554</v>
      </c>
      <c r="B69">
        <v>1</v>
      </c>
      <c r="C69" s="16">
        <v>4.1666666666666602E-2</v>
      </c>
      <c r="D69" t="s">
        <v>137</v>
      </c>
      <c r="E69" s="109">
        <v>2</v>
      </c>
      <c r="F69" s="15">
        <v>45586.533865740697</v>
      </c>
      <c r="G69" s="15">
        <v>45585.75</v>
      </c>
      <c r="H69" s="15">
        <v>45586.533865740697</v>
      </c>
      <c r="I69" s="15">
        <v>1</v>
      </c>
      <c r="J69">
        <v>0</v>
      </c>
      <c r="K69" s="16">
        <v>0</v>
      </c>
      <c r="L69" s="8">
        <v>45586</v>
      </c>
      <c r="M69" s="15">
        <v>45586.533865740697</v>
      </c>
      <c r="O69" s="15">
        <v>1</v>
      </c>
      <c r="P69" s="15">
        <v>1</v>
      </c>
      <c r="R69" s="15">
        <v>1</v>
      </c>
      <c r="S69" s="15">
        <v>45586.708912037</v>
      </c>
      <c r="T69" s="15">
        <v>45586.708912037</v>
      </c>
      <c r="W69" s="15">
        <v>45586</v>
      </c>
      <c r="X69" t="s">
        <v>604</v>
      </c>
      <c r="Y69" t="s">
        <v>134</v>
      </c>
      <c r="Z69" t="s">
        <v>135</v>
      </c>
      <c r="AA69" t="s">
        <v>131</v>
      </c>
      <c r="AB69" t="s">
        <v>257</v>
      </c>
      <c r="AE69" t="s">
        <v>26</v>
      </c>
      <c r="AF69" t="s">
        <v>477</v>
      </c>
      <c r="AG69">
        <v>8456</v>
      </c>
      <c r="AH69" t="s">
        <v>264</v>
      </c>
      <c r="AI69">
        <v>247922</v>
      </c>
      <c r="AJ69" t="s">
        <v>478</v>
      </c>
      <c r="AK69">
        <v>2766</v>
      </c>
      <c r="AL69" t="s">
        <v>39</v>
      </c>
      <c r="AM69">
        <v>2</v>
      </c>
      <c r="AN69">
        <v>21</v>
      </c>
      <c r="AQ69">
        <v>1</v>
      </c>
      <c r="AR69" t="s">
        <v>39</v>
      </c>
      <c r="AS69" t="s">
        <v>270</v>
      </c>
      <c r="AU69" t="s">
        <v>40</v>
      </c>
      <c r="AV69" t="s">
        <v>6</v>
      </c>
      <c r="AW69" t="s">
        <v>601</v>
      </c>
      <c r="AX69">
        <v>70</v>
      </c>
      <c r="AZ69" t="s">
        <v>602</v>
      </c>
      <c r="BB69" t="s">
        <v>480</v>
      </c>
      <c r="BC69">
        <v>43921</v>
      </c>
      <c r="BD69">
        <v>0</v>
      </c>
      <c r="BE69">
        <v>2766</v>
      </c>
      <c r="BF69" t="s">
        <v>266</v>
      </c>
    </row>
    <row r="70" spans="1:58" x14ac:dyDescent="0.3">
      <c r="A70">
        <v>8555</v>
      </c>
      <c r="B70">
        <v>0.66666666666666596</v>
      </c>
      <c r="C70" s="16">
        <v>2.77777777777777E-2</v>
      </c>
      <c r="D70" t="s">
        <v>96</v>
      </c>
      <c r="E70" s="109">
        <v>0</v>
      </c>
      <c r="F70" s="15">
        <v>45586.589710648099</v>
      </c>
      <c r="G70" s="15">
        <v>45585.75</v>
      </c>
      <c r="H70" s="15">
        <v>45586.589710648099</v>
      </c>
      <c r="I70" s="15">
        <v>45586.617719907401</v>
      </c>
      <c r="J70">
        <v>0.67222222222222205</v>
      </c>
      <c r="K70" s="16">
        <v>2.8009259259259199E-2</v>
      </c>
      <c r="L70" s="8">
        <v>45586</v>
      </c>
      <c r="M70" s="15">
        <v>45586.589710648099</v>
      </c>
      <c r="O70" s="15">
        <v>1</v>
      </c>
      <c r="P70" s="15">
        <v>45586.617719907401</v>
      </c>
      <c r="R70" s="15">
        <v>1</v>
      </c>
      <c r="S70" s="15">
        <v>45586.617719907401</v>
      </c>
      <c r="T70" s="15">
        <v>45586.617719907401</v>
      </c>
      <c r="W70" s="15">
        <v>45586</v>
      </c>
      <c r="X70" t="s">
        <v>24</v>
      </c>
      <c r="Y70" t="s">
        <v>147</v>
      </c>
      <c r="Z70" t="s">
        <v>145</v>
      </c>
      <c r="AA70" t="s">
        <v>133</v>
      </c>
      <c r="AB70" t="s">
        <v>27</v>
      </c>
      <c r="AC70" t="s">
        <v>298</v>
      </c>
      <c r="AE70" t="s">
        <v>26</v>
      </c>
      <c r="AF70" t="s">
        <v>30</v>
      </c>
      <c r="AG70">
        <v>8457</v>
      </c>
      <c r="AH70" t="s">
        <v>264</v>
      </c>
      <c r="AI70">
        <v>247030</v>
      </c>
      <c r="AJ70" t="s">
        <v>207</v>
      </c>
      <c r="AK70">
        <v>446</v>
      </c>
      <c r="AL70" t="s">
        <v>39</v>
      </c>
      <c r="AM70">
        <v>11</v>
      </c>
      <c r="AN70">
        <v>5</v>
      </c>
      <c r="AO70">
        <v>64</v>
      </c>
      <c r="AQ70">
        <v>1</v>
      </c>
      <c r="AR70" t="s">
        <v>39</v>
      </c>
      <c r="AS70" t="s">
        <v>268</v>
      </c>
      <c r="AU70" t="s">
        <v>40</v>
      </c>
      <c r="AV70" t="s">
        <v>6</v>
      </c>
      <c r="AW70" t="s">
        <v>605</v>
      </c>
      <c r="AX70">
        <v>72</v>
      </c>
      <c r="AY70" t="b">
        <v>1</v>
      </c>
      <c r="AZ70" t="s">
        <v>606</v>
      </c>
      <c r="BB70" t="s">
        <v>607</v>
      </c>
      <c r="BC70">
        <v>43930</v>
      </c>
      <c r="BD70">
        <v>0</v>
      </c>
      <c r="BE70">
        <v>446</v>
      </c>
      <c r="BF70" t="s">
        <v>266</v>
      </c>
    </row>
    <row r="71" spans="1:58" x14ac:dyDescent="0.3">
      <c r="A71">
        <v>8556</v>
      </c>
      <c r="B71">
        <v>1.75</v>
      </c>
      <c r="C71" s="16">
        <v>7.2916666666666602E-2</v>
      </c>
      <c r="D71" t="s">
        <v>96</v>
      </c>
      <c r="E71" s="109">
        <v>2</v>
      </c>
      <c r="F71" s="15">
        <v>45586.591180555501</v>
      </c>
      <c r="G71" s="15">
        <v>45585.75</v>
      </c>
      <c r="H71" s="15">
        <v>45586.591180555501</v>
      </c>
      <c r="I71" s="15">
        <v>45587.391875000001</v>
      </c>
      <c r="J71">
        <v>19.216666666666601</v>
      </c>
      <c r="K71" s="16">
        <v>0.80069444444444404</v>
      </c>
      <c r="L71" s="8">
        <v>45586</v>
      </c>
      <c r="M71" s="15">
        <v>45586.591180555501</v>
      </c>
      <c r="O71" s="15">
        <v>1</v>
      </c>
      <c r="P71" s="15">
        <v>45587.391875000001</v>
      </c>
      <c r="R71" s="15">
        <v>1</v>
      </c>
      <c r="S71" s="15">
        <v>45587.391898148097</v>
      </c>
      <c r="T71" s="15">
        <v>45587.391898148097</v>
      </c>
      <c r="U71" t="s">
        <v>217</v>
      </c>
      <c r="W71" s="15">
        <v>45586</v>
      </c>
      <c r="X71" t="s">
        <v>608</v>
      </c>
      <c r="Y71" t="s">
        <v>134</v>
      </c>
      <c r="Z71" t="s">
        <v>135</v>
      </c>
      <c r="AA71" t="s">
        <v>133</v>
      </c>
      <c r="AB71" t="s">
        <v>257</v>
      </c>
      <c r="AE71" t="s">
        <v>34</v>
      </c>
      <c r="AF71" t="s">
        <v>489</v>
      </c>
      <c r="AG71">
        <v>8458</v>
      </c>
      <c r="AH71" t="s">
        <v>264</v>
      </c>
      <c r="AI71">
        <v>247124</v>
      </c>
      <c r="AJ71" t="s">
        <v>609</v>
      </c>
      <c r="AK71">
        <v>2766</v>
      </c>
      <c r="AL71" t="s">
        <v>39</v>
      </c>
      <c r="AM71">
        <v>2</v>
      </c>
      <c r="AN71">
        <v>21</v>
      </c>
      <c r="AQ71">
        <v>1</v>
      </c>
      <c r="AR71" t="s">
        <v>39</v>
      </c>
      <c r="AS71" t="s">
        <v>270</v>
      </c>
      <c r="AU71" t="s">
        <v>40</v>
      </c>
      <c r="AV71" t="s">
        <v>6</v>
      </c>
      <c r="AW71" t="s">
        <v>608</v>
      </c>
      <c r="AX71">
        <v>72</v>
      </c>
      <c r="AY71" t="b">
        <v>1</v>
      </c>
      <c r="AZ71" t="s">
        <v>610</v>
      </c>
      <c r="BA71">
        <v>2</v>
      </c>
      <c r="BB71" t="s">
        <v>611</v>
      </c>
      <c r="BC71">
        <v>43925</v>
      </c>
      <c r="BD71">
        <v>0</v>
      </c>
      <c r="BE71">
        <v>2766</v>
      </c>
      <c r="BF71" t="s">
        <v>266</v>
      </c>
    </row>
    <row r="72" spans="1:58" x14ac:dyDescent="0.3">
      <c r="A72">
        <v>8557</v>
      </c>
      <c r="B72">
        <v>1.7833333333333301</v>
      </c>
      <c r="C72" s="16">
        <v>7.43055555555555E-2</v>
      </c>
      <c r="D72" t="s">
        <v>96</v>
      </c>
      <c r="E72" s="109">
        <v>1</v>
      </c>
      <c r="F72" s="15">
        <v>45586.603634259198</v>
      </c>
      <c r="G72" s="15">
        <v>45585.75</v>
      </c>
      <c r="H72" s="15">
        <v>45586.603634259198</v>
      </c>
      <c r="I72" s="15">
        <v>45587.7383217592</v>
      </c>
      <c r="J72">
        <v>27.232500000000002</v>
      </c>
      <c r="K72" s="16">
        <v>1.1346875000000001</v>
      </c>
      <c r="L72" s="8">
        <v>45586</v>
      </c>
      <c r="M72" s="15">
        <v>45586.603634259198</v>
      </c>
      <c r="O72" s="15">
        <v>1</v>
      </c>
      <c r="P72" s="15">
        <v>45587.7383217592</v>
      </c>
      <c r="R72" s="15">
        <v>1</v>
      </c>
      <c r="S72" s="15">
        <v>45587.7383217592</v>
      </c>
      <c r="T72" s="15">
        <v>45587.7383217592</v>
      </c>
      <c r="U72" t="s">
        <v>217</v>
      </c>
      <c r="W72" s="15">
        <v>45586</v>
      </c>
      <c r="X72" t="s">
        <v>612</v>
      </c>
      <c r="Y72" t="s">
        <v>171</v>
      </c>
      <c r="Z72" t="s">
        <v>310</v>
      </c>
      <c r="AA72" t="s">
        <v>133</v>
      </c>
      <c r="AB72" t="s">
        <v>257</v>
      </c>
      <c r="AE72" t="s">
        <v>26</v>
      </c>
      <c r="AF72" t="s">
        <v>274</v>
      </c>
      <c r="AG72">
        <v>8459</v>
      </c>
      <c r="AH72" t="s">
        <v>264</v>
      </c>
      <c r="AI72">
        <v>247331</v>
      </c>
      <c r="AJ72" t="s">
        <v>285</v>
      </c>
      <c r="AK72">
        <v>314</v>
      </c>
      <c r="AL72" t="s">
        <v>39</v>
      </c>
      <c r="AM72">
        <v>16</v>
      </c>
      <c r="AN72">
        <v>21</v>
      </c>
      <c r="AQ72">
        <v>1</v>
      </c>
      <c r="AR72" t="s">
        <v>39</v>
      </c>
      <c r="AS72" t="s">
        <v>273</v>
      </c>
      <c r="AU72" t="s">
        <v>40</v>
      </c>
      <c r="AV72" t="s">
        <v>6</v>
      </c>
      <c r="AW72" t="s">
        <v>613</v>
      </c>
      <c r="AX72">
        <v>72</v>
      </c>
      <c r="AY72" t="b">
        <v>1</v>
      </c>
      <c r="AZ72" t="s">
        <v>614</v>
      </c>
      <c r="BA72">
        <v>2</v>
      </c>
      <c r="BB72" t="s">
        <v>286</v>
      </c>
      <c r="BC72">
        <v>43967</v>
      </c>
      <c r="BD72">
        <v>0</v>
      </c>
      <c r="BE72">
        <v>314</v>
      </c>
      <c r="BF72" t="s">
        <v>266</v>
      </c>
    </row>
    <row r="73" spans="1:58" x14ac:dyDescent="0.3">
      <c r="A73">
        <v>8558</v>
      </c>
      <c r="B73">
        <v>0.5</v>
      </c>
      <c r="C73" s="16">
        <v>2.0833333333333301E-2</v>
      </c>
      <c r="D73" t="s">
        <v>137</v>
      </c>
      <c r="E73" s="109">
        <v>2</v>
      </c>
      <c r="F73" s="15">
        <v>45586.610856481399</v>
      </c>
      <c r="G73" s="15">
        <v>45585.75</v>
      </c>
      <c r="H73" s="15">
        <v>45586.610856481399</v>
      </c>
      <c r="I73" s="15">
        <v>1</v>
      </c>
      <c r="J73">
        <v>0</v>
      </c>
      <c r="K73" s="16">
        <v>0</v>
      </c>
      <c r="L73" s="8">
        <v>45586</v>
      </c>
      <c r="M73" s="15">
        <v>45586.610856481399</v>
      </c>
      <c r="O73" s="15">
        <v>1</v>
      </c>
      <c r="P73" s="15">
        <v>1</v>
      </c>
      <c r="R73" s="15">
        <v>1</v>
      </c>
      <c r="S73" s="15">
        <v>45586.611122685099</v>
      </c>
      <c r="T73" s="15">
        <v>45586.611122685099</v>
      </c>
      <c r="W73" s="15">
        <v>45586</v>
      </c>
      <c r="X73" t="s">
        <v>615</v>
      </c>
      <c r="Y73" t="s">
        <v>134</v>
      </c>
      <c r="Z73" t="s">
        <v>135</v>
      </c>
      <c r="AA73" t="s">
        <v>131</v>
      </c>
      <c r="AB73" t="s">
        <v>303</v>
      </c>
      <c r="AE73" t="s">
        <v>26</v>
      </c>
      <c r="AF73" t="s">
        <v>616</v>
      </c>
      <c r="AG73">
        <v>8460</v>
      </c>
      <c r="AH73" t="s">
        <v>264</v>
      </c>
      <c r="AI73">
        <v>247401</v>
      </c>
      <c r="AJ73" t="s">
        <v>617</v>
      </c>
      <c r="AK73">
        <v>2766</v>
      </c>
      <c r="AL73" t="s">
        <v>39</v>
      </c>
      <c r="AM73">
        <v>2</v>
      </c>
      <c r="AN73">
        <v>10</v>
      </c>
      <c r="AQ73">
        <v>1</v>
      </c>
      <c r="AR73" t="s">
        <v>39</v>
      </c>
      <c r="AS73" t="s">
        <v>270</v>
      </c>
      <c r="AU73" t="s">
        <v>40</v>
      </c>
      <c r="AV73" t="s">
        <v>6</v>
      </c>
      <c r="AW73" t="s">
        <v>618</v>
      </c>
      <c r="AX73">
        <v>70</v>
      </c>
      <c r="AZ73" t="s">
        <v>619</v>
      </c>
      <c r="BB73" t="s">
        <v>620</v>
      </c>
      <c r="BC73">
        <v>43929</v>
      </c>
      <c r="BD73">
        <v>0</v>
      </c>
      <c r="BE73">
        <v>2766</v>
      </c>
      <c r="BF73" t="s">
        <v>266</v>
      </c>
    </row>
    <row r="74" spans="1:58" x14ac:dyDescent="0.3">
      <c r="A74">
        <v>8559</v>
      </c>
      <c r="B74">
        <v>1</v>
      </c>
      <c r="C74" s="16">
        <v>4.1666666666666602E-2</v>
      </c>
      <c r="D74" t="s">
        <v>96</v>
      </c>
      <c r="E74" s="109">
        <v>0</v>
      </c>
      <c r="F74" s="15">
        <v>45586.617581018501</v>
      </c>
      <c r="G74" s="15">
        <v>45585.75</v>
      </c>
      <c r="H74" s="15">
        <v>45586.617581018501</v>
      </c>
      <c r="I74" s="15">
        <v>45586.6601041666</v>
      </c>
      <c r="J74">
        <v>1.0205555555555501</v>
      </c>
      <c r="K74" s="16">
        <v>4.2523148148148102E-2</v>
      </c>
      <c r="L74" s="8">
        <v>45586</v>
      </c>
      <c r="M74" s="15">
        <v>45586.617581018501</v>
      </c>
      <c r="O74" s="15">
        <v>1</v>
      </c>
      <c r="P74" s="15">
        <v>45586.6601041666</v>
      </c>
      <c r="R74" s="15">
        <v>1</v>
      </c>
      <c r="S74" s="15">
        <v>45586.6601041666</v>
      </c>
      <c r="T74" s="15">
        <v>45586.6601041666</v>
      </c>
      <c r="W74" s="15">
        <v>45586</v>
      </c>
      <c r="X74" t="s">
        <v>24</v>
      </c>
      <c r="Y74" t="s">
        <v>147</v>
      </c>
      <c r="Z74" t="s">
        <v>145</v>
      </c>
      <c r="AA74" t="s">
        <v>131</v>
      </c>
      <c r="AB74" t="s">
        <v>27</v>
      </c>
      <c r="AC74" t="s">
        <v>206</v>
      </c>
      <c r="AE74" t="s">
        <v>26</v>
      </c>
      <c r="AF74" t="s">
        <v>261</v>
      </c>
      <c r="AG74">
        <v>8461</v>
      </c>
      <c r="AH74" t="s">
        <v>264</v>
      </c>
      <c r="AI74">
        <v>247910</v>
      </c>
      <c r="AJ74" t="s">
        <v>262</v>
      </c>
      <c r="AK74">
        <v>446</v>
      </c>
      <c r="AL74" t="s">
        <v>39</v>
      </c>
      <c r="AM74">
        <v>11</v>
      </c>
      <c r="AN74">
        <v>5</v>
      </c>
      <c r="AO74">
        <v>57</v>
      </c>
      <c r="AQ74">
        <v>1</v>
      </c>
      <c r="AR74" t="s">
        <v>39</v>
      </c>
      <c r="AS74" t="s">
        <v>268</v>
      </c>
      <c r="AU74" t="s">
        <v>40</v>
      </c>
      <c r="AV74" t="s">
        <v>6</v>
      </c>
      <c r="AW74" t="s">
        <v>621</v>
      </c>
      <c r="AX74">
        <v>72</v>
      </c>
      <c r="AY74" t="b">
        <v>1</v>
      </c>
      <c r="AZ74" t="s">
        <v>622</v>
      </c>
      <c r="BB74" t="s">
        <v>263</v>
      </c>
      <c r="BC74">
        <v>43966</v>
      </c>
      <c r="BD74">
        <v>0</v>
      </c>
      <c r="BE74">
        <v>446</v>
      </c>
      <c r="BF74" t="s">
        <v>266</v>
      </c>
    </row>
    <row r="75" spans="1:58" x14ac:dyDescent="0.3">
      <c r="A75">
        <v>8560</v>
      </c>
      <c r="B75">
        <v>0.25</v>
      </c>
      <c r="C75" s="16">
        <v>1.04166666666666E-2</v>
      </c>
      <c r="D75" t="s">
        <v>210</v>
      </c>
      <c r="E75" s="109">
        <v>1</v>
      </c>
      <c r="F75" s="15">
        <v>45586.635648148098</v>
      </c>
      <c r="G75" s="15">
        <v>45585.75</v>
      </c>
      <c r="H75" s="15">
        <v>45586.635648148098</v>
      </c>
      <c r="I75" s="15">
        <v>1</v>
      </c>
      <c r="J75">
        <v>0</v>
      </c>
      <c r="K75" s="16">
        <v>0</v>
      </c>
      <c r="L75" s="8">
        <v>45586</v>
      </c>
      <c r="M75" s="15">
        <v>45586.635648148098</v>
      </c>
      <c r="O75" s="15">
        <v>1</v>
      </c>
      <c r="P75" s="15">
        <v>1</v>
      </c>
      <c r="R75" s="15">
        <v>1</v>
      </c>
      <c r="S75" s="15">
        <v>45586.661481481402</v>
      </c>
      <c r="T75" s="15">
        <v>45586.661481481402</v>
      </c>
      <c r="U75" t="s">
        <v>217</v>
      </c>
      <c r="W75" s="15">
        <v>45586</v>
      </c>
      <c r="X75" t="s">
        <v>623</v>
      </c>
      <c r="Y75" t="s">
        <v>171</v>
      </c>
      <c r="Z75" t="s">
        <v>135</v>
      </c>
      <c r="AA75" t="s">
        <v>133</v>
      </c>
      <c r="AB75" t="s">
        <v>259</v>
      </c>
      <c r="AE75" t="s">
        <v>26</v>
      </c>
      <c r="AF75" t="s">
        <v>624</v>
      </c>
      <c r="AG75">
        <v>8462</v>
      </c>
      <c r="AH75" t="s">
        <v>264</v>
      </c>
      <c r="AI75">
        <v>247900</v>
      </c>
      <c r="AJ75" t="s">
        <v>625</v>
      </c>
      <c r="AK75">
        <v>314</v>
      </c>
      <c r="AL75" t="s">
        <v>39</v>
      </c>
      <c r="AM75">
        <v>2</v>
      </c>
      <c r="AN75">
        <v>26</v>
      </c>
      <c r="AQ75">
        <v>1</v>
      </c>
      <c r="AR75" t="s">
        <v>39</v>
      </c>
      <c r="AS75" t="s">
        <v>273</v>
      </c>
      <c r="AU75" t="s">
        <v>40</v>
      </c>
      <c r="AV75" t="s">
        <v>6</v>
      </c>
      <c r="AW75" t="s">
        <v>626</v>
      </c>
      <c r="AX75">
        <v>71</v>
      </c>
      <c r="AZ75" t="s">
        <v>627</v>
      </c>
      <c r="BA75">
        <v>2</v>
      </c>
      <c r="BB75" t="s">
        <v>628</v>
      </c>
      <c r="BC75">
        <v>43941</v>
      </c>
      <c r="BD75">
        <v>0</v>
      </c>
      <c r="BE75">
        <v>314</v>
      </c>
      <c r="BF75" t="s">
        <v>266</v>
      </c>
    </row>
    <row r="76" spans="1:58" x14ac:dyDescent="0.3">
      <c r="A76">
        <v>8561</v>
      </c>
      <c r="B76">
        <v>0.25</v>
      </c>
      <c r="C76" s="16">
        <v>1.04166666666666E-2</v>
      </c>
      <c r="D76" t="s">
        <v>283</v>
      </c>
      <c r="E76" s="109">
        <v>1</v>
      </c>
      <c r="F76" s="15">
        <v>45586.642013888799</v>
      </c>
      <c r="G76" s="15">
        <v>45585.75</v>
      </c>
      <c r="H76" s="15">
        <v>45586.642013888799</v>
      </c>
      <c r="I76" s="15">
        <v>1</v>
      </c>
      <c r="J76">
        <v>0</v>
      </c>
      <c r="K76" s="16">
        <v>0</v>
      </c>
      <c r="L76" s="8">
        <v>45586</v>
      </c>
      <c r="M76" s="15">
        <v>45586.642013888799</v>
      </c>
      <c r="O76" s="15">
        <v>1</v>
      </c>
      <c r="P76" s="15">
        <v>1</v>
      </c>
      <c r="R76" s="15">
        <v>1</v>
      </c>
      <c r="S76" s="15">
        <v>45587.408819444398</v>
      </c>
      <c r="T76" s="15">
        <v>45587.408819444398</v>
      </c>
      <c r="U76" t="s">
        <v>217</v>
      </c>
      <c r="W76" s="15">
        <v>45586</v>
      </c>
      <c r="X76" t="s">
        <v>629</v>
      </c>
      <c r="Y76" t="s">
        <v>171</v>
      </c>
      <c r="Z76" t="s">
        <v>358</v>
      </c>
      <c r="AA76" t="s">
        <v>133</v>
      </c>
      <c r="AB76" t="s">
        <v>367</v>
      </c>
      <c r="AE76" t="s">
        <v>26</v>
      </c>
      <c r="AF76" t="s">
        <v>630</v>
      </c>
      <c r="AG76">
        <v>8463</v>
      </c>
      <c r="AH76" t="s">
        <v>264</v>
      </c>
      <c r="AI76">
        <v>247816</v>
      </c>
      <c r="AJ76" t="s">
        <v>631</v>
      </c>
      <c r="AK76">
        <v>314</v>
      </c>
      <c r="AL76" t="s">
        <v>39</v>
      </c>
      <c r="AM76">
        <v>15</v>
      </c>
      <c r="AN76">
        <v>46</v>
      </c>
      <c r="AQ76">
        <v>1</v>
      </c>
      <c r="AR76" t="s">
        <v>39</v>
      </c>
      <c r="AS76" t="s">
        <v>273</v>
      </c>
      <c r="AU76" t="s">
        <v>40</v>
      </c>
      <c r="AV76" t="s">
        <v>6</v>
      </c>
      <c r="AW76" t="s">
        <v>632</v>
      </c>
      <c r="AX76">
        <v>69</v>
      </c>
      <c r="AZ76" t="s">
        <v>633</v>
      </c>
      <c r="BA76">
        <v>2</v>
      </c>
      <c r="BB76" t="s">
        <v>634</v>
      </c>
      <c r="BC76">
        <v>44019</v>
      </c>
      <c r="BD76">
        <v>0</v>
      </c>
      <c r="BE76">
        <v>314</v>
      </c>
      <c r="BF76" t="s">
        <v>266</v>
      </c>
    </row>
    <row r="77" spans="1:58" x14ac:dyDescent="0.3">
      <c r="A77">
        <v>8562</v>
      </c>
      <c r="B77">
        <v>0.66666666666666596</v>
      </c>
      <c r="C77" s="16">
        <v>2.77777777777777E-2</v>
      </c>
      <c r="D77" t="s">
        <v>96</v>
      </c>
      <c r="E77" s="109">
        <v>0</v>
      </c>
      <c r="F77" s="15">
        <v>45586.647592592497</v>
      </c>
      <c r="G77" s="15">
        <v>45585.75</v>
      </c>
      <c r="H77" s="15">
        <v>45586.645138888802</v>
      </c>
      <c r="I77" s="15">
        <v>45586.6476273148</v>
      </c>
      <c r="J77">
        <v>5.9722222222222197E-2</v>
      </c>
      <c r="K77" s="16">
        <v>2.48842592592592E-3</v>
      </c>
      <c r="L77" s="8">
        <v>45586</v>
      </c>
      <c r="M77" s="15">
        <v>45586.645138888802</v>
      </c>
      <c r="N77" t="b">
        <v>1</v>
      </c>
      <c r="O77" s="15">
        <v>45586.645138888802</v>
      </c>
      <c r="P77" s="15">
        <v>45586.6476273148</v>
      </c>
      <c r="R77" s="15">
        <v>1</v>
      </c>
      <c r="S77" s="15">
        <v>45586.6476273148</v>
      </c>
      <c r="T77" s="15">
        <v>45586.6476273148</v>
      </c>
      <c r="U77" t="s">
        <v>217</v>
      </c>
      <c r="V77" t="s">
        <v>635</v>
      </c>
      <c r="W77" s="15">
        <v>45586</v>
      </c>
      <c r="X77" t="s">
        <v>635</v>
      </c>
      <c r="Y77" t="s">
        <v>158</v>
      </c>
      <c r="Z77" t="s">
        <v>135</v>
      </c>
      <c r="AA77" t="s">
        <v>131</v>
      </c>
      <c r="AB77" t="s">
        <v>27</v>
      </c>
      <c r="AC77" t="s">
        <v>317</v>
      </c>
      <c r="AD77" t="s">
        <v>146</v>
      </c>
      <c r="AE77" t="s">
        <v>26</v>
      </c>
      <c r="AF77" t="s">
        <v>284</v>
      </c>
      <c r="AG77">
        <v>8464</v>
      </c>
      <c r="AH77" t="s">
        <v>264</v>
      </c>
      <c r="AI77">
        <v>247782</v>
      </c>
      <c r="AJ77" t="s">
        <v>636</v>
      </c>
      <c r="AK77">
        <v>171</v>
      </c>
      <c r="AL77" t="s">
        <v>39</v>
      </c>
      <c r="AM77">
        <v>2</v>
      </c>
      <c r="AN77">
        <v>5</v>
      </c>
      <c r="AO77">
        <v>33</v>
      </c>
      <c r="AP77">
        <v>5</v>
      </c>
      <c r="AQ77">
        <v>1</v>
      </c>
      <c r="AR77" t="s">
        <v>39</v>
      </c>
      <c r="AS77" t="s">
        <v>314</v>
      </c>
      <c r="AU77" t="s">
        <v>40</v>
      </c>
      <c r="AV77" t="s">
        <v>6</v>
      </c>
      <c r="AW77" t="s">
        <v>637</v>
      </c>
      <c r="AX77">
        <v>72</v>
      </c>
      <c r="AY77" t="b">
        <v>1</v>
      </c>
      <c r="AZ77" t="s">
        <v>638</v>
      </c>
      <c r="BA77">
        <v>2</v>
      </c>
      <c r="BB77" t="s">
        <v>639</v>
      </c>
      <c r="BC77">
        <v>43952</v>
      </c>
      <c r="BD77">
        <v>0</v>
      </c>
      <c r="BE77">
        <v>171</v>
      </c>
      <c r="BF77" t="s">
        <v>266</v>
      </c>
    </row>
    <row r="78" spans="1:58" x14ac:dyDescent="0.3">
      <c r="A78">
        <v>8563</v>
      </c>
      <c r="B78">
        <v>0.66666666666666596</v>
      </c>
      <c r="C78" s="16">
        <v>2.77777777777777E-2</v>
      </c>
      <c r="D78" t="s">
        <v>96</v>
      </c>
      <c r="E78" s="109">
        <v>0</v>
      </c>
      <c r="F78" s="15">
        <v>45586.649583333303</v>
      </c>
      <c r="G78" s="15">
        <v>45585.75</v>
      </c>
      <c r="H78" s="15">
        <v>45586.6477199074</v>
      </c>
      <c r="I78" s="15">
        <v>45586.649606481398</v>
      </c>
      <c r="J78">
        <v>4.5277777777777702E-2</v>
      </c>
      <c r="K78" s="16">
        <v>1.88657407407407E-3</v>
      </c>
      <c r="L78" s="8">
        <v>45586</v>
      </c>
      <c r="M78" s="15">
        <v>45586.6477199074</v>
      </c>
      <c r="N78" t="b">
        <v>1</v>
      </c>
      <c r="O78" s="15">
        <v>45586.6477199074</v>
      </c>
      <c r="P78" s="15">
        <v>45586.649606481398</v>
      </c>
      <c r="R78" s="15">
        <v>1</v>
      </c>
      <c r="S78" s="15">
        <v>45586.649606481398</v>
      </c>
      <c r="T78" s="15">
        <v>45586.649606481398</v>
      </c>
      <c r="U78" t="s">
        <v>217</v>
      </c>
      <c r="V78" t="s">
        <v>640</v>
      </c>
      <c r="W78" s="15">
        <v>45586</v>
      </c>
      <c r="X78" t="s">
        <v>641</v>
      </c>
      <c r="Y78" t="s">
        <v>158</v>
      </c>
      <c r="Z78" t="s">
        <v>135</v>
      </c>
      <c r="AA78" t="s">
        <v>131</v>
      </c>
      <c r="AB78" t="s">
        <v>27</v>
      </c>
      <c r="AC78" t="s">
        <v>317</v>
      </c>
      <c r="AD78" t="s">
        <v>146</v>
      </c>
      <c r="AE78" t="s">
        <v>444</v>
      </c>
      <c r="AF78" t="s">
        <v>445</v>
      </c>
      <c r="AG78">
        <v>8465</v>
      </c>
      <c r="AH78" t="s">
        <v>264</v>
      </c>
      <c r="AI78">
        <v>247156</v>
      </c>
      <c r="AJ78" t="s">
        <v>446</v>
      </c>
      <c r="AK78">
        <v>171</v>
      </c>
      <c r="AL78" t="s">
        <v>39</v>
      </c>
      <c r="AM78">
        <v>2</v>
      </c>
      <c r="AN78">
        <v>5</v>
      </c>
      <c r="AO78">
        <v>33</v>
      </c>
      <c r="AP78">
        <v>5</v>
      </c>
      <c r="AQ78">
        <v>1</v>
      </c>
      <c r="AR78" t="s">
        <v>39</v>
      </c>
      <c r="AS78" t="s">
        <v>314</v>
      </c>
      <c r="AU78" t="s">
        <v>40</v>
      </c>
      <c r="AV78" t="s">
        <v>6</v>
      </c>
      <c r="AW78" t="s">
        <v>642</v>
      </c>
      <c r="AX78">
        <v>72</v>
      </c>
      <c r="AY78" t="b">
        <v>1</v>
      </c>
      <c r="AZ78" t="s">
        <v>643</v>
      </c>
      <c r="BA78">
        <v>2</v>
      </c>
      <c r="BB78" t="s">
        <v>449</v>
      </c>
      <c r="BC78">
        <v>43953</v>
      </c>
      <c r="BD78">
        <v>0</v>
      </c>
      <c r="BE78">
        <v>171</v>
      </c>
      <c r="BF78" t="s">
        <v>266</v>
      </c>
    </row>
    <row r="79" spans="1:58" x14ac:dyDescent="0.3">
      <c r="A79">
        <v>8564</v>
      </c>
      <c r="B79">
        <v>2</v>
      </c>
      <c r="C79" s="16">
        <v>8.3333333333333301E-2</v>
      </c>
      <c r="D79" t="s">
        <v>96</v>
      </c>
      <c r="E79" s="109">
        <v>1</v>
      </c>
      <c r="F79" s="15">
        <v>45586.649861111102</v>
      </c>
      <c r="G79" s="15">
        <v>45585.75</v>
      </c>
      <c r="H79" s="15">
        <v>45586.647256944401</v>
      </c>
      <c r="I79" s="15">
        <v>45586.649525462897</v>
      </c>
      <c r="J79">
        <v>5.44444444444444E-2</v>
      </c>
      <c r="K79" s="16">
        <v>2.26851851851851E-3</v>
      </c>
      <c r="L79" s="8">
        <v>45586</v>
      </c>
      <c r="M79" s="15">
        <v>45586.647256944401</v>
      </c>
      <c r="N79" t="b">
        <v>1</v>
      </c>
      <c r="O79" s="15">
        <v>45586.647256944401</v>
      </c>
      <c r="P79" s="15">
        <v>45586.649525462897</v>
      </c>
      <c r="Q79" t="b">
        <v>1</v>
      </c>
      <c r="R79" s="15">
        <v>45586.649525462897</v>
      </c>
      <c r="S79" s="15">
        <v>45586.7366087962</v>
      </c>
      <c r="T79" s="15">
        <v>45586.7366087962</v>
      </c>
      <c r="U79" t="s">
        <v>217</v>
      </c>
      <c r="V79" t="s">
        <v>644</v>
      </c>
      <c r="W79" s="15">
        <v>45586</v>
      </c>
      <c r="X79" t="s">
        <v>645</v>
      </c>
      <c r="Y79" t="s">
        <v>138</v>
      </c>
      <c r="Z79" t="s">
        <v>135</v>
      </c>
      <c r="AA79" t="s">
        <v>133</v>
      </c>
      <c r="AB79" t="s">
        <v>646</v>
      </c>
      <c r="AE79" t="s">
        <v>26</v>
      </c>
      <c r="AF79" t="s">
        <v>346</v>
      </c>
      <c r="AG79">
        <v>8466</v>
      </c>
      <c r="AH79" t="s">
        <v>264</v>
      </c>
      <c r="AI79">
        <v>247258</v>
      </c>
      <c r="AJ79" t="s">
        <v>347</v>
      </c>
      <c r="AK79">
        <v>186</v>
      </c>
      <c r="AL79" t="s">
        <v>39</v>
      </c>
      <c r="AM79">
        <v>2</v>
      </c>
      <c r="AN79">
        <v>14</v>
      </c>
      <c r="AQ79">
        <v>1</v>
      </c>
      <c r="AR79" t="s">
        <v>39</v>
      </c>
      <c r="AS79" t="s">
        <v>272</v>
      </c>
      <c r="AT79" t="s">
        <v>647</v>
      </c>
      <c r="AU79" t="s">
        <v>40</v>
      </c>
      <c r="AV79" t="s">
        <v>6</v>
      </c>
      <c r="AW79" t="s">
        <v>645</v>
      </c>
      <c r="AX79">
        <v>72</v>
      </c>
      <c r="AY79" t="b">
        <v>1</v>
      </c>
      <c r="AZ79" t="s">
        <v>648</v>
      </c>
      <c r="BA79">
        <v>2</v>
      </c>
      <c r="BB79" t="s">
        <v>351</v>
      </c>
      <c r="BC79">
        <v>43954</v>
      </c>
      <c r="BD79">
        <v>0</v>
      </c>
      <c r="BE79">
        <v>186</v>
      </c>
      <c r="BF79" t="s">
        <v>266</v>
      </c>
    </row>
    <row r="80" spans="1:58" x14ac:dyDescent="0.3">
      <c r="A80">
        <v>8565</v>
      </c>
      <c r="B80">
        <v>0.7</v>
      </c>
      <c r="C80" s="16">
        <v>2.9166666666666601E-2</v>
      </c>
      <c r="D80" t="s">
        <v>96</v>
      </c>
      <c r="E80" s="109">
        <v>0</v>
      </c>
      <c r="F80" s="15">
        <v>45586.651585648098</v>
      </c>
      <c r="G80" s="15">
        <v>45585.75</v>
      </c>
      <c r="H80" s="15">
        <v>45586.650370370298</v>
      </c>
      <c r="I80" s="15">
        <v>45586.651631944398</v>
      </c>
      <c r="J80">
        <v>3.0277777777777699E-2</v>
      </c>
      <c r="K80" s="16">
        <v>1.2615740740740699E-3</v>
      </c>
      <c r="L80" s="8">
        <v>45586</v>
      </c>
      <c r="M80" s="15">
        <v>45586.650370370298</v>
      </c>
      <c r="N80" t="b">
        <v>1</v>
      </c>
      <c r="O80" s="15">
        <v>45586.650370370298</v>
      </c>
      <c r="P80" s="15">
        <v>45586.651631944398</v>
      </c>
      <c r="R80" s="15">
        <v>1</v>
      </c>
      <c r="S80" s="15">
        <v>45586.651631944398</v>
      </c>
      <c r="T80" s="15">
        <v>45586.651631944398</v>
      </c>
      <c r="U80" t="s">
        <v>217</v>
      </c>
      <c r="V80" t="s">
        <v>649</v>
      </c>
      <c r="W80" s="15">
        <v>45586</v>
      </c>
      <c r="X80" t="s">
        <v>650</v>
      </c>
      <c r="Y80" t="s">
        <v>158</v>
      </c>
      <c r="Z80" t="s">
        <v>216</v>
      </c>
      <c r="AA80" t="s">
        <v>131</v>
      </c>
      <c r="AB80" t="s">
        <v>27</v>
      </c>
      <c r="AC80" t="s">
        <v>145</v>
      </c>
      <c r="AD80" t="s">
        <v>146</v>
      </c>
      <c r="AE80" t="s">
        <v>26</v>
      </c>
      <c r="AF80" t="s">
        <v>284</v>
      </c>
      <c r="AG80">
        <v>8467</v>
      </c>
      <c r="AH80" t="s">
        <v>264</v>
      </c>
      <c r="AI80">
        <v>247782</v>
      </c>
      <c r="AJ80" t="s">
        <v>636</v>
      </c>
      <c r="AK80">
        <v>171</v>
      </c>
      <c r="AL80" t="s">
        <v>39</v>
      </c>
      <c r="AM80">
        <v>1</v>
      </c>
      <c r="AN80">
        <v>5</v>
      </c>
      <c r="AO80">
        <v>14</v>
      </c>
      <c r="AP80">
        <v>5</v>
      </c>
      <c r="AQ80">
        <v>1</v>
      </c>
      <c r="AR80" t="s">
        <v>39</v>
      </c>
      <c r="AS80" t="s">
        <v>314</v>
      </c>
      <c r="AU80" t="s">
        <v>40</v>
      </c>
      <c r="AV80" t="s">
        <v>6</v>
      </c>
      <c r="AW80" t="s">
        <v>651</v>
      </c>
      <c r="AX80">
        <v>72</v>
      </c>
      <c r="AY80" t="b">
        <v>1</v>
      </c>
      <c r="AZ80" t="s">
        <v>652</v>
      </c>
      <c r="BA80">
        <v>2</v>
      </c>
      <c r="BB80" t="s">
        <v>639</v>
      </c>
      <c r="BC80">
        <v>43957</v>
      </c>
      <c r="BD80">
        <v>0</v>
      </c>
      <c r="BE80">
        <v>171</v>
      </c>
      <c r="BF80" t="s">
        <v>266</v>
      </c>
    </row>
    <row r="81" spans="1:58" x14ac:dyDescent="0.3">
      <c r="A81">
        <v>8566</v>
      </c>
      <c r="B81">
        <v>0.5</v>
      </c>
      <c r="C81" s="16">
        <v>2.0833333333333301E-2</v>
      </c>
      <c r="D81" t="s">
        <v>96</v>
      </c>
      <c r="E81" s="109">
        <v>0</v>
      </c>
      <c r="F81" s="15">
        <v>45586.652951388802</v>
      </c>
      <c r="G81" s="15">
        <v>45585.75</v>
      </c>
      <c r="H81" s="15">
        <v>45586.652048611097</v>
      </c>
      <c r="I81" s="15">
        <v>45586.652974536999</v>
      </c>
      <c r="J81">
        <v>2.2222222222222199E-2</v>
      </c>
      <c r="K81" s="16">
        <v>9.2592592592592596E-4</v>
      </c>
      <c r="L81" s="8">
        <v>45586</v>
      </c>
      <c r="M81" s="15">
        <v>45586.652048611097</v>
      </c>
      <c r="N81" t="b">
        <v>1</v>
      </c>
      <c r="O81" s="15">
        <v>45586.652048611097</v>
      </c>
      <c r="P81" s="15">
        <v>45586.652974536999</v>
      </c>
      <c r="R81" s="15">
        <v>1</v>
      </c>
      <c r="S81" s="15">
        <v>45586.652974536999</v>
      </c>
      <c r="T81" s="15">
        <v>45586.652974536999</v>
      </c>
      <c r="U81" t="s">
        <v>217</v>
      </c>
      <c r="V81" t="s">
        <v>653</v>
      </c>
      <c r="W81" s="15">
        <v>45586</v>
      </c>
      <c r="X81" t="s">
        <v>653</v>
      </c>
      <c r="Y81" t="s">
        <v>158</v>
      </c>
      <c r="Z81" t="s">
        <v>135</v>
      </c>
      <c r="AA81" t="s">
        <v>131</v>
      </c>
      <c r="AB81" t="s">
        <v>27</v>
      </c>
      <c r="AC81" t="s">
        <v>145</v>
      </c>
      <c r="AD81" t="s">
        <v>146</v>
      </c>
      <c r="AE81" t="s">
        <v>26</v>
      </c>
      <c r="AF81" t="s">
        <v>505</v>
      </c>
      <c r="AG81">
        <v>8468</v>
      </c>
      <c r="AH81" t="s">
        <v>264</v>
      </c>
      <c r="AI81">
        <v>247264</v>
      </c>
      <c r="AJ81" t="s">
        <v>654</v>
      </c>
      <c r="AK81">
        <v>171</v>
      </c>
      <c r="AL81" t="s">
        <v>39</v>
      </c>
      <c r="AM81">
        <v>2</v>
      </c>
      <c r="AN81">
        <v>5</v>
      </c>
      <c r="AO81">
        <v>14</v>
      </c>
      <c r="AP81">
        <v>5</v>
      </c>
      <c r="AQ81">
        <v>1</v>
      </c>
      <c r="AR81" t="s">
        <v>39</v>
      </c>
      <c r="AS81" t="s">
        <v>314</v>
      </c>
      <c r="AU81" t="s">
        <v>40</v>
      </c>
      <c r="AV81" t="s">
        <v>6</v>
      </c>
      <c r="AW81" t="s">
        <v>655</v>
      </c>
      <c r="AX81">
        <v>72</v>
      </c>
      <c r="AY81" t="b">
        <v>1</v>
      </c>
      <c r="AZ81" t="s">
        <v>656</v>
      </c>
      <c r="BA81">
        <v>2</v>
      </c>
      <c r="BB81" t="s">
        <v>657</v>
      </c>
      <c r="BC81">
        <v>43959</v>
      </c>
      <c r="BD81">
        <v>0</v>
      </c>
      <c r="BE81">
        <v>171</v>
      </c>
      <c r="BF81" t="s">
        <v>266</v>
      </c>
    </row>
    <row r="82" spans="1:58" x14ac:dyDescent="0.3">
      <c r="A82">
        <v>8567</v>
      </c>
      <c r="B82">
        <v>1.2666666666666599</v>
      </c>
      <c r="C82" s="16">
        <v>5.2777777777777701E-2</v>
      </c>
      <c r="D82" t="s">
        <v>96</v>
      </c>
      <c r="E82" s="109">
        <v>2</v>
      </c>
      <c r="F82" s="15">
        <v>45586.6541782407</v>
      </c>
      <c r="G82" s="15">
        <v>45585.75</v>
      </c>
      <c r="H82" s="15">
        <v>45586.6541782407</v>
      </c>
      <c r="I82" s="15">
        <v>45586.654305555501</v>
      </c>
      <c r="J82">
        <v>3.0555555555555501E-3</v>
      </c>
      <c r="K82" s="16">
        <v>1.2731481481481399E-4</v>
      </c>
      <c r="L82" s="8">
        <v>45586</v>
      </c>
      <c r="M82" s="15">
        <v>45586.6541782407</v>
      </c>
      <c r="O82" s="15">
        <v>1</v>
      </c>
      <c r="P82" s="15">
        <v>45586.654305555501</v>
      </c>
      <c r="R82" s="15">
        <v>1</v>
      </c>
      <c r="S82" s="15">
        <v>45586.654305555501</v>
      </c>
      <c r="T82" s="15">
        <v>45586.654305555501</v>
      </c>
      <c r="U82" t="s">
        <v>217</v>
      </c>
      <c r="V82" t="s">
        <v>658</v>
      </c>
      <c r="W82" s="15">
        <v>45586</v>
      </c>
      <c r="X82" t="s">
        <v>658</v>
      </c>
      <c r="Y82" t="s">
        <v>142</v>
      </c>
      <c r="Z82" t="s">
        <v>135</v>
      </c>
      <c r="AA82" t="s">
        <v>131</v>
      </c>
      <c r="AB82" t="s">
        <v>203</v>
      </c>
      <c r="AE82" t="s">
        <v>34</v>
      </c>
      <c r="AF82" t="s">
        <v>489</v>
      </c>
      <c r="AG82">
        <v>8469</v>
      </c>
      <c r="AH82" t="s">
        <v>264</v>
      </c>
      <c r="AI82">
        <v>247714</v>
      </c>
      <c r="AJ82" t="s">
        <v>659</v>
      </c>
      <c r="AK82">
        <v>299</v>
      </c>
      <c r="AL82" t="s">
        <v>39</v>
      </c>
      <c r="AM82">
        <v>2</v>
      </c>
      <c r="AN82">
        <v>6</v>
      </c>
      <c r="AQ82">
        <v>1</v>
      </c>
      <c r="AR82" t="s">
        <v>39</v>
      </c>
      <c r="AS82" t="s">
        <v>265</v>
      </c>
      <c r="AT82" t="s">
        <v>660</v>
      </c>
      <c r="AU82" t="s">
        <v>40</v>
      </c>
      <c r="AV82" t="s">
        <v>6</v>
      </c>
      <c r="AW82" t="s">
        <v>661</v>
      </c>
      <c r="AX82">
        <v>72</v>
      </c>
      <c r="AY82" t="b">
        <v>1</v>
      </c>
      <c r="AZ82" t="s">
        <v>662</v>
      </c>
      <c r="BA82">
        <v>2</v>
      </c>
      <c r="BB82" t="s">
        <v>663</v>
      </c>
      <c r="BC82">
        <v>43963</v>
      </c>
      <c r="BD82">
        <v>0</v>
      </c>
      <c r="BE82">
        <v>299</v>
      </c>
      <c r="BF82" t="s">
        <v>266</v>
      </c>
    </row>
    <row r="83" spans="1:58" x14ac:dyDescent="0.3">
      <c r="A83">
        <v>8568</v>
      </c>
      <c r="B83">
        <v>0.41666666666666602</v>
      </c>
      <c r="C83" s="16">
        <v>1.7361111111111101E-2</v>
      </c>
      <c r="D83" t="s">
        <v>96</v>
      </c>
      <c r="E83" s="109">
        <v>0</v>
      </c>
      <c r="F83" s="15">
        <v>45586.654965277703</v>
      </c>
      <c r="G83" s="15">
        <v>45585.75</v>
      </c>
      <c r="H83" s="15">
        <v>45586.654965277703</v>
      </c>
      <c r="I83" s="15">
        <v>45586.672199073997</v>
      </c>
      <c r="J83">
        <v>0.41361111111111099</v>
      </c>
      <c r="K83" s="16">
        <v>1.7233796296296199E-2</v>
      </c>
      <c r="L83" s="8">
        <v>45586</v>
      </c>
      <c r="M83" s="15">
        <v>45586.654965277703</v>
      </c>
      <c r="O83" s="15">
        <v>1</v>
      </c>
      <c r="P83" s="15">
        <v>45586.672199073997</v>
      </c>
      <c r="R83" s="15">
        <v>1</v>
      </c>
      <c r="S83" s="15">
        <v>45586.672199073997</v>
      </c>
      <c r="T83" s="15">
        <v>45586.672199073997</v>
      </c>
      <c r="W83" s="15">
        <v>45586</v>
      </c>
      <c r="X83" t="s">
        <v>24</v>
      </c>
      <c r="Y83" t="s">
        <v>147</v>
      </c>
      <c r="Z83" t="s">
        <v>145</v>
      </c>
      <c r="AA83" t="s">
        <v>133</v>
      </c>
      <c r="AB83" t="s">
        <v>27</v>
      </c>
      <c r="AE83" t="s">
        <v>26</v>
      </c>
      <c r="AF83" t="s">
        <v>284</v>
      </c>
      <c r="AG83">
        <v>8470</v>
      </c>
      <c r="AH83" t="s">
        <v>264</v>
      </c>
      <c r="AI83">
        <v>247782</v>
      </c>
      <c r="AJ83" t="s">
        <v>636</v>
      </c>
      <c r="AK83">
        <v>446</v>
      </c>
      <c r="AL83" t="s">
        <v>39</v>
      </c>
      <c r="AM83">
        <v>11</v>
      </c>
      <c r="AN83">
        <v>5</v>
      </c>
      <c r="AQ83">
        <v>1</v>
      </c>
      <c r="AR83" t="s">
        <v>39</v>
      </c>
      <c r="AS83" t="s">
        <v>268</v>
      </c>
      <c r="AU83" t="s">
        <v>40</v>
      </c>
      <c r="AV83" t="s">
        <v>6</v>
      </c>
      <c r="AW83" t="s">
        <v>664</v>
      </c>
      <c r="AX83">
        <v>72</v>
      </c>
      <c r="AY83" t="b">
        <v>1</v>
      </c>
      <c r="AZ83" t="s">
        <v>665</v>
      </c>
      <c r="BB83" t="s">
        <v>639</v>
      </c>
      <c r="BC83">
        <v>43970</v>
      </c>
      <c r="BD83">
        <v>0</v>
      </c>
      <c r="BE83">
        <v>446</v>
      </c>
      <c r="BF83" t="s">
        <v>266</v>
      </c>
    </row>
    <row r="84" spans="1:58" x14ac:dyDescent="0.3">
      <c r="A84">
        <v>8569</v>
      </c>
      <c r="B84">
        <v>0.53333333333333299</v>
      </c>
      <c r="C84" s="16">
        <v>2.2222222222222199E-2</v>
      </c>
      <c r="D84" t="s">
        <v>96</v>
      </c>
      <c r="E84" s="109">
        <v>0</v>
      </c>
      <c r="F84" s="15">
        <v>45586.654999999999</v>
      </c>
      <c r="G84" s="15">
        <v>45585.75</v>
      </c>
      <c r="H84" s="15">
        <v>45586.653807870302</v>
      </c>
      <c r="I84" s="15">
        <v>45586.6550347222</v>
      </c>
      <c r="J84">
        <v>2.9444444444444402E-2</v>
      </c>
      <c r="K84" s="16">
        <v>1.2268518518518501E-3</v>
      </c>
      <c r="L84" s="8">
        <v>45586</v>
      </c>
      <c r="M84" s="15">
        <v>45586.653807870302</v>
      </c>
      <c r="N84" t="b">
        <v>1</v>
      </c>
      <c r="O84" s="15">
        <v>45586.653807870302</v>
      </c>
      <c r="P84" s="15">
        <v>45586.6550347222</v>
      </c>
      <c r="R84" s="15">
        <v>1</v>
      </c>
      <c r="S84" s="15">
        <v>45586.6550347222</v>
      </c>
      <c r="T84" s="15">
        <v>45586.6550347222</v>
      </c>
      <c r="U84" t="s">
        <v>217</v>
      </c>
      <c r="V84" t="s">
        <v>666</v>
      </c>
      <c r="W84" s="15">
        <v>45586</v>
      </c>
      <c r="X84" t="s">
        <v>667</v>
      </c>
      <c r="Y84" t="s">
        <v>158</v>
      </c>
      <c r="Z84" t="s">
        <v>135</v>
      </c>
      <c r="AA84" t="s">
        <v>131</v>
      </c>
      <c r="AB84" t="s">
        <v>27</v>
      </c>
      <c r="AC84" t="s">
        <v>152</v>
      </c>
      <c r="AD84" t="s">
        <v>146</v>
      </c>
      <c r="AE84" t="s">
        <v>26</v>
      </c>
      <c r="AF84" t="s">
        <v>30</v>
      </c>
      <c r="AG84">
        <v>8471</v>
      </c>
      <c r="AH84" t="s">
        <v>264</v>
      </c>
      <c r="AI84">
        <v>247030</v>
      </c>
      <c r="AJ84" t="s">
        <v>207</v>
      </c>
      <c r="AK84">
        <v>171</v>
      </c>
      <c r="AL84" t="s">
        <v>39</v>
      </c>
      <c r="AM84">
        <v>2</v>
      </c>
      <c r="AN84">
        <v>5</v>
      </c>
      <c r="AO84">
        <v>58</v>
      </c>
      <c r="AP84">
        <v>5</v>
      </c>
      <c r="AQ84">
        <v>1</v>
      </c>
      <c r="AR84" t="s">
        <v>39</v>
      </c>
      <c r="AS84" t="s">
        <v>314</v>
      </c>
      <c r="AU84" t="s">
        <v>40</v>
      </c>
      <c r="AV84" t="s">
        <v>6</v>
      </c>
      <c r="AW84" t="s">
        <v>668</v>
      </c>
      <c r="AX84">
        <v>72</v>
      </c>
      <c r="AY84" t="b">
        <v>1</v>
      </c>
      <c r="AZ84" t="s">
        <v>669</v>
      </c>
      <c r="BA84">
        <v>2</v>
      </c>
      <c r="BB84" t="s">
        <v>607</v>
      </c>
      <c r="BC84">
        <v>43964</v>
      </c>
      <c r="BD84">
        <v>0</v>
      </c>
      <c r="BE84">
        <v>171</v>
      </c>
      <c r="BF84" t="s">
        <v>266</v>
      </c>
    </row>
    <row r="85" spans="1:58" x14ac:dyDescent="0.3">
      <c r="A85">
        <v>8570</v>
      </c>
      <c r="B85">
        <v>0.75</v>
      </c>
      <c r="C85" s="16">
        <v>3.125E-2</v>
      </c>
      <c r="D85" t="s">
        <v>96</v>
      </c>
      <c r="E85" s="109">
        <v>0</v>
      </c>
      <c r="F85" s="15">
        <v>45586.656215277697</v>
      </c>
      <c r="G85" s="15">
        <v>45585.75</v>
      </c>
      <c r="H85" s="15">
        <v>45586.6551273148</v>
      </c>
      <c r="I85" s="15">
        <v>45586.65625</v>
      </c>
      <c r="J85">
        <v>2.6944444444444399E-2</v>
      </c>
      <c r="K85" s="16">
        <v>1.1226851851851799E-3</v>
      </c>
      <c r="L85" s="8">
        <v>45586</v>
      </c>
      <c r="M85" s="15">
        <v>45586.6551273148</v>
      </c>
      <c r="N85" t="b">
        <v>1</v>
      </c>
      <c r="O85" s="15">
        <v>45586.6551273148</v>
      </c>
      <c r="P85" s="15">
        <v>45586.65625</v>
      </c>
      <c r="R85" s="15">
        <v>1</v>
      </c>
      <c r="S85" s="15">
        <v>45586.656736111101</v>
      </c>
      <c r="T85" s="15">
        <v>45586.656736111101</v>
      </c>
      <c r="U85" t="s">
        <v>217</v>
      </c>
      <c r="V85" t="s">
        <v>670</v>
      </c>
      <c r="W85" s="15">
        <v>45586</v>
      </c>
      <c r="X85" t="s">
        <v>670</v>
      </c>
      <c r="Y85" t="s">
        <v>158</v>
      </c>
      <c r="Z85" t="s">
        <v>135</v>
      </c>
      <c r="AA85" t="s">
        <v>131</v>
      </c>
      <c r="AB85" t="s">
        <v>288</v>
      </c>
      <c r="AD85" t="s">
        <v>146</v>
      </c>
      <c r="AE85" t="s">
        <v>34</v>
      </c>
      <c r="AF85" t="s">
        <v>275</v>
      </c>
      <c r="AG85">
        <v>8472</v>
      </c>
      <c r="AH85" t="s">
        <v>264</v>
      </c>
      <c r="AI85">
        <v>247711</v>
      </c>
      <c r="AJ85" t="s">
        <v>276</v>
      </c>
      <c r="AK85">
        <v>171</v>
      </c>
      <c r="AL85" t="s">
        <v>39</v>
      </c>
      <c r="AM85">
        <v>2</v>
      </c>
      <c r="AN85">
        <v>19</v>
      </c>
      <c r="AP85">
        <v>5</v>
      </c>
      <c r="AQ85">
        <v>1</v>
      </c>
      <c r="AR85" t="s">
        <v>39</v>
      </c>
      <c r="AS85" t="s">
        <v>314</v>
      </c>
      <c r="AT85" t="s">
        <v>671</v>
      </c>
      <c r="AU85" t="s">
        <v>40</v>
      </c>
      <c r="AV85" t="s">
        <v>6</v>
      </c>
      <c r="AW85" t="s">
        <v>672</v>
      </c>
      <c r="AX85">
        <v>72</v>
      </c>
      <c r="AY85" t="b">
        <v>1</v>
      </c>
      <c r="AZ85" t="s">
        <v>673</v>
      </c>
      <c r="BA85">
        <v>2</v>
      </c>
      <c r="BB85" t="s">
        <v>277</v>
      </c>
      <c r="BC85">
        <v>43965</v>
      </c>
      <c r="BD85">
        <v>0</v>
      </c>
      <c r="BE85">
        <v>171</v>
      </c>
      <c r="BF85" t="s">
        <v>266</v>
      </c>
    </row>
    <row r="86" spans="1:58" x14ac:dyDescent="0.3">
      <c r="A86">
        <v>8571</v>
      </c>
      <c r="B86">
        <v>2.5</v>
      </c>
      <c r="C86" s="16">
        <v>0.10416666666666601</v>
      </c>
      <c r="D86" t="s">
        <v>96</v>
      </c>
      <c r="E86" s="109">
        <v>3</v>
      </c>
      <c r="F86" s="15">
        <v>45586.665497685099</v>
      </c>
      <c r="G86" s="15">
        <v>45585.75</v>
      </c>
      <c r="H86" s="15">
        <v>45586.590798611098</v>
      </c>
      <c r="I86" s="15">
        <v>45586.698275462899</v>
      </c>
      <c r="J86">
        <v>2.57944444444444</v>
      </c>
      <c r="K86" s="16">
        <v>0.107476851851851</v>
      </c>
      <c r="L86" s="8">
        <v>45586</v>
      </c>
      <c r="M86" s="15">
        <v>45586.590798611098</v>
      </c>
      <c r="N86" t="b">
        <v>1</v>
      </c>
      <c r="O86" s="15">
        <v>45586.590798611098</v>
      </c>
      <c r="P86" s="15">
        <v>45586.698275462899</v>
      </c>
      <c r="Q86" t="b">
        <v>1</v>
      </c>
      <c r="R86" s="15">
        <v>45586.698275462899</v>
      </c>
      <c r="S86" s="15">
        <v>45586.665914351797</v>
      </c>
      <c r="T86" s="15">
        <v>45586.665914351797</v>
      </c>
      <c r="W86" s="15">
        <v>45586</v>
      </c>
      <c r="X86" t="s">
        <v>24</v>
      </c>
      <c r="Y86" t="s">
        <v>144</v>
      </c>
      <c r="Z86" t="s">
        <v>135</v>
      </c>
      <c r="AA86" t="s">
        <v>133</v>
      </c>
      <c r="AB86" t="s">
        <v>153</v>
      </c>
      <c r="AC86" t="s">
        <v>154</v>
      </c>
      <c r="AD86" t="s">
        <v>146</v>
      </c>
      <c r="AE86" t="s">
        <v>26</v>
      </c>
      <c r="AF86" t="s">
        <v>37</v>
      </c>
      <c r="AG86">
        <v>8473</v>
      </c>
      <c r="AH86" t="s">
        <v>264</v>
      </c>
      <c r="AI86">
        <v>247813</v>
      </c>
      <c r="AJ86" t="s">
        <v>139</v>
      </c>
      <c r="AK86">
        <v>267</v>
      </c>
      <c r="AL86" t="s">
        <v>39</v>
      </c>
      <c r="AM86">
        <v>2</v>
      </c>
      <c r="AN86">
        <v>41</v>
      </c>
      <c r="AO86">
        <v>48</v>
      </c>
      <c r="AP86">
        <v>5</v>
      </c>
      <c r="AQ86">
        <v>1</v>
      </c>
      <c r="AR86" t="s">
        <v>39</v>
      </c>
      <c r="AS86" t="s">
        <v>267</v>
      </c>
      <c r="AU86" t="s">
        <v>40</v>
      </c>
      <c r="AV86" t="s">
        <v>6</v>
      </c>
      <c r="AW86" t="s">
        <v>674</v>
      </c>
      <c r="AX86">
        <v>72</v>
      </c>
      <c r="AY86" t="b">
        <v>1</v>
      </c>
      <c r="AZ86" t="s">
        <v>675</v>
      </c>
      <c r="BB86" t="s">
        <v>205</v>
      </c>
      <c r="BC86">
        <v>43968</v>
      </c>
      <c r="BD86">
        <v>0</v>
      </c>
      <c r="BE86">
        <v>267</v>
      </c>
      <c r="BF86" t="s">
        <v>266</v>
      </c>
    </row>
    <row r="87" spans="1:58" x14ac:dyDescent="0.3">
      <c r="A87">
        <v>8572</v>
      </c>
      <c r="B87">
        <v>0.15</v>
      </c>
      <c r="C87" s="16">
        <v>6.2499999999999899E-3</v>
      </c>
      <c r="D87" t="s">
        <v>96</v>
      </c>
      <c r="E87" s="109">
        <v>1</v>
      </c>
      <c r="F87" s="15">
        <v>45586.667442129597</v>
      </c>
      <c r="G87" s="15">
        <v>45585.75</v>
      </c>
      <c r="H87" s="15">
        <v>45586.667442129597</v>
      </c>
      <c r="I87" s="15">
        <v>45586.673761573998</v>
      </c>
      <c r="J87">
        <v>0.15166666666666601</v>
      </c>
      <c r="K87" s="16">
        <v>6.31944444444444E-3</v>
      </c>
      <c r="L87" s="8">
        <v>45586</v>
      </c>
      <c r="M87" s="15">
        <v>45586.667442129597</v>
      </c>
      <c r="O87" s="15">
        <v>1</v>
      </c>
      <c r="P87" s="15">
        <v>45586.673761573998</v>
      </c>
      <c r="R87" s="15">
        <v>1</v>
      </c>
      <c r="S87" s="15">
        <v>45586.673761573998</v>
      </c>
      <c r="T87" s="15">
        <v>45586.673761573998</v>
      </c>
      <c r="U87" t="s">
        <v>217</v>
      </c>
      <c r="W87" s="15">
        <v>45586</v>
      </c>
      <c r="X87" t="s">
        <v>676</v>
      </c>
      <c r="Y87" t="s">
        <v>171</v>
      </c>
      <c r="Z87" t="s">
        <v>216</v>
      </c>
      <c r="AA87" t="s">
        <v>133</v>
      </c>
      <c r="AB87" t="s">
        <v>219</v>
      </c>
      <c r="AE87" t="s">
        <v>26</v>
      </c>
      <c r="AF87" t="s">
        <v>284</v>
      </c>
      <c r="AG87">
        <v>8474</v>
      </c>
      <c r="AH87" t="s">
        <v>264</v>
      </c>
      <c r="AI87">
        <v>247035</v>
      </c>
      <c r="AJ87" t="s">
        <v>677</v>
      </c>
      <c r="AK87">
        <v>314</v>
      </c>
      <c r="AL87" t="s">
        <v>39</v>
      </c>
      <c r="AM87">
        <v>1</v>
      </c>
      <c r="AN87">
        <v>20</v>
      </c>
      <c r="AQ87">
        <v>1</v>
      </c>
      <c r="AR87" t="s">
        <v>39</v>
      </c>
      <c r="AS87" t="s">
        <v>273</v>
      </c>
      <c r="AU87" t="s">
        <v>40</v>
      </c>
      <c r="AV87" t="s">
        <v>6</v>
      </c>
      <c r="AW87" t="s">
        <v>678</v>
      </c>
      <c r="AX87">
        <v>72</v>
      </c>
      <c r="AY87" t="b">
        <v>1</v>
      </c>
      <c r="AZ87" t="s">
        <v>679</v>
      </c>
      <c r="BA87">
        <v>2</v>
      </c>
      <c r="BB87" t="s">
        <v>680</v>
      </c>
      <c r="BC87">
        <v>43969</v>
      </c>
      <c r="BD87">
        <v>0</v>
      </c>
      <c r="BE87">
        <v>314</v>
      </c>
      <c r="BF87" t="s">
        <v>266</v>
      </c>
    </row>
    <row r="88" spans="1:58" x14ac:dyDescent="0.3">
      <c r="A88">
        <v>8573</v>
      </c>
      <c r="B88">
        <v>0.71666666666666601</v>
      </c>
      <c r="C88" s="16">
        <v>2.9861111111111099E-2</v>
      </c>
      <c r="D88" t="s">
        <v>96</v>
      </c>
      <c r="E88" s="109">
        <v>0</v>
      </c>
      <c r="F88" s="15">
        <v>45586.672025462904</v>
      </c>
      <c r="G88" s="15">
        <v>45585.75</v>
      </c>
      <c r="H88" s="15">
        <v>45586.672025462904</v>
      </c>
      <c r="I88" s="15">
        <v>45586.701747685103</v>
      </c>
      <c r="J88">
        <v>0.71333333333333304</v>
      </c>
      <c r="K88" s="16">
        <v>2.9722222222222199E-2</v>
      </c>
      <c r="L88" s="8">
        <v>45586</v>
      </c>
      <c r="M88" s="15">
        <v>45586.672025462904</v>
      </c>
      <c r="O88" s="15">
        <v>1</v>
      </c>
      <c r="P88" s="15">
        <v>45586.701747685103</v>
      </c>
      <c r="R88" s="15">
        <v>1</v>
      </c>
      <c r="S88" s="15">
        <v>45586.701747685103</v>
      </c>
      <c r="T88" s="15">
        <v>45586.701747685103</v>
      </c>
      <c r="W88" s="15">
        <v>45586</v>
      </c>
      <c r="X88" t="s">
        <v>24</v>
      </c>
      <c r="Y88" t="s">
        <v>147</v>
      </c>
      <c r="Z88" t="s">
        <v>145</v>
      </c>
      <c r="AA88" t="s">
        <v>133</v>
      </c>
      <c r="AB88" t="s">
        <v>29</v>
      </c>
      <c r="AC88" t="s">
        <v>260</v>
      </c>
      <c r="AE88" t="s">
        <v>26</v>
      </c>
      <c r="AF88" t="s">
        <v>681</v>
      </c>
      <c r="AG88">
        <v>8475</v>
      </c>
      <c r="AH88" t="s">
        <v>264</v>
      </c>
      <c r="AI88">
        <v>247672</v>
      </c>
      <c r="AJ88" t="s">
        <v>682</v>
      </c>
      <c r="AK88">
        <v>446</v>
      </c>
      <c r="AL88" t="s">
        <v>39</v>
      </c>
      <c r="AM88">
        <v>11</v>
      </c>
      <c r="AN88">
        <v>8</v>
      </c>
      <c r="AO88">
        <v>37</v>
      </c>
      <c r="AQ88">
        <v>1</v>
      </c>
      <c r="AR88" t="s">
        <v>39</v>
      </c>
      <c r="AS88" t="s">
        <v>268</v>
      </c>
      <c r="AU88" t="s">
        <v>40</v>
      </c>
      <c r="AV88" t="s">
        <v>6</v>
      </c>
      <c r="AW88" t="s">
        <v>683</v>
      </c>
      <c r="AX88">
        <v>72</v>
      </c>
      <c r="AY88" t="b">
        <v>1</v>
      </c>
      <c r="AZ88" t="s">
        <v>684</v>
      </c>
      <c r="BB88" t="s">
        <v>685</v>
      </c>
      <c r="BC88">
        <v>43985</v>
      </c>
      <c r="BD88">
        <v>0</v>
      </c>
      <c r="BE88">
        <v>446</v>
      </c>
      <c r="BF88" t="s">
        <v>266</v>
      </c>
    </row>
    <row r="89" spans="1:58" x14ac:dyDescent="0.3">
      <c r="A89">
        <v>8574</v>
      </c>
      <c r="B89">
        <v>2.8333333333333299</v>
      </c>
      <c r="C89" s="16">
        <v>0.118055555555555</v>
      </c>
      <c r="D89" t="s">
        <v>283</v>
      </c>
      <c r="E89" s="109">
        <v>0</v>
      </c>
      <c r="F89" s="15">
        <v>45586.675833333298</v>
      </c>
      <c r="G89" s="15">
        <v>45585.75</v>
      </c>
      <c r="H89" s="15">
        <v>45586.675833333298</v>
      </c>
      <c r="I89" s="15">
        <v>1</v>
      </c>
      <c r="J89">
        <v>0</v>
      </c>
      <c r="K89" s="16">
        <v>0</v>
      </c>
      <c r="L89" s="8">
        <v>45586</v>
      </c>
      <c r="M89" s="15">
        <v>45586.675833333298</v>
      </c>
      <c r="O89" s="15">
        <v>1</v>
      </c>
      <c r="P89" s="15">
        <v>1</v>
      </c>
      <c r="R89" s="15">
        <v>1</v>
      </c>
      <c r="S89" s="15">
        <v>45588.724930555501</v>
      </c>
      <c r="T89" s="15">
        <v>45588.724930555501</v>
      </c>
      <c r="W89" s="15">
        <v>45586</v>
      </c>
      <c r="X89" t="s">
        <v>686</v>
      </c>
      <c r="Y89" t="s">
        <v>171</v>
      </c>
      <c r="Z89" t="s">
        <v>221</v>
      </c>
      <c r="AA89" t="s">
        <v>293</v>
      </c>
      <c r="AB89" t="s">
        <v>259</v>
      </c>
      <c r="AE89" t="s">
        <v>26</v>
      </c>
      <c r="AF89" t="s">
        <v>37</v>
      </c>
      <c r="AG89">
        <v>8476</v>
      </c>
      <c r="AH89" t="s">
        <v>264</v>
      </c>
      <c r="AI89">
        <v>247813</v>
      </c>
      <c r="AJ89" t="s">
        <v>139</v>
      </c>
      <c r="AK89">
        <v>314</v>
      </c>
      <c r="AL89" t="s">
        <v>39</v>
      </c>
      <c r="AM89">
        <v>10</v>
      </c>
      <c r="AN89">
        <v>26</v>
      </c>
      <c r="AQ89">
        <v>1</v>
      </c>
      <c r="AR89" t="s">
        <v>39</v>
      </c>
      <c r="AS89" t="s">
        <v>273</v>
      </c>
      <c r="AU89" t="s">
        <v>40</v>
      </c>
      <c r="AV89" t="s">
        <v>6</v>
      </c>
      <c r="AW89" t="s">
        <v>687</v>
      </c>
      <c r="AX89">
        <v>69</v>
      </c>
      <c r="AZ89" t="s">
        <v>688</v>
      </c>
      <c r="BB89" t="s">
        <v>205</v>
      </c>
      <c r="BC89">
        <v>44001</v>
      </c>
      <c r="BD89">
        <v>0</v>
      </c>
      <c r="BE89">
        <v>314</v>
      </c>
      <c r="BF89" t="s">
        <v>266</v>
      </c>
    </row>
    <row r="90" spans="1:58" x14ac:dyDescent="0.3">
      <c r="A90">
        <v>8575</v>
      </c>
      <c r="B90">
        <v>0</v>
      </c>
      <c r="C90" s="16">
        <v>0</v>
      </c>
      <c r="D90" t="s">
        <v>96</v>
      </c>
      <c r="E90" s="109">
        <v>1</v>
      </c>
      <c r="F90" s="15">
        <v>45586.676643518498</v>
      </c>
      <c r="G90" s="15">
        <v>45585.75</v>
      </c>
      <c r="H90" s="15">
        <v>45586.676643518498</v>
      </c>
      <c r="I90" s="15">
        <v>45588.720381944397</v>
      </c>
      <c r="J90">
        <v>49.049722222222201</v>
      </c>
      <c r="K90" s="16">
        <v>2.0437384259259201</v>
      </c>
      <c r="L90" s="8">
        <v>45586</v>
      </c>
      <c r="M90" s="15">
        <v>45586.676643518498</v>
      </c>
      <c r="O90" s="15">
        <v>1</v>
      </c>
      <c r="P90" s="15">
        <v>45588.720381944397</v>
      </c>
      <c r="R90" s="15">
        <v>1</v>
      </c>
      <c r="S90" s="15">
        <v>45588.720381944397</v>
      </c>
      <c r="T90" s="15">
        <v>45588.720381944397</v>
      </c>
      <c r="U90" t="s">
        <v>217</v>
      </c>
      <c r="W90" s="15">
        <v>45586</v>
      </c>
      <c r="X90" t="s">
        <v>689</v>
      </c>
      <c r="Y90" t="s">
        <v>171</v>
      </c>
      <c r="Z90" t="s">
        <v>305</v>
      </c>
      <c r="AA90" t="s">
        <v>133</v>
      </c>
      <c r="AB90" t="s">
        <v>219</v>
      </c>
      <c r="AE90" t="s">
        <v>26</v>
      </c>
      <c r="AF90" t="s">
        <v>412</v>
      </c>
      <c r="AG90">
        <v>8477</v>
      </c>
      <c r="AH90" t="s">
        <v>264</v>
      </c>
      <c r="AI90">
        <v>247883</v>
      </c>
      <c r="AJ90" t="s">
        <v>690</v>
      </c>
      <c r="AK90">
        <v>314</v>
      </c>
      <c r="AL90" t="s">
        <v>39</v>
      </c>
      <c r="AM90">
        <v>17</v>
      </c>
      <c r="AN90">
        <v>20</v>
      </c>
      <c r="AQ90">
        <v>1</v>
      </c>
      <c r="AR90" t="s">
        <v>39</v>
      </c>
      <c r="AS90" t="s">
        <v>273</v>
      </c>
      <c r="AU90" t="s">
        <v>40</v>
      </c>
      <c r="AV90" t="s">
        <v>6</v>
      </c>
      <c r="AW90" t="s">
        <v>691</v>
      </c>
      <c r="AX90">
        <v>72</v>
      </c>
      <c r="AY90" t="b">
        <v>1</v>
      </c>
      <c r="AZ90" t="s">
        <v>692</v>
      </c>
      <c r="BA90">
        <v>2</v>
      </c>
      <c r="BB90" t="s">
        <v>693</v>
      </c>
      <c r="BC90">
        <v>43982</v>
      </c>
      <c r="BD90">
        <v>0</v>
      </c>
      <c r="BE90">
        <v>314</v>
      </c>
      <c r="BF90" t="s">
        <v>266</v>
      </c>
    </row>
    <row r="91" spans="1:58" x14ac:dyDescent="0.3">
      <c r="A91">
        <v>8577</v>
      </c>
      <c r="B91">
        <v>8.3333333333333301E-2</v>
      </c>
      <c r="C91" s="16">
        <v>3.4722222222222199E-3</v>
      </c>
      <c r="D91" t="s">
        <v>96</v>
      </c>
      <c r="E91" s="109">
        <v>1</v>
      </c>
      <c r="F91" s="15">
        <v>45586.679699073997</v>
      </c>
      <c r="G91" s="15">
        <v>45585.75</v>
      </c>
      <c r="H91" s="15">
        <v>45586.679699073997</v>
      </c>
      <c r="I91" s="15">
        <v>45586.683055555499</v>
      </c>
      <c r="J91">
        <v>8.0555555555555505E-2</v>
      </c>
      <c r="K91" s="16">
        <v>3.3564814814814798E-3</v>
      </c>
      <c r="L91" s="8">
        <v>45586</v>
      </c>
      <c r="M91" s="15">
        <v>45586.679699073997</v>
      </c>
      <c r="O91" s="15">
        <v>1</v>
      </c>
      <c r="P91" s="15">
        <v>45586.683055555499</v>
      </c>
      <c r="R91" s="15">
        <v>1</v>
      </c>
      <c r="S91" s="15">
        <v>45586.683055555499</v>
      </c>
      <c r="T91" s="15">
        <v>45586.683055555499</v>
      </c>
      <c r="U91" t="s">
        <v>217</v>
      </c>
      <c r="W91" s="15">
        <v>45586</v>
      </c>
      <c r="X91" t="s">
        <v>694</v>
      </c>
      <c r="Y91" t="s">
        <v>171</v>
      </c>
      <c r="Z91" t="s">
        <v>216</v>
      </c>
      <c r="AA91" t="s">
        <v>133</v>
      </c>
      <c r="AB91" t="s">
        <v>219</v>
      </c>
      <c r="AE91" t="s">
        <v>26</v>
      </c>
      <c r="AF91" t="s">
        <v>32</v>
      </c>
      <c r="AG91">
        <v>8479</v>
      </c>
      <c r="AH91" t="s">
        <v>264</v>
      </c>
      <c r="AI91">
        <v>247791</v>
      </c>
      <c r="AJ91" t="s">
        <v>323</v>
      </c>
      <c r="AK91">
        <v>314</v>
      </c>
      <c r="AL91" t="s">
        <v>39</v>
      </c>
      <c r="AM91">
        <v>1</v>
      </c>
      <c r="AN91">
        <v>20</v>
      </c>
      <c r="AQ91">
        <v>1</v>
      </c>
      <c r="AR91" t="s">
        <v>39</v>
      </c>
      <c r="AS91" t="s">
        <v>273</v>
      </c>
      <c r="AU91" t="s">
        <v>40</v>
      </c>
      <c r="AV91" t="s">
        <v>6</v>
      </c>
      <c r="AW91" t="s">
        <v>695</v>
      </c>
      <c r="AX91">
        <v>72</v>
      </c>
      <c r="AY91" t="b">
        <v>1</v>
      </c>
      <c r="AZ91" t="s">
        <v>696</v>
      </c>
      <c r="BA91">
        <v>2</v>
      </c>
      <c r="BB91" t="s">
        <v>324</v>
      </c>
      <c r="BC91">
        <v>43983</v>
      </c>
      <c r="BD91">
        <v>0</v>
      </c>
      <c r="BE91">
        <v>314</v>
      </c>
      <c r="BF91" t="s">
        <v>266</v>
      </c>
    </row>
    <row r="92" spans="1:58" x14ac:dyDescent="0.3">
      <c r="A92">
        <v>8578</v>
      </c>
      <c r="B92">
        <v>0.33333333333333298</v>
      </c>
      <c r="C92" s="16">
        <v>1.38888888888888E-2</v>
      </c>
      <c r="D92" t="s">
        <v>137</v>
      </c>
      <c r="E92" s="109">
        <v>2</v>
      </c>
      <c r="F92" s="15">
        <v>45586.699722222198</v>
      </c>
      <c r="G92" s="15">
        <v>45585.75</v>
      </c>
      <c r="H92" s="15">
        <v>45586.699722222198</v>
      </c>
      <c r="I92" s="15">
        <v>1</v>
      </c>
      <c r="J92">
        <v>0</v>
      </c>
      <c r="K92" s="16">
        <v>0</v>
      </c>
      <c r="L92" s="8">
        <v>45586</v>
      </c>
      <c r="M92" s="15">
        <v>45586.699722222198</v>
      </c>
      <c r="O92" s="15">
        <v>1</v>
      </c>
      <c r="P92" s="15">
        <v>1</v>
      </c>
      <c r="R92" s="15">
        <v>1</v>
      </c>
      <c r="S92" s="15">
        <v>45586.699722222198</v>
      </c>
      <c r="T92" s="15">
        <v>45586.699722222198</v>
      </c>
      <c r="W92" s="15">
        <v>45586</v>
      </c>
      <c r="X92" t="s">
        <v>697</v>
      </c>
      <c r="Y92" t="s">
        <v>134</v>
      </c>
      <c r="Z92" t="s">
        <v>135</v>
      </c>
      <c r="AA92" t="s">
        <v>131</v>
      </c>
      <c r="AB92" t="s">
        <v>259</v>
      </c>
      <c r="AE92" t="s">
        <v>26</v>
      </c>
      <c r="AF92" t="s">
        <v>32</v>
      </c>
      <c r="AG92">
        <v>8480</v>
      </c>
      <c r="AH92" t="s">
        <v>264</v>
      </c>
      <c r="AI92">
        <v>247791</v>
      </c>
      <c r="AJ92" t="s">
        <v>323</v>
      </c>
      <c r="AK92">
        <v>2766</v>
      </c>
      <c r="AL92" t="s">
        <v>39</v>
      </c>
      <c r="AM92">
        <v>2</v>
      </c>
      <c r="AN92">
        <v>26</v>
      </c>
      <c r="AQ92">
        <v>1</v>
      </c>
      <c r="AR92" t="s">
        <v>39</v>
      </c>
      <c r="AS92" t="s">
        <v>270</v>
      </c>
      <c r="AU92" t="s">
        <v>40</v>
      </c>
      <c r="AV92" t="s">
        <v>6</v>
      </c>
      <c r="AW92" t="s">
        <v>698</v>
      </c>
      <c r="AX92">
        <v>70</v>
      </c>
      <c r="AZ92" t="s">
        <v>699</v>
      </c>
      <c r="BB92" t="s">
        <v>324</v>
      </c>
      <c r="BC92">
        <v>43984</v>
      </c>
      <c r="BD92">
        <v>0</v>
      </c>
      <c r="BE92">
        <v>2766</v>
      </c>
      <c r="BF92" t="s">
        <v>266</v>
      </c>
    </row>
    <row r="93" spans="1:58" x14ac:dyDescent="0.3">
      <c r="A93">
        <v>8579</v>
      </c>
      <c r="B93">
        <v>0.68333333333333302</v>
      </c>
      <c r="C93" s="16">
        <v>2.8472222222222201E-2</v>
      </c>
      <c r="D93" t="s">
        <v>96</v>
      </c>
      <c r="E93" s="109">
        <v>0</v>
      </c>
      <c r="F93" s="15">
        <v>45586.701620370302</v>
      </c>
      <c r="G93" s="15">
        <v>45585.75</v>
      </c>
      <c r="H93" s="15">
        <v>45586.701620370302</v>
      </c>
      <c r="I93" s="15">
        <v>45586.730150462899</v>
      </c>
      <c r="J93">
        <v>0.68472222222222201</v>
      </c>
      <c r="K93" s="16">
        <v>2.8530092592592499E-2</v>
      </c>
      <c r="L93" s="8">
        <v>45586</v>
      </c>
      <c r="M93" s="15">
        <v>45586.701620370302</v>
      </c>
      <c r="O93" s="15">
        <v>1</v>
      </c>
      <c r="P93" s="15">
        <v>45586.730150462899</v>
      </c>
      <c r="R93" s="15">
        <v>1</v>
      </c>
      <c r="S93" s="15">
        <v>45586.730150462899</v>
      </c>
      <c r="T93" s="15">
        <v>45586.730150462899</v>
      </c>
      <c r="W93" s="15">
        <v>45586</v>
      </c>
      <c r="X93" t="s">
        <v>24</v>
      </c>
      <c r="Y93" t="s">
        <v>147</v>
      </c>
      <c r="Z93" t="s">
        <v>145</v>
      </c>
      <c r="AA93" t="s">
        <v>133</v>
      </c>
      <c r="AB93" t="s">
        <v>29</v>
      </c>
      <c r="AC93" t="s">
        <v>260</v>
      </c>
      <c r="AE93" t="s">
        <v>26</v>
      </c>
      <c r="AF93" t="s">
        <v>681</v>
      </c>
      <c r="AG93">
        <v>8481</v>
      </c>
      <c r="AH93" t="s">
        <v>264</v>
      </c>
      <c r="AI93">
        <v>247672</v>
      </c>
      <c r="AJ93" t="s">
        <v>682</v>
      </c>
      <c r="AK93">
        <v>446</v>
      </c>
      <c r="AL93" t="s">
        <v>39</v>
      </c>
      <c r="AM93">
        <v>11</v>
      </c>
      <c r="AN93">
        <v>8</v>
      </c>
      <c r="AO93">
        <v>37</v>
      </c>
      <c r="AQ93">
        <v>1</v>
      </c>
      <c r="AR93" t="s">
        <v>39</v>
      </c>
      <c r="AS93" t="s">
        <v>268</v>
      </c>
      <c r="AU93" t="s">
        <v>40</v>
      </c>
      <c r="AV93" t="s">
        <v>6</v>
      </c>
      <c r="AW93" t="s">
        <v>700</v>
      </c>
      <c r="AX93">
        <v>72</v>
      </c>
      <c r="AY93" t="b">
        <v>1</v>
      </c>
      <c r="AZ93" t="s">
        <v>701</v>
      </c>
      <c r="BB93" t="s">
        <v>685</v>
      </c>
      <c r="BC93">
        <v>44004</v>
      </c>
      <c r="BD93">
        <v>0</v>
      </c>
      <c r="BE93">
        <v>446</v>
      </c>
      <c r="BF93" t="s">
        <v>266</v>
      </c>
    </row>
    <row r="94" spans="1:58" x14ac:dyDescent="0.3">
      <c r="A94">
        <v>8580</v>
      </c>
      <c r="B94">
        <v>0.7</v>
      </c>
      <c r="C94" s="16">
        <v>2.9166666666666601E-2</v>
      </c>
      <c r="D94" t="s">
        <v>96</v>
      </c>
      <c r="E94" s="109">
        <v>0</v>
      </c>
      <c r="F94" s="15">
        <v>45586.704710648097</v>
      </c>
      <c r="G94" s="15">
        <v>45585.75</v>
      </c>
      <c r="H94" s="15">
        <v>45586.703657407401</v>
      </c>
      <c r="I94" s="15">
        <v>45586.708275462901</v>
      </c>
      <c r="J94">
        <v>0.11083333333333301</v>
      </c>
      <c r="K94" s="16">
        <v>4.6180555555555497E-3</v>
      </c>
      <c r="L94" s="8">
        <v>45586</v>
      </c>
      <c r="M94" s="15">
        <v>45586.703657407401</v>
      </c>
      <c r="N94" t="b">
        <v>1</v>
      </c>
      <c r="O94" s="15">
        <v>45586.703657407401</v>
      </c>
      <c r="P94" s="15">
        <v>45586.708275462901</v>
      </c>
      <c r="R94" s="15">
        <v>1</v>
      </c>
      <c r="S94" s="15">
        <v>45586.708275462901</v>
      </c>
      <c r="T94" s="15">
        <v>45586.708275462901</v>
      </c>
      <c r="U94" t="s">
        <v>217</v>
      </c>
      <c r="V94" t="s">
        <v>702</v>
      </c>
      <c r="W94" s="15">
        <v>45586</v>
      </c>
      <c r="X94" t="s">
        <v>703</v>
      </c>
      <c r="Y94" t="s">
        <v>158</v>
      </c>
      <c r="Z94" t="s">
        <v>135</v>
      </c>
      <c r="AA94" t="s">
        <v>131</v>
      </c>
      <c r="AB94" t="s">
        <v>27</v>
      </c>
      <c r="AC94" t="s">
        <v>317</v>
      </c>
      <c r="AD94" t="s">
        <v>146</v>
      </c>
      <c r="AE94" t="s">
        <v>35</v>
      </c>
      <c r="AF94" t="s">
        <v>704</v>
      </c>
      <c r="AG94">
        <v>8482</v>
      </c>
      <c r="AH94" t="s">
        <v>264</v>
      </c>
      <c r="AI94">
        <v>247055</v>
      </c>
      <c r="AJ94" t="s">
        <v>705</v>
      </c>
      <c r="AK94">
        <v>171</v>
      </c>
      <c r="AL94" t="s">
        <v>39</v>
      </c>
      <c r="AM94">
        <v>2</v>
      </c>
      <c r="AN94">
        <v>5</v>
      </c>
      <c r="AO94">
        <v>33</v>
      </c>
      <c r="AP94">
        <v>5</v>
      </c>
      <c r="AQ94">
        <v>1</v>
      </c>
      <c r="AR94" t="s">
        <v>39</v>
      </c>
      <c r="AS94" t="s">
        <v>314</v>
      </c>
      <c r="AT94" t="s">
        <v>706</v>
      </c>
      <c r="AU94" t="s">
        <v>40</v>
      </c>
      <c r="AV94" t="s">
        <v>6</v>
      </c>
      <c r="AW94" t="s">
        <v>707</v>
      </c>
      <c r="AX94">
        <v>72</v>
      </c>
      <c r="AY94" t="b">
        <v>1</v>
      </c>
      <c r="AZ94" t="s">
        <v>708</v>
      </c>
      <c r="BA94">
        <v>2</v>
      </c>
      <c r="BB94" t="s">
        <v>709</v>
      </c>
      <c r="BC94">
        <v>43988</v>
      </c>
      <c r="BD94">
        <v>0</v>
      </c>
      <c r="BE94">
        <v>171</v>
      </c>
      <c r="BF94" t="s">
        <v>266</v>
      </c>
    </row>
    <row r="95" spans="1:58" x14ac:dyDescent="0.3">
      <c r="A95">
        <v>8581</v>
      </c>
      <c r="B95">
        <v>0.43333333333333302</v>
      </c>
      <c r="C95" s="16">
        <v>1.8055555555555498E-2</v>
      </c>
      <c r="D95" t="s">
        <v>96</v>
      </c>
      <c r="E95" s="109">
        <v>0</v>
      </c>
      <c r="F95" s="15">
        <v>45586.7098611111</v>
      </c>
      <c r="G95" s="15">
        <v>45585.75</v>
      </c>
      <c r="H95" s="15">
        <v>45586.708344907398</v>
      </c>
      <c r="I95" s="15">
        <v>45586.709884259202</v>
      </c>
      <c r="J95">
        <v>3.6944444444444398E-2</v>
      </c>
      <c r="K95" s="16">
        <v>1.5393518518518499E-3</v>
      </c>
      <c r="L95" s="8">
        <v>45586</v>
      </c>
      <c r="M95" s="15">
        <v>45586.708344907398</v>
      </c>
      <c r="N95" t="b">
        <v>1</v>
      </c>
      <c r="O95" s="15">
        <v>45586.708344907398</v>
      </c>
      <c r="P95" s="15">
        <v>45586.709884259202</v>
      </c>
      <c r="R95" s="15">
        <v>1</v>
      </c>
      <c r="S95" s="15">
        <v>45586.709884259202</v>
      </c>
      <c r="T95" s="15">
        <v>45586.709884259202</v>
      </c>
      <c r="U95" t="s">
        <v>217</v>
      </c>
      <c r="V95" t="s">
        <v>710</v>
      </c>
      <c r="W95" s="15">
        <v>45586</v>
      </c>
      <c r="X95" t="s">
        <v>711</v>
      </c>
      <c r="Y95" t="s">
        <v>158</v>
      </c>
      <c r="Z95" t="s">
        <v>135</v>
      </c>
      <c r="AA95" t="s">
        <v>131</v>
      </c>
      <c r="AB95" t="s">
        <v>27</v>
      </c>
      <c r="AC95" t="s">
        <v>152</v>
      </c>
      <c r="AD95" t="s">
        <v>146</v>
      </c>
      <c r="AE95" t="s">
        <v>287</v>
      </c>
      <c r="AF95" t="s">
        <v>539</v>
      </c>
      <c r="AG95">
        <v>8483</v>
      </c>
      <c r="AH95" t="s">
        <v>264</v>
      </c>
      <c r="AI95">
        <v>246993</v>
      </c>
      <c r="AJ95" t="s">
        <v>712</v>
      </c>
      <c r="AK95">
        <v>171</v>
      </c>
      <c r="AL95" t="s">
        <v>39</v>
      </c>
      <c r="AM95">
        <v>2</v>
      </c>
      <c r="AN95">
        <v>5</v>
      </c>
      <c r="AO95">
        <v>58</v>
      </c>
      <c r="AP95">
        <v>5</v>
      </c>
      <c r="AQ95">
        <v>1</v>
      </c>
      <c r="AR95" t="s">
        <v>39</v>
      </c>
      <c r="AS95" t="s">
        <v>314</v>
      </c>
      <c r="AU95" t="s">
        <v>40</v>
      </c>
      <c r="AV95" t="s">
        <v>6</v>
      </c>
      <c r="AW95" t="s">
        <v>713</v>
      </c>
      <c r="AX95">
        <v>72</v>
      </c>
      <c r="AY95" t="b">
        <v>1</v>
      </c>
      <c r="AZ95" t="s">
        <v>714</v>
      </c>
      <c r="BA95">
        <v>2</v>
      </c>
      <c r="BB95" t="s">
        <v>715</v>
      </c>
      <c r="BC95">
        <v>43994</v>
      </c>
      <c r="BD95">
        <v>0</v>
      </c>
      <c r="BE95">
        <v>171</v>
      </c>
      <c r="BF95" t="s">
        <v>266</v>
      </c>
    </row>
    <row r="96" spans="1:58" x14ac:dyDescent="0.3">
      <c r="A96">
        <v>8582</v>
      </c>
      <c r="B96">
        <v>0.16666666666666599</v>
      </c>
      <c r="C96" s="16">
        <v>6.9444444444444397E-3</v>
      </c>
      <c r="D96" t="s">
        <v>96</v>
      </c>
      <c r="E96" s="109">
        <v>2</v>
      </c>
      <c r="F96" s="15">
        <v>45586.7100347222</v>
      </c>
      <c r="G96" s="15">
        <v>45585.75</v>
      </c>
      <c r="H96" s="15">
        <v>45586.7100347222</v>
      </c>
      <c r="I96" s="15">
        <v>45587.391979166598</v>
      </c>
      <c r="J96">
        <v>16.3666666666666</v>
      </c>
      <c r="K96" s="16">
        <v>0.68194444444444402</v>
      </c>
      <c r="L96" s="8">
        <v>45586</v>
      </c>
      <c r="M96" s="15">
        <v>45586.7100347222</v>
      </c>
      <c r="O96" s="15">
        <v>1</v>
      </c>
      <c r="P96" s="15">
        <v>45587.391979166598</v>
      </c>
      <c r="R96" s="15">
        <v>1</v>
      </c>
      <c r="S96" s="15">
        <v>45587.392037037003</v>
      </c>
      <c r="T96" s="15">
        <v>45587.392037037003</v>
      </c>
      <c r="U96" t="s">
        <v>217</v>
      </c>
      <c r="W96" s="15">
        <v>45586</v>
      </c>
      <c r="X96" t="s">
        <v>716</v>
      </c>
      <c r="Y96" t="s">
        <v>134</v>
      </c>
      <c r="Z96" t="s">
        <v>135</v>
      </c>
      <c r="AA96" t="s">
        <v>131</v>
      </c>
      <c r="AB96" t="s">
        <v>219</v>
      </c>
      <c r="AE96" t="s">
        <v>26</v>
      </c>
      <c r="AF96" t="s">
        <v>717</v>
      </c>
      <c r="AG96">
        <v>8484</v>
      </c>
      <c r="AH96" t="s">
        <v>264</v>
      </c>
      <c r="AI96">
        <v>247270</v>
      </c>
      <c r="AJ96" t="s">
        <v>718</v>
      </c>
      <c r="AK96">
        <v>2766</v>
      </c>
      <c r="AL96" t="s">
        <v>39</v>
      </c>
      <c r="AM96">
        <v>2</v>
      </c>
      <c r="AN96">
        <v>20</v>
      </c>
      <c r="AQ96">
        <v>1</v>
      </c>
      <c r="AR96" t="s">
        <v>39</v>
      </c>
      <c r="AS96" t="s">
        <v>270</v>
      </c>
      <c r="AU96" t="s">
        <v>40</v>
      </c>
      <c r="AV96" t="s">
        <v>6</v>
      </c>
      <c r="AW96" t="s">
        <v>719</v>
      </c>
      <c r="AX96">
        <v>72</v>
      </c>
      <c r="AY96" t="b">
        <v>1</v>
      </c>
      <c r="AZ96" t="s">
        <v>720</v>
      </c>
      <c r="BA96">
        <v>2</v>
      </c>
      <c r="BB96" t="s">
        <v>721</v>
      </c>
      <c r="BC96">
        <v>43996</v>
      </c>
      <c r="BD96">
        <v>0</v>
      </c>
      <c r="BE96">
        <v>2766</v>
      </c>
      <c r="BF96" t="s">
        <v>266</v>
      </c>
    </row>
    <row r="97" spans="1:58" x14ac:dyDescent="0.3">
      <c r="A97">
        <v>8583</v>
      </c>
      <c r="B97">
        <v>0.6</v>
      </c>
      <c r="C97" s="16">
        <v>2.4999999999999901E-2</v>
      </c>
      <c r="D97" t="s">
        <v>96</v>
      </c>
      <c r="E97" s="109">
        <v>0</v>
      </c>
      <c r="F97" s="15">
        <v>45586.711180555503</v>
      </c>
      <c r="G97" s="15">
        <v>45585.75</v>
      </c>
      <c r="H97" s="15">
        <v>45586.7101273148</v>
      </c>
      <c r="I97" s="15">
        <v>45586.711215277697</v>
      </c>
      <c r="J97">
        <v>2.6111111111111099E-2</v>
      </c>
      <c r="K97" s="16">
        <v>1.0879629629629601E-3</v>
      </c>
      <c r="L97" s="8">
        <v>45586</v>
      </c>
      <c r="M97" s="15">
        <v>45586.7101273148</v>
      </c>
      <c r="N97" t="b">
        <v>1</v>
      </c>
      <c r="O97" s="15">
        <v>45586.7101273148</v>
      </c>
      <c r="P97" s="15">
        <v>45586.711215277697</v>
      </c>
      <c r="R97" s="15">
        <v>1</v>
      </c>
      <c r="S97" s="15">
        <v>45586.711215277697</v>
      </c>
      <c r="T97" s="15">
        <v>45586.711215277697</v>
      </c>
      <c r="U97" t="s">
        <v>217</v>
      </c>
      <c r="V97" t="s">
        <v>722</v>
      </c>
      <c r="W97" s="15">
        <v>45586</v>
      </c>
      <c r="X97" t="s">
        <v>722</v>
      </c>
      <c r="Y97" t="s">
        <v>158</v>
      </c>
      <c r="Z97" t="s">
        <v>135</v>
      </c>
      <c r="AA97" t="s">
        <v>131</v>
      </c>
      <c r="AB97" t="s">
        <v>27</v>
      </c>
      <c r="AC97" t="s">
        <v>222</v>
      </c>
      <c r="AD97" t="s">
        <v>146</v>
      </c>
      <c r="AE97" t="s">
        <v>26</v>
      </c>
      <c r="AF97" t="s">
        <v>33</v>
      </c>
      <c r="AG97">
        <v>8485</v>
      </c>
      <c r="AH97" t="s">
        <v>264</v>
      </c>
      <c r="AI97">
        <v>247013</v>
      </c>
      <c r="AJ97" t="s">
        <v>723</v>
      </c>
      <c r="AK97">
        <v>171</v>
      </c>
      <c r="AL97" t="s">
        <v>39</v>
      </c>
      <c r="AM97">
        <v>2</v>
      </c>
      <c r="AN97">
        <v>5</v>
      </c>
      <c r="AO97">
        <v>60</v>
      </c>
      <c r="AP97">
        <v>5</v>
      </c>
      <c r="AQ97">
        <v>1</v>
      </c>
      <c r="AR97" t="s">
        <v>39</v>
      </c>
      <c r="AS97" t="s">
        <v>314</v>
      </c>
      <c r="AU97" t="s">
        <v>40</v>
      </c>
      <c r="AV97" t="s">
        <v>6</v>
      </c>
      <c r="AW97" t="s">
        <v>724</v>
      </c>
      <c r="AX97">
        <v>72</v>
      </c>
      <c r="AY97" t="b">
        <v>1</v>
      </c>
      <c r="AZ97" t="s">
        <v>725</v>
      </c>
      <c r="BA97">
        <v>2</v>
      </c>
      <c r="BB97" t="s">
        <v>726</v>
      </c>
      <c r="BC97">
        <v>43997</v>
      </c>
      <c r="BD97">
        <v>0</v>
      </c>
      <c r="BE97">
        <v>171</v>
      </c>
      <c r="BF97" t="s">
        <v>266</v>
      </c>
    </row>
    <row r="98" spans="1:58" x14ac:dyDescent="0.3">
      <c r="A98">
        <v>8584</v>
      </c>
      <c r="B98">
        <v>0.43333333333333302</v>
      </c>
      <c r="C98" s="16">
        <v>1.8055555555555498E-2</v>
      </c>
      <c r="D98" t="s">
        <v>96</v>
      </c>
      <c r="E98" s="109">
        <v>0</v>
      </c>
      <c r="F98" s="15">
        <v>45586.7292939814</v>
      </c>
      <c r="G98" s="15">
        <v>45585.75</v>
      </c>
      <c r="H98" s="15">
        <v>45586.727488425902</v>
      </c>
      <c r="I98" s="15">
        <v>45586.729328703703</v>
      </c>
      <c r="J98">
        <v>4.4166666666666597E-2</v>
      </c>
      <c r="K98" s="16">
        <v>1.8402777777777699E-3</v>
      </c>
      <c r="L98" s="8">
        <v>45586</v>
      </c>
      <c r="M98" s="15">
        <v>45586.727488425902</v>
      </c>
      <c r="N98" t="b">
        <v>1</v>
      </c>
      <c r="O98" s="15">
        <v>45586.727488425902</v>
      </c>
      <c r="P98" s="15">
        <v>45586.729328703703</v>
      </c>
      <c r="R98" s="15">
        <v>1</v>
      </c>
      <c r="S98" s="15">
        <v>45586.729502314804</v>
      </c>
      <c r="T98" s="15">
        <v>45586.729502314804</v>
      </c>
      <c r="U98" t="s">
        <v>217</v>
      </c>
      <c r="V98" t="s">
        <v>727</v>
      </c>
      <c r="W98" s="15">
        <v>45586</v>
      </c>
      <c r="X98" t="s">
        <v>727</v>
      </c>
      <c r="Y98" t="s">
        <v>158</v>
      </c>
      <c r="Z98" t="s">
        <v>135</v>
      </c>
      <c r="AA98" t="s">
        <v>131</v>
      </c>
      <c r="AB98" t="s">
        <v>27</v>
      </c>
      <c r="AC98" t="s">
        <v>317</v>
      </c>
      <c r="AD98" t="s">
        <v>146</v>
      </c>
      <c r="AE98" t="s">
        <v>34</v>
      </c>
      <c r="AF98" t="s">
        <v>275</v>
      </c>
      <c r="AG98">
        <v>8486</v>
      </c>
      <c r="AH98" t="s">
        <v>264</v>
      </c>
      <c r="AI98">
        <v>247711</v>
      </c>
      <c r="AJ98" t="s">
        <v>276</v>
      </c>
      <c r="AK98">
        <v>171</v>
      </c>
      <c r="AL98" t="s">
        <v>39</v>
      </c>
      <c r="AM98">
        <v>2</v>
      </c>
      <c r="AN98">
        <v>5</v>
      </c>
      <c r="AO98">
        <v>33</v>
      </c>
      <c r="AP98">
        <v>5</v>
      </c>
      <c r="AQ98">
        <v>1</v>
      </c>
      <c r="AR98" t="s">
        <v>39</v>
      </c>
      <c r="AS98" t="s">
        <v>314</v>
      </c>
      <c r="AU98" t="s">
        <v>40</v>
      </c>
      <c r="AV98" t="s">
        <v>6</v>
      </c>
      <c r="AW98" t="s">
        <v>728</v>
      </c>
      <c r="AX98">
        <v>72</v>
      </c>
      <c r="AY98" t="b">
        <v>1</v>
      </c>
      <c r="AZ98" t="s">
        <v>729</v>
      </c>
      <c r="BA98">
        <v>2</v>
      </c>
      <c r="BB98" t="s">
        <v>277</v>
      </c>
      <c r="BC98">
        <v>44002</v>
      </c>
      <c r="BD98">
        <v>0</v>
      </c>
      <c r="BE98">
        <v>171</v>
      </c>
      <c r="BF98" t="s">
        <v>266</v>
      </c>
    </row>
    <row r="99" spans="1:58" x14ac:dyDescent="0.3">
      <c r="A99">
        <v>8585</v>
      </c>
      <c r="B99">
        <v>0.91666666666666596</v>
      </c>
      <c r="C99" s="16">
        <v>3.8194444444444399E-2</v>
      </c>
      <c r="D99" t="s">
        <v>210</v>
      </c>
      <c r="E99" s="109">
        <v>1</v>
      </c>
      <c r="F99" s="15">
        <v>45586.729814814797</v>
      </c>
      <c r="G99" s="15">
        <v>45585.75</v>
      </c>
      <c r="H99" s="15">
        <v>45586.729814814797</v>
      </c>
      <c r="I99" s="15">
        <v>1</v>
      </c>
      <c r="J99">
        <v>0</v>
      </c>
      <c r="K99" s="16">
        <v>0</v>
      </c>
      <c r="L99" s="8">
        <v>45586</v>
      </c>
      <c r="M99" s="15">
        <v>45586.729814814797</v>
      </c>
      <c r="O99" s="15">
        <v>1</v>
      </c>
      <c r="P99" s="15">
        <v>1</v>
      </c>
      <c r="R99" s="15">
        <v>1</v>
      </c>
      <c r="S99" s="15">
        <v>45587.6139467592</v>
      </c>
      <c r="T99" s="15">
        <v>45587.6139467592</v>
      </c>
      <c r="U99" t="s">
        <v>217</v>
      </c>
      <c r="W99" s="15">
        <v>45586</v>
      </c>
      <c r="X99" t="s">
        <v>730</v>
      </c>
      <c r="Y99" t="s">
        <v>136</v>
      </c>
      <c r="Z99" t="s">
        <v>155</v>
      </c>
      <c r="AA99" t="s">
        <v>133</v>
      </c>
      <c r="AB99" t="s">
        <v>220</v>
      </c>
      <c r="AE99" t="s">
        <v>26</v>
      </c>
      <c r="AF99" t="s">
        <v>37</v>
      </c>
      <c r="AG99">
        <v>8487</v>
      </c>
      <c r="AH99" t="s">
        <v>264</v>
      </c>
      <c r="AI99">
        <v>247813</v>
      </c>
      <c r="AJ99" t="s">
        <v>139</v>
      </c>
      <c r="AK99">
        <v>248</v>
      </c>
      <c r="AL99" t="s">
        <v>39</v>
      </c>
      <c r="AM99">
        <v>4</v>
      </c>
      <c r="AN99">
        <v>28</v>
      </c>
      <c r="AQ99">
        <v>1</v>
      </c>
      <c r="AR99" t="s">
        <v>39</v>
      </c>
      <c r="AS99" t="s">
        <v>278</v>
      </c>
      <c r="AT99" t="s">
        <v>731</v>
      </c>
      <c r="AU99" t="s">
        <v>40</v>
      </c>
      <c r="AV99" t="s">
        <v>6</v>
      </c>
      <c r="AW99" t="s">
        <v>730</v>
      </c>
      <c r="AX99">
        <v>71</v>
      </c>
      <c r="AZ99" t="s">
        <v>732</v>
      </c>
      <c r="BA99">
        <v>2</v>
      </c>
      <c r="BB99" t="s">
        <v>205</v>
      </c>
      <c r="BC99">
        <v>44003</v>
      </c>
      <c r="BD99">
        <v>0</v>
      </c>
      <c r="BE99">
        <v>248</v>
      </c>
      <c r="BF99" t="s">
        <v>266</v>
      </c>
    </row>
    <row r="100" spans="1:58" x14ac:dyDescent="0.3">
      <c r="A100">
        <v>8586</v>
      </c>
      <c r="B100">
        <v>0.83333333333333304</v>
      </c>
      <c r="C100" s="16">
        <v>3.4722222222222203E-2</v>
      </c>
      <c r="D100" t="s">
        <v>96</v>
      </c>
      <c r="E100" s="109">
        <v>3</v>
      </c>
      <c r="F100" s="15">
        <v>45586.737361111103</v>
      </c>
      <c r="G100" s="15">
        <v>45585.75</v>
      </c>
      <c r="H100" s="15">
        <v>45586.736712962898</v>
      </c>
      <c r="I100" s="15">
        <v>45586.736712962898</v>
      </c>
      <c r="J100">
        <v>0</v>
      </c>
      <c r="K100" s="16">
        <v>0</v>
      </c>
      <c r="L100" s="8">
        <v>45586</v>
      </c>
      <c r="M100" s="15">
        <v>45586.736712962898</v>
      </c>
      <c r="N100" t="b">
        <v>1</v>
      </c>
      <c r="O100" s="15">
        <v>45586.736712962898</v>
      </c>
      <c r="P100" s="15">
        <v>45586.736712962898</v>
      </c>
      <c r="Q100" t="b">
        <v>1</v>
      </c>
      <c r="R100" s="15">
        <v>45586.736712962898</v>
      </c>
      <c r="S100" s="15">
        <v>45586.737453703703</v>
      </c>
      <c r="T100" s="15">
        <v>45586.737453703703</v>
      </c>
      <c r="V100" t="s">
        <v>733</v>
      </c>
      <c r="W100" s="15">
        <v>45586</v>
      </c>
      <c r="X100" t="s">
        <v>734</v>
      </c>
      <c r="Y100" t="s">
        <v>138</v>
      </c>
      <c r="Z100" t="s">
        <v>135</v>
      </c>
      <c r="AA100" t="s">
        <v>133</v>
      </c>
      <c r="AB100" t="s">
        <v>220</v>
      </c>
      <c r="AE100" t="s">
        <v>297</v>
      </c>
      <c r="AF100" t="s">
        <v>313</v>
      </c>
      <c r="AG100">
        <v>8488</v>
      </c>
      <c r="AH100" t="s">
        <v>264</v>
      </c>
      <c r="AI100">
        <v>247806</v>
      </c>
      <c r="AJ100" t="s">
        <v>735</v>
      </c>
      <c r="AK100">
        <v>186</v>
      </c>
      <c r="AL100" t="s">
        <v>39</v>
      </c>
      <c r="AM100">
        <v>2</v>
      </c>
      <c r="AN100">
        <v>28</v>
      </c>
      <c r="AQ100">
        <v>1</v>
      </c>
      <c r="AR100" t="s">
        <v>39</v>
      </c>
      <c r="AS100" t="s">
        <v>272</v>
      </c>
      <c r="AT100" t="s">
        <v>736</v>
      </c>
      <c r="AU100" t="s">
        <v>40</v>
      </c>
      <c r="AV100" t="s">
        <v>6</v>
      </c>
      <c r="AW100" t="s">
        <v>734</v>
      </c>
      <c r="AX100">
        <v>72</v>
      </c>
      <c r="AY100" t="b">
        <v>1</v>
      </c>
      <c r="AZ100" t="s">
        <v>737</v>
      </c>
      <c r="BB100" t="s">
        <v>738</v>
      </c>
      <c r="BC100">
        <v>44009</v>
      </c>
      <c r="BD100">
        <v>0</v>
      </c>
      <c r="BE100">
        <v>186</v>
      </c>
      <c r="BF100" t="s">
        <v>266</v>
      </c>
    </row>
    <row r="101" spans="1:58" x14ac:dyDescent="0.3">
      <c r="A101">
        <v>8587</v>
      </c>
      <c r="B101">
        <v>0.4</v>
      </c>
      <c r="C101" s="16">
        <v>1.6666666666666601E-2</v>
      </c>
      <c r="D101" t="s">
        <v>96</v>
      </c>
      <c r="E101" s="109">
        <v>0</v>
      </c>
      <c r="F101" s="15">
        <v>45586.744363425903</v>
      </c>
      <c r="G101" s="15">
        <v>45585.75</v>
      </c>
      <c r="H101" s="15">
        <v>45586.738749999997</v>
      </c>
      <c r="I101" s="15">
        <v>45586.744386573999</v>
      </c>
      <c r="J101">
        <v>0.135277777777777</v>
      </c>
      <c r="K101" s="16">
        <v>5.6365740740740699E-3</v>
      </c>
      <c r="L101" s="8">
        <v>45586</v>
      </c>
      <c r="M101" s="15">
        <v>45586.738749999997</v>
      </c>
      <c r="N101" t="b">
        <v>1</v>
      </c>
      <c r="O101" s="15">
        <v>45586.738749999997</v>
      </c>
      <c r="P101" s="15">
        <v>45586.744386573999</v>
      </c>
      <c r="R101" s="15">
        <v>1</v>
      </c>
      <c r="S101" s="15">
        <v>45586.744386573999</v>
      </c>
      <c r="T101" s="15">
        <v>45586.744386573999</v>
      </c>
      <c r="U101" t="s">
        <v>217</v>
      </c>
      <c r="V101" t="s">
        <v>739</v>
      </c>
      <c r="W101" s="15">
        <v>45586</v>
      </c>
      <c r="X101" t="s">
        <v>739</v>
      </c>
      <c r="Y101" t="s">
        <v>158</v>
      </c>
      <c r="Z101" t="s">
        <v>135</v>
      </c>
      <c r="AA101" t="s">
        <v>131</v>
      </c>
      <c r="AB101" t="s">
        <v>27</v>
      </c>
      <c r="AC101" t="s">
        <v>317</v>
      </c>
      <c r="AD101" t="s">
        <v>146</v>
      </c>
      <c r="AE101" t="s">
        <v>34</v>
      </c>
      <c r="AF101" t="s">
        <v>275</v>
      </c>
      <c r="AG101">
        <v>8489</v>
      </c>
      <c r="AH101" t="s">
        <v>264</v>
      </c>
      <c r="AI101">
        <v>246881</v>
      </c>
      <c r="AJ101" t="s">
        <v>740</v>
      </c>
      <c r="AK101">
        <v>171</v>
      </c>
      <c r="AL101" t="s">
        <v>39</v>
      </c>
      <c r="AM101">
        <v>2</v>
      </c>
      <c r="AN101">
        <v>5</v>
      </c>
      <c r="AO101">
        <v>33</v>
      </c>
      <c r="AP101">
        <v>5</v>
      </c>
      <c r="AQ101">
        <v>1</v>
      </c>
      <c r="AR101" t="s">
        <v>39</v>
      </c>
      <c r="AS101" t="s">
        <v>314</v>
      </c>
      <c r="AU101" t="s">
        <v>40</v>
      </c>
      <c r="AV101" t="s">
        <v>6</v>
      </c>
      <c r="AW101" t="s">
        <v>741</v>
      </c>
      <c r="AX101">
        <v>72</v>
      </c>
      <c r="AY101" t="b">
        <v>1</v>
      </c>
      <c r="AZ101" t="s">
        <v>742</v>
      </c>
      <c r="BA101">
        <v>2</v>
      </c>
      <c r="BB101" t="s">
        <v>743</v>
      </c>
      <c r="BC101">
        <v>44014</v>
      </c>
      <c r="BD101">
        <v>0</v>
      </c>
      <c r="BE101">
        <v>171</v>
      </c>
      <c r="BF101" t="s">
        <v>266</v>
      </c>
    </row>
    <row r="102" spans="1:58" x14ac:dyDescent="0.3">
      <c r="A102">
        <v>8588</v>
      </c>
      <c r="B102">
        <v>1.5</v>
      </c>
      <c r="C102" s="16">
        <v>6.25E-2</v>
      </c>
      <c r="D102" t="s">
        <v>96</v>
      </c>
      <c r="E102" s="109">
        <v>3</v>
      </c>
      <c r="F102" s="15">
        <v>45586.745520833298</v>
      </c>
      <c r="G102" s="15">
        <v>45585.75</v>
      </c>
      <c r="H102" s="15">
        <v>45586.482812499999</v>
      </c>
      <c r="I102" s="15">
        <v>45586.551562499997</v>
      </c>
      <c r="J102">
        <v>1.65</v>
      </c>
      <c r="K102" s="16">
        <v>6.8750000000000006E-2</v>
      </c>
      <c r="L102" s="8">
        <v>45586</v>
      </c>
      <c r="M102" s="15">
        <v>45586.482812499999</v>
      </c>
      <c r="N102" t="b">
        <v>1</v>
      </c>
      <c r="O102" s="15">
        <v>45586.482812499999</v>
      </c>
      <c r="P102" s="15">
        <v>45586.551562499997</v>
      </c>
      <c r="Q102" t="b">
        <v>1</v>
      </c>
      <c r="R102" s="15">
        <v>45586.551562499997</v>
      </c>
      <c r="S102" s="15">
        <v>45586.747407407398</v>
      </c>
      <c r="T102" s="15">
        <v>45586.747407407398</v>
      </c>
      <c r="W102" s="15">
        <v>45586</v>
      </c>
      <c r="X102" t="s">
        <v>24</v>
      </c>
      <c r="Y102" t="s">
        <v>144</v>
      </c>
      <c r="Z102" t="s">
        <v>135</v>
      </c>
      <c r="AA102" t="s">
        <v>133</v>
      </c>
      <c r="AB102" t="s">
        <v>153</v>
      </c>
      <c r="AC102" t="s">
        <v>154</v>
      </c>
      <c r="AD102" t="s">
        <v>146</v>
      </c>
      <c r="AE102" t="s">
        <v>26</v>
      </c>
      <c r="AF102" t="s">
        <v>37</v>
      </c>
      <c r="AG102">
        <v>8490</v>
      </c>
      <c r="AH102" t="s">
        <v>264</v>
      </c>
      <c r="AI102">
        <v>247813</v>
      </c>
      <c r="AJ102" t="s">
        <v>139</v>
      </c>
      <c r="AK102">
        <v>267</v>
      </c>
      <c r="AL102" t="s">
        <v>39</v>
      </c>
      <c r="AM102">
        <v>2</v>
      </c>
      <c r="AN102">
        <v>41</v>
      </c>
      <c r="AO102">
        <v>48</v>
      </c>
      <c r="AP102">
        <v>5</v>
      </c>
      <c r="AQ102">
        <v>1</v>
      </c>
      <c r="AR102" t="s">
        <v>39</v>
      </c>
      <c r="AS102" t="s">
        <v>267</v>
      </c>
      <c r="AU102" t="s">
        <v>40</v>
      </c>
      <c r="AV102" t="s">
        <v>6</v>
      </c>
      <c r="AW102" t="s">
        <v>744</v>
      </c>
      <c r="AX102">
        <v>72</v>
      </c>
      <c r="AY102" t="b">
        <v>1</v>
      </c>
      <c r="AZ102" t="s">
        <v>745</v>
      </c>
      <c r="BB102" t="s">
        <v>205</v>
      </c>
      <c r="BC102">
        <v>44015</v>
      </c>
      <c r="BD102">
        <v>0</v>
      </c>
      <c r="BE102">
        <v>267</v>
      </c>
      <c r="BF102" t="s">
        <v>266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8093C-71C5-421C-858A-E75B945C6FA7}">
  <sheetPr codeName="Hoja7"/>
  <dimension ref="B2:C111"/>
  <sheetViews>
    <sheetView workbookViewId="0">
      <selection activeCell="B3" sqref="B3:F3"/>
    </sheetView>
  </sheetViews>
  <sheetFormatPr baseColWidth="10" defaultRowHeight="14.4" x14ac:dyDescent="0.3"/>
  <cols>
    <col min="1" max="1" width="17.5546875" bestFit="1" customWidth="1"/>
    <col min="2" max="2" width="24.5546875" bestFit="1" customWidth="1"/>
    <col min="3" max="3" width="20.109375" bestFit="1" customWidth="1"/>
    <col min="4" max="4" width="43.109375" bestFit="1" customWidth="1"/>
    <col min="5" max="51" width="24.109375" bestFit="1" customWidth="1"/>
    <col min="52" max="52" width="12.5546875" bestFit="1" customWidth="1"/>
  </cols>
  <sheetData>
    <row r="2" spans="2:3" x14ac:dyDescent="0.3">
      <c r="B2" s="98" t="s">
        <v>159</v>
      </c>
      <c r="C2" t="s">
        <v>143</v>
      </c>
    </row>
    <row r="3" spans="2:3" x14ac:dyDescent="0.3">
      <c r="B3" s="99" t="s">
        <v>149</v>
      </c>
      <c r="C3">
        <v>13</v>
      </c>
    </row>
    <row r="4" spans="2:3" x14ac:dyDescent="0.3">
      <c r="B4" s="100" t="s">
        <v>165</v>
      </c>
      <c r="C4">
        <v>1</v>
      </c>
    </row>
    <row r="5" spans="2:3" x14ac:dyDescent="0.3">
      <c r="B5" s="100" t="s">
        <v>173</v>
      </c>
      <c r="C5">
        <v>9</v>
      </c>
    </row>
    <row r="6" spans="2:3" x14ac:dyDescent="0.3">
      <c r="B6" s="100" t="s">
        <v>174</v>
      </c>
      <c r="C6">
        <v>3</v>
      </c>
    </row>
    <row r="7" spans="2:3" x14ac:dyDescent="0.3">
      <c r="B7" s="99" t="s">
        <v>144</v>
      </c>
      <c r="C7">
        <v>8</v>
      </c>
    </row>
    <row r="8" spans="2:3" x14ac:dyDescent="0.3">
      <c r="B8" s="100" t="s">
        <v>173</v>
      </c>
      <c r="C8">
        <v>7</v>
      </c>
    </row>
    <row r="9" spans="2:3" x14ac:dyDescent="0.3">
      <c r="B9" s="100" t="s">
        <v>174</v>
      </c>
      <c r="C9">
        <v>1</v>
      </c>
    </row>
    <row r="10" spans="2:3" x14ac:dyDescent="0.3">
      <c r="B10" s="99" t="s">
        <v>147</v>
      </c>
      <c r="C10">
        <v>26</v>
      </c>
    </row>
    <row r="11" spans="2:3" x14ac:dyDescent="0.3">
      <c r="B11" s="100" t="s">
        <v>165</v>
      </c>
      <c r="C11">
        <v>1</v>
      </c>
    </row>
    <row r="12" spans="2:3" x14ac:dyDescent="0.3">
      <c r="B12" s="100" t="s">
        <v>173</v>
      </c>
      <c r="C12">
        <v>16</v>
      </c>
    </row>
    <row r="13" spans="2:3" x14ac:dyDescent="0.3">
      <c r="B13" s="100" t="s">
        <v>174</v>
      </c>
      <c r="C13">
        <v>9</v>
      </c>
    </row>
    <row r="14" spans="2:3" x14ac:dyDescent="0.3">
      <c r="B14" s="99" t="s">
        <v>142</v>
      </c>
      <c r="C14">
        <v>218</v>
      </c>
    </row>
    <row r="15" spans="2:3" x14ac:dyDescent="0.3">
      <c r="B15" s="100" t="s">
        <v>175</v>
      </c>
      <c r="C15">
        <v>7</v>
      </c>
    </row>
    <row r="16" spans="2:3" x14ac:dyDescent="0.3">
      <c r="B16" s="100" t="s">
        <v>176</v>
      </c>
      <c r="C16">
        <v>6</v>
      </c>
    </row>
    <row r="17" spans="2:3" x14ac:dyDescent="0.3">
      <c r="B17" s="100" t="s">
        <v>177</v>
      </c>
      <c r="C17">
        <v>10</v>
      </c>
    </row>
    <row r="18" spans="2:3" x14ac:dyDescent="0.3">
      <c r="B18" s="100" t="s">
        <v>178</v>
      </c>
      <c r="C18">
        <v>3</v>
      </c>
    </row>
    <row r="19" spans="2:3" x14ac:dyDescent="0.3">
      <c r="B19" s="100" t="s">
        <v>179</v>
      </c>
      <c r="C19">
        <v>9</v>
      </c>
    </row>
    <row r="20" spans="2:3" x14ac:dyDescent="0.3">
      <c r="B20" s="100" t="s">
        <v>180</v>
      </c>
      <c r="C20">
        <v>6</v>
      </c>
    </row>
    <row r="21" spans="2:3" x14ac:dyDescent="0.3">
      <c r="B21" s="100" t="s">
        <v>181</v>
      </c>
      <c r="C21">
        <v>12</v>
      </c>
    </row>
    <row r="22" spans="2:3" x14ac:dyDescent="0.3">
      <c r="B22" s="100" t="s">
        <v>182</v>
      </c>
      <c r="C22">
        <v>5</v>
      </c>
    </row>
    <row r="23" spans="2:3" x14ac:dyDescent="0.3">
      <c r="B23" s="100" t="s">
        <v>183</v>
      </c>
      <c r="C23">
        <v>6</v>
      </c>
    </row>
    <row r="24" spans="2:3" x14ac:dyDescent="0.3">
      <c r="B24" s="100" t="s">
        <v>184</v>
      </c>
      <c r="C24">
        <v>15</v>
      </c>
    </row>
    <row r="25" spans="2:3" x14ac:dyDescent="0.3">
      <c r="B25" s="100" t="s">
        <v>185</v>
      </c>
      <c r="C25">
        <v>14</v>
      </c>
    </row>
    <row r="26" spans="2:3" x14ac:dyDescent="0.3">
      <c r="B26" s="100" t="s">
        <v>186</v>
      </c>
      <c r="C26">
        <v>9</v>
      </c>
    </row>
    <row r="27" spans="2:3" x14ac:dyDescent="0.3">
      <c r="B27" s="100" t="s">
        <v>187</v>
      </c>
      <c r="C27">
        <v>5</v>
      </c>
    </row>
    <row r="28" spans="2:3" x14ac:dyDescent="0.3">
      <c r="B28" s="100" t="s">
        <v>161</v>
      </c>
      <c r="C28">
        <v>8</v>
      </c>
    </row>
    <row r="29" spans="2:3" x14ac:dyDescent="0.3">
      <c r="B29" s="100" t="s">
        <v>162</v>
      </c>
      <c r="C29">
        <v>3</v>
      </c>
    </row>
    <row r="30" spans="2:3" x14ac:dyDescent="0.3">
      <c r="B30" s="100" t="s">
        <v>188</v>
      </c>
      <c r="C30">
        <v>10</v>
      </c>
    </row>
    <row r="31" spans="2:3" x14ac:dyDescent="0.3">
      <c r="B31" s="100" t="s">
        <v>163</v>
      </c>
      <c r="C31">
        <v>7</v>
      </c>
    </row>
    <row r="32" spans="2:3" x14ac:dyDescent="0.3">
      <c r="B32" s="100" t="s">
        <v>164</v>
      </c>
      <c r="C32">
        <v>4</v>
      </c>
    </row>
    <row r="33" spans="2:3" x14ac:dyDescent="0.3">
      <c r="B33" s="100" t="s">
        <v>189</v>
      </c>
      <c r="C33">
        <v>21</v>
      </c>
    </row>
    <row r="34" spans="2:3" x14ac:dyDescent="0.3">
      <c r="B34" s="100" t="s">
        <v>165</v>
      </c>
      <c r="C34">
        <v>22</v>
      </c>
    </row>
    <row r="35" spans="2:3" x14ac:dyDescent="0.3">
      <c r="B35" s="100" t="s">
        <v>190</v>
      </c>
      <c r="C35">
        <v>10</v>
      </c>
    </row>
    <row r="36" spans="2:3" x14ac:dyDescent="0.3">
      <c r="B36" s="100" t="s">
        <v>191</v>
      </c>
      <c r="C36">
        <v>5</v>
      </c>
    </row>
    <row r="37" spans="2:3" x14ac:dyDescent="0.3">
      <c r="B37" s="100" t="s">
        <v>173</v>
      </c>
      <c r="C37">
        <v>18</v>
      </c>
    </row>
    <row r="38" spans="2:3" x14ac:dyDescent="0.3">
      <c r="B38" s="100" t="s">
        <v>174</v>
      </c>
      <c r="C38">
        <v>3</v>
      </c>
    </row>
    <row r="39" spans="2:3" x14ac:dyDescent="0.3">
      <c r="B39" s="99" t="s">
        <v>41</v>
      </c>
      <c r="C39">
        <v>10</v>
      </c>
    </row>
    <row r="40" spans="2:3" x14ac:dyDescent="0.3">
      <c r="B40" s="100" t="s">
        <v>173</v>
      </c>
      <c r="C40">
        <v>10</v>
      </c>
    </row>
    <row r="41" spans="2:3" x14ac:dyDescent="0.3">
      <c r="B41" s="99" t="s">
        <v>156</v>
      </c>
      <c r="C41">
        <v>1</v>
      </c>
    </row>
    <row r="42" spans="2:3" x14ac:dyDescent="0.3">
      <c r="B42" s="100" t="s">
        <v>165</v>
      </c>
      <c r="C42">
        <v>1</v>
      </c>
    </row>
    <row r="43" spans="2:3" x14ac:dyDescent="0.3">
      <c r="B43" s="99" t="s">
        <v>134</v>
      </c>
      <c r="C43">
        <v>336</v>
      </c>
    </row>
    <row r="44" spans="2:3" x14ac:dyDescent="0.3">
      <c r="B44" s="100" t="s">
        <v>177</v>
      </c>
      <c r="C44">
        <v>23</v>
      </c>
    </row>
    <row r="45" spans="2:3" x14ac:dyDescent="0.3">
      <c r="B45" s="100" t="s">
        <v>178</v>
      </c>
      <c r="C45">
        <v>9</v>
      </c>
    </row>
    <row r="46" spans="2:3" x14ac:dyDescent="0.3">
      <c r="B46" s="100" t="s">
        <v>179</v>
      </c>
      <c r="C46">
        <v>19</v>
      </c>
    </row>
    <row r="47" spans="2:3" x14ac:dyDescent="0.3">
      <c r="B47" s="100" t="s">
        <v>180</v>
      </c>
      <c r="C47">
        <v>21</v>
      </c>
    </row>
    <row r="48" spans="2:3" x14ac:dyDescent="0.3">
      <c r="B48" s="100" t="s">
        <v>182</v>
      </c>
      <c r="C48">
        <v>27</v>
      </c>
    </row>
    <row r="49" spans="2:3" x14ac:dyDescent="0.3">
      <c r="B49" s="100" t="s">
        <v>183</v>
      </c>
      <c r="C49">
        <v>10</v>
      </c>
    </row>
    <row r="50" spans="2:3" x14ac:dyDescent="0.3">
      <c r="B50" s="100" t="s">
        <v>192</v>
      </c>
      <c r="C50">
        <v>2</v>
      </c>
    </row>
    <row r="51" spans="2:3" x14ac:dyDescent="0.3">
      <c r="B51" s="100" t="s">
        <v>184</v>
      </c>
      <c r="C51">
        <v>4</v>
      </c>
    </row>
    <row r="52" spans="2:3" x14ac:dyDescent="0.3">
      <c r="B52" s="100" t="s">
        <v>185</v>
      </c>
      <c r="C52">
        <v>17</v>
      </c>
    </row>
    <row r="53" spans="2:3" x14ac:dyDescent="0.3">
      <c r="B53" s="100" t="s">
        <v>193</v>
      </c>
      <c r="C53">
        <v>3</v>
      </c>
    </row>
    <row r="54" spans="2:3" x14ac:dyDescent="0.3">
      <c r="B54" s="100" t="s">
        <v>162</v>
      </c>
      <c r="C54">
        <v>20</v>
      </c>
    </row>
    <row r="55" spans="2:3" x14ac:dyDescent="0.3">
      <c r="B55" s="100" t="s">
        <v>188</v>
      </c>
      <c r="C55">
        <v>23</v>
      </c>
    </row>
    <row r="56" spans="2:3" x14ac:dyDescent="0.3">
      <c r="B56" s="100" t="s">
        <v>163</v>
      </c>
      <c r="C56">
        <v>4</v>
      </c>
    </row>
    <row r="57" spans="2:3" x14ac:dyDescent="0.3">
      <c r="B57" s="100" t="s">
        <v>164</v>
      </c>
      <c r="C57">
        <v>10</v>
      </c>
    </row>
    <row r="58" spans="2:3" x14ac:dyDescent="0.3">
      <c r="B58" s="100" t="s">
        <v>194</v>
      </c>
      <c r="C58">
        <v>4</v>
      </c>
    </row>
    <row r="59" spans="2:3" x14ac:dyDescent="0.3">
      <c r="B59" s="100" t="s">
        <v>189</v>
      </c>
      <c r="C59">
        <v>15</v>
      </c>
    </row>
    <row r="60" spans="2:3" x14ac:dyDescent="0.3">
      <c r="B60" s="100" t="s">
        <v>165</v>
      </c>
      <c r="C60">
        <v>25</v>
      </c>
    </row>
    <row r="61" spans="2:3" x14ac:dyDescent="0.3">
      <c r="B61" s="100" t="s">
        <v>190</v>
      </c>
      <c r="C61">
        <v>17</v>
      </c>
    </row>
    <row r="62" spans="2:3" x14ac:dyDescent="0.3">
      <c r="B62" s="100" t="s">
        <v>191</v>
      </c>
      <c r="C62">
        <v>31</v>
      </c>
    </row>
    <row r="63" spans="2:3" x14ac:dyDescent="0.3">
      <c r="B63" s="100" t="s">
        <v>195</v>
      </c>
      <c r="C63">
        <v>13</v>
      </c>
    </row>
    <row r="64" spans="2:3" x14ac:dyDescent="0.3">
      <c r="B64" s="100" t="s">
        <v>173</v>
      </c>
      <c r="C64">
        <v>30</v>
      </c>
    </row>
    <row r="65" spans="2:3" x14ac:dyDescent="0.3">
      <c r="B65" s="100" t="s">
        <v>174</v>
      </c>
      <c r="C65">
        <v>9</v>
      </c>
    </row>
    <row r="66" spans="2:3" x14ac:dyDescent="0.3">
      <c r="B66" s="99" t="s">
        <v>158</v>
      </c>
      <c r="C66">
        <v>14</v>
      </c>
    </row>
    <row r="67" spans="2:3" x14ac:dyDescent="0.3">
      <c r="B67" s="100" t="s">
        <v>196</v>
      </c>
      <c r="C67">
        <v>1</v>
      </c>
    </row>
    <row r="68" spans="2:3" x14ac:dyDescent="0.3">
      <c r="B68" s="100" t="s">
        <v>177</v>
      </c>
      <c r="C68">
        <v>1</v>
      </c>
    </row>
    <row r="69" spans="2:3" x14ac:dyDescent="0.3">
      <c r="B69" s="100" t="s">
        <v>178</v>
      </c>
      <c r="C69">
        <v>4</v>
      </c>
    </row>
    <row r="70" spans="2:3" x14ac:dyDescent="0.3">
      <c r="B70" s="100" t="s">
        <v>182</v>
      </c>
      <c r="C70">
        <v>1</v>
      </c>
    </row>
    <row r="71" spans="2:3" x14ac:dyDescent="0.3">
      <c r="B71" s="100" t="s">
        <v>186</v>
      </c>
      <c r="C71">
        <v>3</v>
      </c>
    </row>
    <row r="72" spans="2:3" x14ac:dyDescent="0.3">
      <c r="B72" s="100" t="s">
        <v>188</v>
      </c>
      <c r="C72">
        <v>4</v>
      </c>
    </row>
    <row r="73" spans="2:3" x14ac:dyDescent="0.3">
      <c r="B73" s="99" t="s">
        <v>138</v>
      </c>
      <c r="C73">
        <v>60</v>
      </c>
    </row>
    <row r="74" spans="2:3" x14ac:dyDescent="0.3">
      <c r="B74" s="100" t="s">
        <v>175</v>
      </c>
      <c r="C74">
        <v>3</v>
      </c>
    </row>
    <row r="75" spans="2:3" x14ac:dyDescent="0.3">
      <c r="B75" s="100" t="s">
        <v>176</v>
      </c>
      <c r="C75">
        <v>8</v>
      </c>
    </row>
    <row r="76" spans="2:3" x14ac:dyDescent="0.3">
      <c r="B76" s="100" t="s">
        <v>177</v>
      </c>
      <c r="C76">
        <v>14</v>
      </c>
    </row>
    <row r="77" spans="2:3" x14ac:dyDescent="0.3">
      <c r="B77" s="100" t="s">
        <v>178</v>
      </c>
      <c r="C77">
        <v>3</v>
      </c>
    </row>
    <row r="78" spans="2:3" x14ac:dyDescent="0.3">
      <c r="B78" s="100" t="s">
        <v>183</v>
      </c>
      <c r="C78">
        <v>2</v>
      </c>
    </row>
    <row r="79" spans="2:3" x14ac:dyDescent="0.3">
      <c r="B79" s="100" t="s">
        <v>184</v>
      </c>
      <c r="C79">
        <v>2</v>
      </c>
    </row>
    <row r="80" spans="2:3" x14ac:dyDescent="0.3">
      <c r="B80" s="100" t="s">
        <v>186</v>
      </c>
      <c r="C80">
        <v>2</v>
      </c>
    </row>
    <row r="81" spans="2:3" x14ac:dyDescent="0.3">
      <c r="B81" s="100" t="s">
        <v>161</v>
      </c>
      <c r="C81">
        <v>5</v>
      </c>
    </row>
    <row r="82" spans="2:3" x14ac:dyDescent="0.3">
      <c r="B82" s="100" t="s">
        <v>188</v>
      </c>
      <c r="C82">
        <v>1</v>
      </c>
    </row>
    <row r="83" spans="2:3" x14ac:dyDescent="0.3">
      <c r="B83" s="100" t="s">
        <v>190</v>
      </c>
      <c r="C83">
        <v>1</v>
      </c>
    </row>
    <row r="84" spans="2:3" x14ac:dyDescent="0.3">
      <c r="B84" s="100" t="s">
        <v>191</v>
      </c>
      <c r="C84">
        <v>7</v>
      </c>
    </row>
    <row r="85" spans="2:3" x14ac:dyDescent="0.3">
      <c r="B85" s="100" t="s">
        <v>173</v>
      </c>
      <c r="C85">
        <v>6</v>
      </c>
    </row>
    <row r="86" spans="2:3" x14ac:dyDescent="0.3">
      <c r="B86" s="100" t="s">
        <v>174</v>
      </c>
      <c r="C86">
        <v>6</v>
      </c>
    </row>
    <row r="87" spans="2:3" x14ac:dyDescent="0.3">
      <c r="B87" s="99" t="s">
        <v>171</v>
      </c>
      <c r="C87">
        <v>25</v>
      </c>
    </row>
    <row r="88" spans="2:3" x14ac:dyDescent="0.3">
      <c r="B88" s="100" t="s">
        <v>177</v>
      </c>
      <c r="C88">
        <v>8</v>
      </c>
    </row>
    <row r="89" spans="2:3" x14ac:dyDescent="0.3">
      <c r="B89" s="100" t="s">
        <v>180</v>
      </c>
      <c r="C89">
        <v>1</v>
      </c>
    </row>
    <row r="90" spans="2:3" x14ac:dyDescent="0.3">
      <c r="B90" s="100" t="s">
        <v>183</v>
      </c>
      <c r="C90">
        <v>1</v>
      </c>
    </row>
    <row r="91" spans="2:3" x14ac:dyDescent="0.3">
      <c r="B91" s="100" t="s">
        <v>161</v>
      </c>
      <c r="C91">
        <v>7</v>
      </c>
    </row>
    <row r="92" spans="2:3" x14ac:dyDescent="0.3">
      <c r="B92" s="100" t="s">
        <v>190</v>
      </c>
      <c r="C92">
        <v>3</v>
      </c>
    </row>
    <row r="93" spans="2:3" x14ac:dyDescent="0.3">
      <c r="B93" s="100" t="s">
        <v>191</v>
      </c>
      <c r="C93">
        <v>5</v>
      </c>
    </row>
    <row r="94" spans="2:3" x14ac:dyDescent="0.3">
      <c r="B94" s="99" t="s">
        <v>136</v>
      </c>
      <c r="C94">
        <v>82</v>
      </c>
    </row>
    <row r="95" spans="2:3" x14ac:dyDescent="0.3">
      <c r="B95" s="100" t="s">
        <v>196</v>
      </c>
      <c r="C95">
        <v>1</v>
      </c>
    </row>
    <row r="96" spans="2:3" x14ac:dyDescent="0.3">
      <c r="B96" s="100" t="s">
        <v>176</v>
      </c>
      <c r="C96">
        <v>6</v>
      </c>
    </row>
    <row r="97" spans="2:3" x14ac:dyDescent="0.3">
      <c r="B97" s="100" t="s">
        <v>177</v>
      </c>
      <c r="C97">
        <v>19</v>
      </c>
    </row>
    <row r="98" spans="2:3" x14ac:dyDescent="0.3">
      <c r="B98" s="100" t="s">
        <v>178</v>
      </c>
      <c r="C98">
        <v>2</v>
      </c>
    </row>
    <row r="99" spans="2:3" x14ac:dyDescent="0.3">
      <c r="B99" s="100" t="s">
        <v>179</v>
      </c>
      <c r="C99">
        <v>4</v>
      </c>
    </row>
    <row r="100" spans="2:3" x14ac:dyDescent="0.3">
      <c r="B100" s="100" t="s">
        <v>182</v>
      </c>
      <c r="C100">
        <v>3</v>
      </c>
    </row>
    <row r="101" spans="2:3" x14ac:dyDescent="0.3">
      <c r="B101" s="100" t="s">
        <v>183</v>
      </c>
      <c r="C101">
        <v>1</v>
      </c>
    </row>
    <row r="102" spans="2:3" x14ac:dyDescent="0.3">
      <c r="B102" s="100" t="s">
        <v>184</v>
      </c>
      <c r="C102">
        <v>6</v>
      </c>
    </row>
    <row r="103" spans="2:3" x14ac:dyDescent="0.3">
      <c r="B103" s="100" t="s">
        <v>185</v>
      </c>
      <c r="C103">
        <v>2</v>
      </c>
    </row>
    <row r="104" spans="2:3" x14ac:dyDescent="0.3">
      <c r="B104" s="100" t="s">
        <v>186</v>
      </c>
      <c r="C104">
        <v>9</v>
      </c>
    </row>
    <row r="105" spans="2:3" x14ac:dyDescent="0.3">
      <c r="B105" s="100" t="s">
        <v>193</v>
      </c>
      <c r="C105">
        <v>1</v>
      </c>
    </row>
    <row r="106" spans="2:3" x14ac:dyDescent="0.3">
      <c r="B106" s="100" t="s">
        <v>162</v>
      </c>
      <c r="C106">
        <v>5</v>
      </c>
    </row>
    <row r="107" spans="2:3" x14ac:dyDescent="0.3">
      <c r="B107" s="100" t="s">
        <v>165</v>
      </c>
      <c r="C107">
        <v>2</v>
      </c>
    </row>
    <row r="108" spans="2:3" x14ac:dyDescent="0.3">
      <c r="B108" s="100" t="s">
        <v>191</v>
      </c>
      <c r="C108">
        <v>5</v>
      </c>
    </row>
    <row r="109" spans="2:3" x14ac:dyDescent="0.3">
      <c r="B109" s="100" t="s">
        <v>173</v>
      </c>
      <c r="C109">
        <v>8</v>
      </c>
    </row>
    <row r="110" spans="2:3" x14ac:dyDescent="0.3">
      <c r="B110" s="100" t="s">
        <v>174</v>
      </c>
      <c r="C110">
        <v>8</v>
      </c>
    </row>
    <row r="111" spans="2:3" x14ac:dyDescent="0.3">
      <c r="B111" s="99" t="s">
        <v>160</v>
      </c>
      <c r="C111">
        <v>793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1CF4D-47E9-42F0-909C-7A6E533A1215}">
  <sheetPr codeName="Hoja24"/>
  <dimension ref="A1"/>
  <sheetViews>
    <sheetView workbookViewId="0">
      <selection activeCell="B3" sqref="B3:F3"/>
    </sheetView>
  </sheetViews>
  <sheetFormatPr baseColWidth="10"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00F30-09F4-43BF-8205-A391E86B57A6}">
  <sheetPr codeName="Hoja9"/>
  <dimension ref="A1:O30"/>
  <sheetViews>
    <sheetView workbookViewId="0">
      <selection activeCell="B3" sqref="B3:F3"/>
    </sheetView>
  </sheetViews>
  <sheetFormatPr baseColWidth="10" defaultColWidth="11.44140625" defaultRowHeight="14.4" x14ac:dyDescent="0.3"/>
  <cols>
    <col min="1" max="1" width="4.33203125" customWidth="1"/>
    <col min="2" max="9" width="17.5546875" customWidth="1"/>
    <col min="10" max="10" width="11.44140625" style="19"/>
    <col min="11" max="11" width="23.109375" customWidth="1"/>
    <col min="12" max="12" width="16" customWidth="1"/>
    <col min="13" max="13" width="15" customWidth="1"/>
    <col min="14" max="14" width="14.6640625" customWidth="1"/>
    <col min="15" max="15" width="26.33203125" customWidth="1"/>
  </cols>
  <sheetData>
    <row r="1" spans="1:15" x14ac:dyDescent="0.3">
      <c r="A1" s="18" t="str">
        <f>REPT("***   AGOSTO",13)</f>
        <v>***   AGOSTO***   AGOSTO***   AGOSTO***   AGOSTO***   AGOSTO***   AGOSTO***   AGOSTO***   AGOSTO***   AGOSTO***   AGOSTO***   AGOSTO***   AGOSTO***   AGOSTO</v>
      </c>
      <c r="B1" s="18"/>
      <c r="C1" s="18"/>
      <c r="D1" s="18"/>
      <c r="E1" s="18"/>
      <c r="F1" s="18"/>
      <c r="G1" s="18"/>
      <c r="H1" s="18"/>
      <c r="I1" s="18"/>
      <c r="K1" s="20" t="str">
        <f>REPT("***   ANTERIOR",13)</f>
        <v>***   ANTERIOR***   ANTERIOR***   ANTERIOR***   ANTERIOR***   ANTERIOR***   ANTERIOR***   ANTERIOR***   ANTERIOR***   ANTERIOR***   ANTERIOR***   ANTERIOR***   ANTERIOR***   ANTERIOR</v>
      </c>
      <c r="L1" s="20"/>
      <c r="M1" s="20"/>
      <c r="N1" s="20"/>
      <c r="O1" s="20"/>
    </row>
    <row r="2" spans="1:15" ht="15" thickBot="1" x14ac:dyDescent="0.35"/>
    <row r="3" spans="1:15" ht="15" thickBot="1" x14ac:dyDescent="0.35">
      <c r="B3" s="118" t="s">
        <v>98</v>
      </c>
      <c r="C3" s="119"/>
      <c r="D3" s="119"/>
      <c r="E3" s="120"/>
      <c r="F3" s="121"/>
      <c r="K3" s="118" t="s">
        <v>98</v>
      </c>
      <c r="L3" s="119"/>
      <c r="M3" s="119"/>
      <c r="N3" s="120"/>
      <c r="O3" s="121"/>
    </row>
    <row r="4" spans="1:15" ht="15" thickBot="1" x14ac:dyDescent="0.35">
      <c r="B4" s="21" t="s">
        <v>1</v>
      </c>
      <c r="C4" s="22" t="s">
        <v>99</v>
      </c>
      <c r="D4" s="23" t="s">
        <v>100</v>
      </c>
      <c r="E4" s="24"/>
      <c r="F4" s="24"/>
      <c r="K4" s="21" t="s">
        <v>101</v>
      </c>
      <c r="L4" s="22" t="s">
        <v>99</v>
      </c>
      <c r="M4" s="23">
        <v>45516</v>
      </c>
      <c r="N4" s="24"/>
      <c r="O4" s="24"/>
    </row>
    <row r="5" spans="1:15" ht="15" thickBot="1" x14ac:dyDescent="0.35">
      <c r="B5" s="25" t="s">
        <v>102</v>
      </c>
      <c r="C5" s="26" t="s">
        <v>103</v>
      </c>
      <c r="D5" s="27" t="s">
        <v>104</v>
      </c>
      <c r="E5" s="28" t="s">
        <v>105</v>
      </c>
      <c r="F5" s="29" t="s">
        <v>106</v>
      </c>
      <c r="K5" s="25" t="s">
        <v>102</v>
      </c>
      <c r="L5" s="26" t="s">
        <v>103</v>
      </c>
      <c r="M5" s="27" t="s">
        <v>104</v>
      </c>
      <c r="N5" s="30" t="s">
        <v>107</v>
      </c>
      <c r="O5" s="29" t="s">
        <v>106</v>
      </c>
    </row>
    <row r="6" spans="1:15" ht="15" thickBot="1" x14ac:dyDescent="0.35">
      <c r="B6" s="31"/>
      <c r="C6" s="24"/>
      <c r="D6" s="24"/>
      <c r="E6" s="24"/>
      <c r="F6" s="24"/>
      <c r="K6" s="31"/>
      <c r="L6" s="24"/>
      <c r="M6" s="24"/>
      <c r="N6" s="24"/>
      <c r="O6" s="24"/>
    </row>
    <row r="7" spans="1:15" ht="43.8" thickBot="1" x14ac:dyDescent="0.35">
      <c r="B7" s="32" t="s">
        <v>108</v>
      </c>
      <c r="C7" s="33">
        <v>0.35</v>
      </c>
      <c r="D7" s="34">
        <v>0.93</v>
      </c>
      <c r="E7" s="34">
        <v>0.90900000000000003</v>
      </c>
      <c r="F7" s="35">
        <f>+E7*C7</f>
        <v>0.31814999999999999</v>
      </c>
      <c r="G7" s="115" t="s">
        <v>109</v>
      </c>
      <c r="H7" s="116"/>
      <c r="I7" s="117"/>
      <c r="K7" s="36" t="s">
        <v>110</v>
      </c>
      <c r="L7" s="37">
        <v>0.35</v>
      </c>
      <c r="M7" s="38">
        <v>0.93</v>
      </c>
      <c r="N7" s="38">
        <f>L18</f>
        <v>1</v>
      </c>
      <c r="O7" s="39">
        <f>+N7*L7</f>
        <v>0.35</v>
      </c>
    </row>
    <row r="8" spans="1:15" ht="58.2" thickBot="1" x14ac:dyDescent="0.35">
      <c r="B8" s="40" t="s">
        <v>111</v>
      </c>
      <c r="C8" s="41">
        <v>0.2</v>
      </c>
      <c r="D8" s="22">
        <v>25</v>
      </c>
      <c r="E8" s="42">
        <v>0.75700000000000001</v>
      </c>
      <c r="F8" s="43">
        <f>+E8*C8</f>
        <v>0.15140000000000001</v>
      </c>
      <c r="G8" s="122" t="s">
        <v>112</v>
      </c>
      <c r="H8" s="123"/>
      <c r="I8" s="124"/>
      <c r="K8" s="44" t="s">
        <v>113</v>
      </c>
      <c r="L8" s="45">
        <v>0.2</v>
      </c>
      <c r="M8" s="46">
        <v>25</v>
      </c>
      <c r="N8" s="47">
        <f>L22</f>
        <v>0.58023487907905125</v>
      </c>
      <c r="O8" s="48">
        <f>+N8*L8</f>
        <v>0.11604697581581025</v>
      </c>
    </row>
    <row r="9" spans="1:15" ht="58.2" thickBot="1" x14ac:dyDescent="0.35">
      <c r="B9" s="32" t="s">
        <v>114</v>
      </c>
      <c r="C9" s="49">
        <v>0.25</v>
      </c>
      <c r="D9" s="50">
        <v>50</v>
      </c>
      <c r="E9" s="51">
        <v>0.82</v>
      </c>
      <c r="F9" s="52">
        <f>+E9*C9</f>
        <v>0.20499999999999999</v>
      </c>
      <c r="G9" s="115" t="s">
        <v>115</v>
      </c>
      <c r="H9" s="116"/>
      <c r="I9" s="117"/>
      <c r="K9" s="36" t="s">
        <v>116</v>
      </c>
      <c r="L9" s="53">
        <v>0.2</v>
      </c>
      <c r="M9" s="54">
        <v>50</v>
      </c>
      <c r="N9" s="55">
        <f>L26</f>
        <v>1.0516574120814404</v>
      </c>
      <c r="O9" s="56">
        <f>+N9*L9</f>
        <v>0.21033148241628807</v>
      </c>
    </row>
    <row r="10" spans="1:15" ht="43.8" thickBot="1" x14ac:dyDescent="0.35">
      <c r="B10" s="32" t="s">
        <v>117</v>
      </c>
      <c r="C10" s="41">
        <v>0.2</v>
      </c>
      <c r="D10" s="42">
        <v>0.93</v>
      </c>
      <c r="E10" s="42">
        <v>0.90900000000000003</v>
      </c>
      <c r="F10" s="43">
        <f>+E10*C10</f>
        <v>0.18180000000000002</v>
      </c>
      <c r="G10" s="115" t="s">
        <v>118</v>
      </c>
      <c r="H10" s="116"/>
      <c r="I10" s="117"/>
      <c r="K10" s="40" t="s">
        <v>119</v>
      </c>
      <c r="L10" s="45">
        <v>0.2</v>
      </c>
      <c r="M10" s="47">
        <v>0.93</v>
      </c>
      <c r="N10" s="47">
        <f>L30</f>
        <v>1</v>
      </c>
      <c r="O10" s="48">
        <f>+N10*L10</f>
        <v>0.2</v>
      </c>
    </row>
    <row r="11" spans="1:15" ht="29.4" thickBot="1" x14ac:dyDescent="0.35">
      <c r="B11" s="57" t="s">
        <v>120</v>
      </c>
      <c r="C11" s="58">
        <f>+SUM(C7:C10)</f>
        <v>1</v>
      </c>
      <c r="D11" s="59"/>
      <c r="E11" s="59"/>
      <c r="F11" s="60">
        <f>SUM(F7:F10)</f>
        <v>0.85634999999999994</v>
      </c>
      <c r="K11" s="36" t="s">
        <v>121</v>
      </c>
      <c r="L11" s="61">
        <v>0.05</v>
      </c>
      <c r="M11" s="62">
        <v>0.05</v>
      </c>
      <c r="N11" s="62">
        <v>1</v>
      </c>
      <c r="O11" s="63">
        <f>+N11*L11</f>
        <v>0.05</v>
      </c>
    </row>
    <row r="12" spans="1:15" ht="18.600000000000001" thickBot="1" x14ac:dyDescent="0.35">
      <c r="K12" s="57" t="s">
        <v>120</v>
      </c>
      <c r="L12" s="58">
        <f>+SUM(L7:L11)</f>
        <v>1</v>
      </c>
      <c r="M12" s="59"/>
      <c r="N12" s="59"/>
      <c r="O12" s="60">
        <f>SUM(O7:O11)</f>
        <v>0.92637845823209841</v>
      </c>
    </row>
    <row r="13" spans="1:15" x14ac:dyDescent="0.3">
      <c r="G13" s="7"/>
    </row>
    <row r="16" spans="1:15" x14ac:dyDescent="0.3">
      <c r="K16" t="s">
        <v>122</v>
      </c>
      <c r="L16">
        <v>11</v>
      </c>
      <c r="M16" t="s">
        <v>123</v>
      </c>
    </row>
    <row r="17" spans="11:12" x14ac:dyDescent="0.3">
      <c r="K17" t="s">
        <v>124</v>
      </c>
      <c r="L17">
        <v>11</v>
      </c>
    </row>
    <row r="18" spans="11:12" x14ac:dyDescent="0.3">
      <c r="K18" s="64" t="s">
        <v>125</v>
      </c>
      <c r="L18" s="65">
        <f>L16/L17</f>
        <v>1</v>
      </c>
    </row>
    <row r="20" spans="11:12" x14ac:dyDescent="0.3">
      <c r="K20" t="s">
        <v>126</v>
      </c>
      <c r="L20">
        <v>0.71809999999999996</v>
      </c>
    </row>
    <row r="21" spans="11:12" x14ac:dyDescent="0.3">
      <c r="K21" t="s">
        <v>127</v>
      </c>
      <c r="L21">
        <f>L20*60</f>
        <v>43.085999999999999</v>
      </c>
    </row>
    <row r="22" spans="11:12" x14ac:dyDescent="0.3">
      <c r="K22" s="64" t="s">
        <v>125</v>
      </c>
      <c r="L22" s="64">
        <f>M8/L21</f>
        <v>0.58023487907905125</v>
      </c>
    </row>
    <row r="24" spans="11:12" x14ac:dyDescent="0.3">
      <c r="K24" t="s">
        <v>128</v>
      </c>
      <c r="L24">
        <v>0.79239999999999999</v>
      </c>
    </row>
    <row r="25" spans="11:12" x14ac:dyDescent="0.3">
      <c r="K25" t="s">
        <v>127</v>
      </c>
      <c r="L25">
        <f>L24*60</f>
        <v>47.543999999999997</v>
      </c>
    </row>
    <row r="26" spans="11:12" x14ac:dyDescent="0.3">
      <c r="K26" s="64" t="s">
        <v>125</v>
      </c>
      <c r="L26" s="64">
        <f>M9/L25</f>
        <v>1.0516574120814404</v>
      </c>
    </row>
    <row r="28" spans="11:12" x14ac:dyDescent="0.3">
      <c r="K28" t="s">
        <v>129</v>
      </c>
      <c r="L28">
        <v>11</v>
      </c>
    </row>
    <row r="29" spans="11:12" x14ac:dyDescent="0.3">
      <c r="K29" t="s">
        <v>124</v>
      </c>
      <c r="L29">
        <v>11</v>
      </c>
    </row>
    <row r="30" spans="11:12" x14ac:dyDescent="0.3">
      <c r="K30" s="64" t="s">
        <v>125</v>
      </c>
      <c r="L30" s="64">
        <f>L28/L29</f>
        <v>1</v>
      </c>
    </row>
  </sheetData>
  <mergeCells count="6">
    <mergeCell ref="G10:I10"/>
    <mergeCell ref="B3:F3"/>
    <mergeCell ref="K3:O3"/>
    <mergeCell ref="G7:I7"/>
    <mergeCell ref="G8:I8"/>
    <mergeCell ref="G9:I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74C30-C107-4D9B-99E9-203E5C21CDC2}">
  <sheetPr codeName="Hoja13">
    <tabColor theme="5" tint="-0.249977111117893"/>
  </sheetPr>
  <dimension ref="A1:F27"/>
  <sheetViews>
    <sheetView showGridLines="0" tabSelected="1" workbookViewId="0"/>
  </sheetViews>
  <sheetFormatPr baseColWidth="10" defaultColWidth="11.44140625" defaultRowHeight="14.4" x14ac:dyDescent="0.3"/>
  <cols>
    <col min="3" max="3" width="20.5546875" bestFit="1" customWidth="1"/>
    <col min="4" max="4" width="72.6640625" customWidth="1"/>
    <col min="5" max="5" width="23.5546875" customWidth="1"/>
  </cols>
  <sheetData>
    <row r="1" spans="1:6" x14ac:dyDescent="0.3">
      <c r="E1" s="7"/>
    </row>
    <row r="2" spans="1:6" ht="18" x14ac:dyDescent="0.35">
      <c r="B2" s="6" t="s">
        <v>17</v>
      </c>
      <c r="C2" s="6"/>
      <c r="D2" s="6"/>
      <c r="E2" s="6"/>
    </row>
    <row r="3" spans="1:6" x14ac:dyDescent="0.3">
      <c r="C3" s="9" t="s">
        <v>19</v>
      </c>
      <c r="D3" s="10" t="s">
        <v>255</v>
      </c>
      <c r="E3" t="str">
        <f>IF(TRIM(kURL)="","*Error - Dato requerido","")</f>
        <v/>
      </c>
    </row>
    <row r="4" spans="1:6" x14ac:dyDescent="0.3">
      <c r="C4" s="11" t="s">
        <v>18</v>
      </c>
      <c r="D4" s="12" t="s">
        <v>256</v>
      </c>
      <c r="E4" t="str">
        <f>IF(TRIM(kBD)="","*Error - Dato requerido","")</f>
        <v/>
      </c>
    </row>
    <row r="5" spans="1:6" ht="28.8" x14ac:dyDescent="0.3">
      <c r="C5" s="11" t="s">
        <v>20</v>
      </c>
      <c r="D5" s="12" t="s">
        <v>25</v>
      </c>
      <c r="E5" t="str">
        <f>IF(TRIM(kDirectorio)="","*Error - Dato requerido","")</f>
        <v/>
      </c>
    </row>
    <row r="6" spans="1:6" x14ac:dyDescent="0.3">
      <c r="C6" s="11" t="s">
        <v>21</v>
      </c>
      <c r="D6" s="12" t="s">
        <v>281</v>
      </c>
      <c r="E6" t="str">
        <f>IF(TRIM(kScript)="","*Error - Dato requerido","")</f>
        <v/>
      </c>
    </row>
    <row r="7" spans="1:6" x14ac:dyDescent="0.3">
      <c r="C7" s="11" t="s">
        <v>22</v>
      </c>
      <c r="D7" s="14">
        <v>45586</v>
      </c>
      <c r="E7" t="str">
        <f>IF(TRIM(kFechaDesde)="","*Error - Dato requerido",IF(kFechaDesde&gt;kFechaHasta,"*Error - (Fecha Desde) es mayor a (Fecha Hasta)",""))</f>
        <v/>
      </c>
      <c r="F7" s="8"/>
    </row>
    <row r="8" spans="1:6" x14ac:dyDescent="0.3">
      <c r="A8" s="7"/>
      <c r="C8" s="11" t="s">
        <v>23</v>
      </c>
      <c r="D8" s="14">
        <v>45586</v>
      </c>
      <c r="E8" t="str">
        <f>IF(TRIM(kFechaHasta)="","*Error - Dato requerido",IF(kFechaHasta&lt;kFechaDesde,"*Error - (Fecha hasta) es menor que (Fecha desde)",""))</f>
        <v/>
      </c>
      <c r="F8" s="8"/>
    </row>
    <row r="9" spans="1:6" x14ac:dyDescent="0.3">
      <c r="A9" s="7"/>
    </row>
    <row r="27" spans="5:5" x14ac:dyDescent="0.3">
      <c r="E27" s="7"/>
    </row>
  </sheetData>
  <conditionalFormatting sqref="E3:E8">
    <cfRule type="containsText" dxfId="0" priority="1" operator="containsText" text="eRR">
      <formula>NOT(ISERROR(SEARCH("eRR",E3)))</formula>
    </cfRule>
  </conditionalFormatting>
  <hyperlinks>
    <hyperlink ref="D3" r:id="rId1" xr:uid="{4275AECC-43A5-45B4-8B54-2323879D642C}"/>
  </hyperlinks>
  <pageMargins left="0.7" right="0.7" top="0.75" bottom="0.75" header="0.3" footer="0.3"/>
  <pageSetup orientation="portrait" horizontalDpi="0" verticalDpi="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93FE0-475A-4DDF-B627-2B16DC616094}">
  <sheetPr codeName="Hoja14">
    <tabColor rgb="FF0070C0"/>
    <outlinePr summaryBelow="0" summaryRight="0"/>
  </sheetPr>
  <dimension ref="A1:C18"/>
  <sheetViews>
    <sheetView workbookViewId="0">
      <selection activeCell="C8" sqref="C8"/>
    </sheetView>
  </sheetViews>
  <sheetFormatPr baseColWidth="10" defaultColWidth="11.44140625" defaultRowHeight="14.4" outlineLevelRow="1" x14ac:dyDescent="0.3"/>
  <sheetData>
    <row r="1" spans="1:3" s="5" customFormat="1" x14ac:dyDescent="0.3">
      <c r="A1" s="5" t="s">
        <v>2</v>
      </c>
    </row>
    <row r="2" spans="1:3" outlineLevel="1" x14ac:dyDescent="0.3">
      <c r="A2" s="4" t="s">
        <v>3</v>
      </c>
      <c r="B2" s="4" t="s">
        <v>1</v>
      </c>
      <c r="C2" s="4" t="s">
        <v>4</v>
      </c>
    </row>
    <row r="3" spans="1:3" outlineLevel="1" x14ac:dyDescent="0.3">
      <c r="A3">
        <v>10</v>
      </c>
      <c r="B3" t="s">
        <v>5</v>
      </c>
      <c r="C3" t="str">
        <f>TEXT(A3,"000")&amp;"-"&amp;B3</f>
        <v>010-Reportado</v>
      </c>
    </row>
    <row r="4" spans="1:3" outlineLevel="1" x14ac:dyDescent="0.3">
      <c r="A4">
        <v>20</v>
      </c>
      <c r="B4" t="s">
        <v>6</v>
      </c>
      <c r="C4" t="str">
        <f t="shared" ref="C4:C9" si="0">TEXT(A4,"000")&amp;"-"&amp;B4</f>
        <v>020-En proceso</v>
      </c>
    </row>
    <row r="5" spans="1:3" outlineLevel="1" x14ac:dyDescent="0.3">
      <c r="A5">
        <v>30</v>
      </c>
      <c r="B5" t="s">
        <v>7</v>
      </c>
      <c r="C5" t="str">
        <f t="shared" si="0"/>
        <v>030-Para QA</v>
      </c>
    </row>
    <row r="6" spans="1:3" outlineLevel="1" x14ac:dyDescent="0.3">
      <c r="A6">
        <v>40</v>
      </c>
      <c r="B6" t="s">
        <v>8</v>
      </c>
      <c r="C6" t="str">
        <f t="shared" si="0"/>
        <v>040-En QA</v>
      </c>
    </row>
    <row r="7" spans="1:3" outlineLevel="1" x14ac:dyDescent="0.3">
      <c r="A7">
        <v>50</v>
      </c>
      <c r="B7" t="s">
        <v>9</v>
      </c>
      <c r="C7" t="str">
        <f t="shared" si="0"/>
        <v>050-Falló QA</v>
      </c>
    </row>
    <row r="8" spans="1:3" outlineLevel="1" x14ac:dyDescent="0.3">
      <c r="A8">
        <v>60</v>
      </c>
      <c r="B8" t="s">
        <v>10</v>
      </c>
      <c r="C8" t="str">
        <f t="shared" si="0"/>
        <v>060-Finalizado</v>
      </c>
    </row>
    <row r="9" spans="1:3" outlineLevel="1" x14ac:dyDescent="0.3">
      <c r="A9">
        <v>70</v>
      </c>
      <c r="B9" t="s">
        <v>11</v>
      </c>
      <c r="C9" t="str">
        <f t="shared" si="0"/>
        <v>070-Cancelado</v>
      </c>
    </row>
    <row r="10" spans="1:3" outlineLevel="1" x14ac:dyDescent="0.3"/>
    <row r="12" spans="1:3" s="5" customFormat="1" x14ac:dyDescent="0.3">
      <c r="A12" s="5" t="s">
        <v>12</v>
      </c>
    </row>
    <row r="13" spans="1:3" outlineLevel="1" x14ac:dyDescent="0.3">
      <c r="A13" s="4" t="s">
        <v>3</v>
      </c>
      <c r="B13" s="4" t="s">
        <v>1</v>
      </c>
      <c r="C13" s="4" t="s">
        <v>4</v>
      </c>
    </row>
    <row r="14" spans="1:3" outlineLevel="1" x14ac:dyDescent="0.3">
      <c r="A14">
        <v>40</v>
      </c>
      <c r="B14" t="s">
        <v>13</v>
      </c>
      <c r="C14" t="str">
        <f t="shared" ref="C14:C17" si="1">TEXT(A14,"000")&amp;"-"&amp;B14</f>
        <v>040-Crítica</v>
      </c>
    </row>
    <row r="15" spans="1:3" outlineLevel="1" x14ac:dyDescent="0.3">
      <c r="A15">
        <v>30</v>
      </c>
      <c r="B15" t="s">
        <v>14</v>
      </c>
      <c r="C15" t="str">
        <f t="shared" si="1"/>
        <v>030-Alta</v>
      </c>
    </row>
    <row r="16" spans="1:3" outlineLevel="1" x14ac:dyDescent="0.3">
      <c r="A16">
        <v>20</v>
      </c>
      <c r="B16" t="s">
        <v>15</v>
      </c>
      <c r="C16" t="str">
        <f t="shared" si="1"/>
        <v>020-Normal</v>
      </c>
    </row>
    <row r="17" spans="1:3" outlineLevel="1" x14ac:dyDescent="0.3">
      <c r="A17">
        <v>10</v>
      </c>
      <c r="B17" t="s">
        <v>16</v>
      </c>
      <c r="C17" t="str">
        <f t="shared" si="1"/>
        <v>010-Baja</v>
      </c>
    </row>
    <row r="18" spans="1:3" outlineLevel="1" x14ac:dyDescent="0.3"/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NTTab01" label="CN-Mesa Ayuda/Infra">
        <group id="NTGrp01" label="Cálculos">
          <button id="NTBtn003001" label="Calcular Métricas" size="large" imageMso="Refresh" onAction="NTProcesarMenuPartesHoras"/>
        </group>
        <group id="NTGrp02" label="Importación Odoo">
          <button id="NTBtn003002" label="Importar" size="large" imageMso="GetExternalDataImportClassic" onAction="NTProcesarMenuPartesHoras"/>
        </group>
        <group id="NTGrp03" label="Procesos Generales">
          <button id="NTBtn003003" label="Crear Hojas Externas" size="large" imageMso="CreateHandoutsInWord" onAction="NTProcesarMenuPartesHoras"/>
          <button id="NTBtn003004" label="Borrar Métricas" size="large" imageMso="TableEraser" onAction="NTProcesarMenuPartesHoras"/>
        </group>
        <group id="NTGrp04" label="Configuraciones">
          <button id="NTBtn003005" label="CFG Indicadores" size="large" imageMso="PivotTableFieldSettings" onAction="NTProcesarMenuPartesHoras"/>
          <button id="NTBtn003006" label="Template" size="large" imageMso="DocumentPanelTemplate" onAction="NTProcesarMenuPartesHoras"/>
          <button id="NTBtn003007" label="CFG Conexión" size="large" imageMso="ServerConnection" onAction="NTProcesarMenuPartesHoras"/>
        </group>
        <group id="NTGrp99" label="Ayuda">
          <button id="NTBtn003999" label="Acerca de" size="large" imageMso="Info" onAction="NTProcesarMenuPartesHora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0603B5-D1BC-4FF4-8A38-598703B067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16</vt:i4>
      </vt:variant>
    </vt:vector>
  </HeadingPairs>
  <TitlesOfParts>
    <vt:vector size="25" baseType="lpstr">
      <vt:lpstr>_Template</vt:lpstr>
      <vt:lpstr>_CFG Indicadores</vt:lpstr>
      <vt:lpstr>Datos Resumen</vt:lpstr>
      <vt:lpstr>Odoo Datos</vt:lpstr>
      <vt:lpstr>Dashboard Base</vt:lpstr>
      <vt:lpstr>Dashboard</vt:lpstr>
      <vt:lpstr>Matirz a partir de Agosto</vt:lpstr>
      <vt:lpstr>Parámetros</vt:lpstr>
      <vt:lpstr>_tbl</vt:lpstr>
      <vt:lpstr>_kMeta01</vt:lpstr>
      <vt:lpstr>_kMeta02</vt:lpstr>
      <vt:lpstr>_kMeta03</vt:lpstr>
      <vt:lpstr>_kMeta04</vt:lpstr>
      <vt:lpstr>_kPeso01</vt:lpstr>
      <vt:lpstr>_kPeso02</vt:lpstr>
      <vt:lpstr>_kPeso03</vt:lpstr>
      <vt:lpstr>_kPeso04</vt:lpstr>
      <vt:lpstr>_RangoTemplate</vt:lpstr>
      <vt:lpstr>kBD</vt:lpstr>
      <vt:lpstr>kDirectorio</vt:lpstr>
      <vt:lpstr>kFechaDesde</vt:lpstr>
      <vt:lpstr>kFechaHasta</vt:lpstr>
      <vt:lpstr>kMargenAceptacionMinutos</vt:lpstr>
      <vt:lpstr>kScript</vt:lpstr>
      <vt:lpstr>kURL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jalj153 Julio de León</dc:creator>
  <cp:lastModifiedBy>Julio de León</cp:lastModifiedBy>
  <cp:lastPrinted>2024-04-16T00:08:55Z</cp:lastPrinted>
  <dcterms:created xsi:type="dcterms:W3CDTF">2024-04-11T16:44:07Z</dcterms:created>
  <dcterms:modified xsi:type="dcterms:W3CDTF">2025-02-17T23:51:26Z</dcterms:modified>
</cp:coreProperties>
</file>