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703F6E71-5DEA-4A3C-ACFA-D61197C6CD96}" xr6:coauthVersionLast="47" xr6:coauthVersionMax="47" xr10:uidLastSave="{00000000-0000-0000-0000-000000000000}"/>
  <bookViews>
    <workbookView xWindow="28680" yWindow="-120" windowWidth="29040" windowHeight="15720" tabRatio="757" activeTab="1" xr2:uid="{00000000-000D-0000-FFFF-FFFF00000000}"/>
  </bookViews>
  <sheets>
    <sheet name="Dashboard" sheetId="149" r:id="rId1"/>
    <sheet name="_odoo_datos" sheetId="20" r:id="rId2"/>
    <sheet name="Gerencia" sheetId="147" r:id="rId3"/>
    <sheet name="Parámetros" sheetId="15" state="hidden" r:id="rId4"/>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 name="NativeTimeline_fEspecial">#N/A</definedName>
  </definedNames>
  <calcPr calcId="191029"/>
  <pivotCaches>
    <pivotCache cacheId="0" r:id="rId5"/>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1" r:id="rId6"/>
      </x15:timelineCachePivotCaches>
    </ext>
    <ext xmlns:x15="http://schemas.microsoft.com/office/spreadsheetml/2010/11/main" uri="{D0CA8CA8-9F24-4464-BF8E-62219DCF47F9}">
      <x15:timelineCacheRefs>
        <x15:timelineCacheRef r:id="rId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5" l="1"/>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<sst xmlns="http://schemas.openxmlformats.org/spreadsheetml/2006/main" count="756" uniqueCount="301">
  <si>
    <t>CONEXIÓN Odoo</t>
  </si>
  <si>
    <t xml:space="preserve">Directorio Aplicación: </t>
  </si>
  <si>
    <t xml:space="preserve">Fecha desde: </t>
  </si>
  <si>
    <t xml:space="preserve">Fecha hasta: </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</si>
  <si>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</si>
  <si>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</si>
  <si>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</si>
  <si>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</si>
  <si>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</si>
  <si>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</si>
  <si>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</si>
  <si>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</si>
  <si>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</si>
  <si>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</si>
  <si>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</si>
  <si>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</si>
  <si>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</si>
  <si>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</si>
  <si>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</si>
  <si>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</si>
  <si>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</si>
  <si>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</si>
  <si>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</si>
  <si>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</si>
  <si>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</si>
  <si>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</si>
  <si>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</si>
  <si>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</si>
  <si>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</si>
  <si>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</si>
  <si>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</si>
  <si>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</si>
  <si>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</si>
  <si>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</si>
  <si>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</si>
  <si>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</si>
  <si>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</si>
  <si>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</si>
  <si>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</si>
  <si>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</si>
  <si>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</si>
  <si>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(275) PROCESO  ** Cambios para grabar presupuestos pintura en SAP, reporte y validaciones</t>
  </si>
  <si>
    <t>DOUGLAS ALEJANDRO MALDONADO DUMAS</t>
  </si>
  <si>
    <t>40-DESARROLLO</t>
  </si>
  <si>
    <t>Carlos Rosales</t>
  </si>
  <si>
    <t>x</t>
  </si>
  <si>
    <t>&lt;p&gt;PROCESO  ** Cambios para grabar presupuestos pintura en SAP, reporte y validaciones&lt;/p&gt;</t>
  </si>
  <si>
    <t>(278) BI  ** Configuración de puerta de enlace para Power BI para Douglas Maldonado</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</si>
  <si>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</si>
  <si>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</si>
  <si>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</si>
  <si>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20-ASIGNADO</t>
  </si>
  <si>
    <t>Josue Eleazar Chet Cuellar</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</si>
  <si>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</si>
  <si>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</si>
  <si>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</si>
  <si>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</si>
  <si>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</si>
  <si>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</si>
  <si>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</si>
  <si>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(283) CARGA DE DATOS ** Clasificación de clientes para carga masiva de SAP solicitada por Rene Cotto</t>
  </si>
  <si>
    <t>ARNALDO RENE COTTO STREMS</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</si>
  <si>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</si>
  <si>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</si>
  <si>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</si>
  <si>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</si>
  <si>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</si>
  <si>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</si>
  <si>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60-CERTIFICADO</t>
  </si>
  <si>
    <t>&lt;p&gt;PROCESO ** Cubo para analisis de personal activo y retirado, para realizar un kpi de rotación de personal&lt;/p&gt;</t>
  </si>
  <si>
    <t>(286) PROCESO ** Seguimiento a Cuadtratica para Vesa</t>
  </si>
  <si>
    <t>&lt;p&gt;PROCESO ** Seguimiento a Cuadtratica para Vesa&lt;/p&gt;&lt;p&gt;PENDIENTE DE ASIGNAR LUIS GONZALEZ&lt;/p&gt;</t>
  </si>
  <si>
    <t>(287) MEJORAS  ** Procesos de anulación en medios de pago SAP</t>
  </si>
  <si>
    <t>&lt;p&gt;MEJORAS  ** Procesos de anulación en medios de pago SAP&lt;/p&gt;&lt;p&gt;PENDIENTE DE ASIGNAR LUIS GONZALEZ&lt;/p&gt;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</si>
  <si>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</si>
  <si>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SULY DANIELA CHUN SANTOS de RIVERA</t>
  </si>
  <si>
    <t>50-IMPLEMENTACION</t>
  </si>
  <si>
    <t>Daniel Castillo</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</si>
  <si>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</si>
  <si>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</si>
  <si>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</si>
  <si>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</si>
  <si>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</si>
  <si>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</si>
  <si>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</si>
  <si>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</si>
  <si>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</si>
  <si>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</si>
  <si>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</si>
  <si>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</si>
  <si>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GABRIEL EFRAIN MELENDEZ MARROQUIN</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</si>
  <si>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</si>
  <si>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(305) PROCESO ** Implementación de RPA para confirmación de boletas de deposito</t>
  </si>
  <si>
    <t>&lt;p&gt;PROCESO ** Implementación de RPA para confirmación de boletas de deposito&lt;/p&gt;&lt;p&gt;&lt;br&gt;&lt;/p&gt;</t>
  </si>
  <si>
    <t>(309) PROCESO  ** Implementación del Sistema de PinPads para el manejo de Cajas en Facturación Fase 1</t>
  </si>
  <si>
    <t>&lt;p&gt;PROCESO  ** Implementación del Sistema de PinPads para el manejo de Cajas en Facturación Fase 1&lt;/p&gt;&lt;p&gt;PENDIENTE DE ASIGNAR MARVIN VARGAS&lt;/p&gt;</t>
  </si>
  <si>
    <t>(312) PROCESO ** Conexión a SAP para  consultas de CQM Yamaha</t>
  </si>
  <si>
    <t>EDUARDO JACOBO ARA GÓMEZ</t>
  </si>
  <si>
    <t>&lt;p&gt;PROCESO ** Conexión a SAP para  consultas de CQM Yamaha&lt;/p&gt;&lt;p&gt;PENDIENTE DE ASIGNAR MARVIN VARGAS&lt;/p&gt;</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</si>
  <si>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</si>
  <si>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</si>
  <si>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</si>
  <si>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</si>
  <si>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Erick Estuardo Hernandez Andrino</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</si>
  <si>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</si>
  <si>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</si>
  <si>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</si>
  <si>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</si>
  <si>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(318) PROCESO ** Seguimiento al proceso cotización de equipos y respuetos de Maquinaria, realizar webservices con SAP</t>
  </si>
  <si>
    <t>YESVI AVIGAIL ELIAS ORIZABAL</t>
  </si>
  <si>
    <t>&lt;p&gt;PROCESO ** Seguimiento al proceso cotización de equipos y respuetos de Maquinaria, realizar webservices con SAP&lt;/p&gt;&lt;p&gt;PENDIENTE DE ASIGNAR MARVIN VARGAS&lt;/p&gt;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</si>
  <si>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</si>
  <si>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</si>
  <si>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</si>
  <si>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</si>
  <si>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</si>
  <si>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</si>
  <si>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Gerson Castro</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</si>
  <si>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</si>
  <si>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</si>
  <si>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</si>
  <si>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</si>
  <si>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</si>
  <si>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</si>
  <si>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(331) WMS  ** Implementación de WMS en Elisur. Las otras bodegas serán tickets adicionales (Bodega zona4, Taller Automotriz, Bodega Hyundai)</t>
  </si>
  <si>
    <t>CESAR ORLANDO MARTINEZ ABAL</t>
  </si>
  <si>
    <t>Jose Pablo Reyes Gonzalez</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</si>
  <si>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</si>
  <si>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</si>
  <si>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</si>
  <si>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</si>
  <si>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</si>
  <si>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Williams Galvan</t>
  </si>
  <si>
    <t>&lt;p&gt;PROCESO ** Implementación de EVOLUTION sistema de RRHH&lt;/p&gt;</t>
  </si>
  <si>
    <t>(343) PROCESO ** Implementación de SAP 10 para la Empresa Canella</t>
  </si>
  <si>
    <t>&lt;p&gt;PROCESO ** Implementación de SAP 10 para la Empresa Canella&lt;/p&gt;</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</si>
  <si>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</si>
  <si>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</si>
  <si>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</si>
  <si>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Jose Andres Chajon Cueto</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</si>
  <si>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</si>
  <si>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</si>
  <si>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</si>
  <si>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</si>
  <si>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</si>
  <si>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</si>
  <si>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</si>
  <si>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</si>
  <si>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</si>
  <si>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</si>
  <si>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</si>
  <si>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(367) Mejoras al sistema SQM y STOD en la parte de registro de Leas y Cotizaciones para que no exista doble digitación</t>
  </si>
  <si>
    <t>MANUEL RAMIRO LOPEZ PIEDRASANTA</t>
  </si>
  <si>
    <t>10-COLA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</si>
  <si>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</si>
  <si>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</si>
  <si>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</si>
  <si>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</si>
  <si>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Julio de León</t>
  </si>
  <si>
    <t>API</t>
  </si>
  <si>
    <t>(NT) Test Williams Galván</t>
  </si>
  <si>
    <t>JULIO RENE PAIZ ANDRADE</t>
  </si>
  <si>
    <t>Antonio Manuel Alejandro García González</t>
  </si>
  <si>
    <t>AMI PAOLA YOC LOPEZ</t>
  </si>
  <si>
    <t>Ajuste de reporte de STOD MOVIL</t>
  </si>
  <si>
    <t>REPORTE</t>
  </si>
  <si>
    <t>MEDIA</t>
  </si>
  <si>
    <t>PEQUEÑO</t>
  </si>
  <si>
    <t>Ajustes al reporte - REP - TableroDistribuicion Z13 - Entregas Pendientes (Caja)</t>
  </si>
  <si>
    <t>SOPORTE/CAPACITACION</t>
  </si>
  <si>
    <t>BAJA</t>
  </si>
  <si>
    <t>30-ANALISIS</t>
  </si>
  <si>
    <t>Carlos Eduardo Galindo Miranda</t>
  </si>
  <si>
    <t>&lt;p&gt;Se necesita enviar un correo por el cual se avisara a los socios de negocio de distribución Yamaha que tiene un portal en el cual pueden ingresar para ver su estado de cuentas.&lt;/p&gt;</t>
  </si>
  <si>
    <t>Autorización de facturas de Proveedores externos</t>
  </si>
  <si>
    <t>ASTRID VICTORIA PEÑA DIEGUEZ</t>
  </si>
  <si>
    <t>Olga María Hinestroza Lima</t>
  </si>
  <si>
    <t>PROCESO</t>
  </si>
  <si>
    <t>MEDIANO</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</si>
  <si>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</si>
  <si>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&lt;p&gt; ** PROCESO Implementación del sistema de cobro de calle en ODOO. Luis Polanco fue el solicitante **  ** &lt;/p&gt;</t>
  </si>
  <si>
    <t>CARLOS JOSE REMBERTO CONTRERAS FLORIAN</t>
  </si>
  <si>
    <t>ROSA SOFIA PIRIR FERNANDEZ de SANCHEZ</t>
  </si>
  <si>
    <t>Gerson Gabriel Flores Montúfar</t>
  </si>
  <si>
    <t>&lt;p&gt; ** Obtención de Entrada de Mercancía, notificación automática a Proveedor para envío y validación de documentos, API para generación de factura desde SAP **  ** &lt;/p&gt;</t>
  </si>
  <si>
    <t>EDWARD ANTONY GARCIA ALVARADO</t>
  </si>
  <si>
    <t>ANA CAROLINA PALACIOS GONZALEZ de MENENDEZ</t>
  </si>
  <si>
    <t>Reporte compras para Auditoria</t>
  </si>
  <si>
    <t>EMILIA LETICIA DIAZ MAZARIEGOS</t>
  </si>
  <si>
    <t>&lt;p&gt;Reporte de facturas de compras por servicios en SAP Canella, Maquipos y VESA, según modelo enviado.&lt;/p&gt;</t>
  </si>
  <si>
    <t>Reporte de interfaces</t>
  </si>
  <si>
    <t>WILLIAMS GIOVANNI GALVAN ESTRADA</t>
  </si>
  <si>
    <t>&lt;p&gt; ** INDICADORES Consulta de ventas, KPI, clientes para utliizar en el celular **  ** &lt;/p&gt;</t>
  </si>
  <si>
    <t>Reporte del detalle de usuario en entregas SAP (CN006)</t>
  </si>
  <si>
    <t>&lt;p&gt;En una aplicación web los clientes deben poder ver sus pedidos con su respectivo estatus Pedido, Oferta, Orden, Entrega, Facturado, etc. &lt;/p&gt;</t>
  </si>
  <si>
    <t>Soporte (CN006)</t>
  </si>
  <si>
    <t>Soporte Carga de Excel a STOD (CN006)</t>
  </si>
  <si>
    <t>ALVARO LEONEL GUTIERREZ LOPEZ</t>
  </si>
  <si>
    <t>Soporte Contabilidad Corte de Caja</t>
  </si>
  <si>
    <t>NANCY ELIZABETH ALVARADO TOLEDO</t>
  </si>
  <si>
    <t>Soporte en creación Recibos de Pago</t>
  </si>
  <si>
    <t>JOSE LUIS PRADO PORTILLO</t>
  </si>
  <si>
    <t>Soporte enero (CN006)</t>
  </si>
  <si>
    <t>Soporte febrero (CN006)</t>
  </si>
  <si>
    <t>Soporte query saldo de cuenta</t>
  </si>
  <si>
    <t>KAREN SELENA MENDIZABAL LOPEZ</t>
  </si>
  <si>
    <t>Soporte y documentación de proyectos (CN006)</t>
  </si>
  <si>
    <t>Traslado de sitio web Dashboard MOTUL</t>
  </si>
  <si>
    <t>&lt;p&gt;Se solicita trasladar el sitio web que contiene el Dashboard de ventas MOTUL ya que este no se encuentra operando actualmente.&lt;/p&gt;</t>
  </si>
  <si>
    <t>LEIDI PAOLA ESQUIVEL RAMIREZ</t>
  </si>
  <si>
    <t>&lt;p&gt; ** Implementación del Sistema de Contraseñas de Proveedores Locales SAP/LASERFICHE **  ** &lt;/p&gt;</t>
  </si>
  <si>
    <t>&lt;p&gt; ** Proceso para creación proveedores con generación automática de código en SAP, alertas para actualización de datos y documentos, validación interna, almacenamiento y clasificación de expediente de proveedor. **  ** &lt;/p&gt;</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</si>
  <si>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</si>
  <si>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Reserva de vehículo - Isuzu Subdistribuidor</t>
  </si>
  <si>
    <t>&lt;p&gt; ** SEGUIMIENTO Soporte al Sistema de Cobranza en ODOO. Edward Garcia fue el solicitante **  ** &lt;/p&gt;</t>
  </si>
  <si>
    <t>Soporte PINPAD</t>
  </si>
  <si>
    <t>&lt;p&gt;Carga de estado de cuenta MT940 banco industrial hacia SAP Canella&lt;/p&gt;</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</si>
  <si>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</si>
  <si>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</si>
  <si>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Soporte Carga masiva Contabilidad TC Credomatic</t>
  </si>
  <si>
    <t>MADELYN SUSANA BRAN OLIVAREZ</t>
  </si>
  <si>
    <t>Soporte RPA - Boletas</t>
  </si>
  <si>
    <t>&lt;p&gt;Seguimiento con problemas con las boletas de los bancos, problemas de estados de cuentas, cheques etc.&lt;/p&gt;</t>
  </si>
  <si>
    <t>&lt;p&gt;Pruebas de impresión de lote de expedientes con personal del departamento de Placas ubicados en Yamaha Liberación, validando orden, expedientes completos, reimpresión y bitácora de estado de expedientes.&lt;/p&gt;</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</si>
  <si>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</si>
  <si>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Soporte MT940 GYT</t>
  </si>
  <si>
    <t>&lt;p&gt; ** MEJORAS Traslado del módulo de pases de salida de SAP a STOD **  ** &lt;/p&gt;</t>
  </si>
  <si>
    <t>&lt;p&gt; ** PROCESO Crear códigos de activos fijos por medio de un archivo Excel.&lt;/p&gt;</t>
  </si>
  <si>
    <t>&lt;p&gt; ** Ajustes al modulo de Recall con las indicaciones de Taller Automotriz **  ** &lt;/p&gt;</t>
  </si>
  <si>
    <t>&lt;p&gt;Se debe enviar un correo a Edward Garcia notificando y adjuntando el PDF del pago recibido&amp;nbsp;cuando se crea en SAP Canella.&lt;/p&gt;</t>
  </si>
  <si>
    <t>Etiquetas de fila</t>
  </si>
  <si>
    <t>(en blanco)</t>
  </si>
  <si>
    <t>Total general</t>
  </si>
  <si>
    <t>Cuenta de Es único?</t>
  </si>
  <si>
    <t>(313) Información sobre la data del FEIC distribuidores para que se ingresen en un sitio web</t>
  </si>
  <si>
    <t>(372) Se da soporte al proceso de confirmación de boletas en el caso donde se confirmo una boleta con banco incorrecto y en donde el detalle de montos</t>
  </si>
  <si>
    <t>Etiquetas de columna</t>
  </si>
  <si>
    <t>(Varios elementos)</t>
  </si>
  <si>
    <t>cn006_kpis_excel_v020.py</t>
  </si>
  <si>
    <t>(277) Reporte de inventario Motul (CN006)</t>
  </si>
  <si>
    <t>(279) Mejora interface API SCON WEB (CN006)</t>
  </si>
  <si>
    <t>(296) ACTUALIZACION ESTADOS DE CUENTA DE BANCOS (CN006)</t>
  </si>
  <si>
    <t>(297) REPORTE DE SAP CAJA GENERAL</t>
  </si>
  <si>
    <t>(298) Actualizar campo de usuario y creación PDF con dato Autorizador en la orden de compra. (CN006)</t>
  </si>
  <si>
    <t>(301) Ajustes a los libros fiscales en todos los SAP (CN006)</t>
  </si>
  <si>
    <t>(302) Proceso para cargas masivas de medios de pago (CN006)</t>
  </si>
  <si>
    <t>(304) Consultas para reconciliaciones operados en Banco Industrial (CN006)</t>
  </si>
  <si>
    <t>(310) Ajustes de sistema estados de cuentas (CN006)</t>
  </si>
  <si>
    <t>(319)SEGUIMIENTO A PEDIDOS (TRACKING) - KRAS(CN006)</t>
  </si>
  <si>
    <t>(321)Creditos y Cobros Fase 2 - Cobro a domiciliario(CN006)</t>
  </si>
  <si>
    <t>(328) PROCESO Robot que confirma boletas y valida duplicidad para Créditos y Cobros.  Edward Garcia fue el solicitante</t>
  </si>
  <si>
    <t>(329) Cubos de BI sobre plataforma de Ucontact para análisis de datos (CN006)</t>
  </si>
  <si>
    <t>(330)PROCESO Plantilla para grabar extensiones e ISR(CN006)</t>
  </si>
  <si>
    <t>(340) MEJORAS Ajustes a eSFA para que se muestre la trazabilidad de tiempo de atención de visitas al cliente (CN006)</t>
  </si>
  <si>
    <t>(342) PROCESO Mejoras en los tiempos de impresión de facturas y certificación con Guatefacturas(CN006)</t>
  </si>
  <si>
    <t>(344) PROCESO Automatización de carga extracto bancario de las cuentas BANRURAL para la empresa CANELLA - MT940(CN006)</t>
  </si>
  <si>
    <t>(353) Obtención de Entrada de Mercancía y generación de factura (CN006)</t>
  </si>
  <si>
    <t>(354) Subdistribuidores Isuzu (CN006)</t>
  </si>
  <si>
    <t>(359) Reporte facturas Admin Seguridad (CN006)</t>
  </si>
  <si>
    <t>(360) Digitalización y clasificación de DUCAS e IPrimas (CN006)</t>
  </si>
  <si>
    <t>(362) Actualización Masiva de Asientos Contables (CN006)</t>
  </si>
  <si>
    <t>(363) Corrección y Mejoras en el FEIC (CN006)</t>
  </si>
  <si>
    <t>(373) RPA Mr Credit - Envío de facturas (CN006)</t>
  </si>
  <si>
    <t>(NT) Test 01 (CN006) (cambiado)(Spanish GT)</t>
  </si>
  <si>
    <t>(NT) Test idioma (cambiado)</t>
  </si>
  <si>
    <t>Implementación de Sistema de Contraseñas de Proveedores Exterior</t>
  </si>
  <si>
    <t>Soporte Archivo Carga hacia banca BI</t>
  </si>
  <si>
    <t>Soporte Certificación Facturas Mr. Credit</t>
  </si>
  <si>
    <t>DENIS OSWALDO ILLESCAS DE LEON</t>
  </si>
  <si>
    <t>soporte Pagos por anticipo ( medios de pago).</t>
  </si>
  <si>
    <t>(299) Agregar la opción "Depósitos Mixtos" al módulo de Recibos de Caja (CN006)</t>
  </si>
  <si>
    <t>(303) Desarrollo de modulo de lavado de vehículos</t>
  </si>
  <si>
    <t>(325)Soporte Creditos y Cobros General</t>
  </si>
  <si>
    <t>(327) Implementación de Sistema de Contraseñas de Proveedores Locales</t>
  </si>
  <si>
    <t>(338) Reporte de Geolocalizacion interstate (CN006)</t>
  </si>
  <si>
    <t>(352) Placas Yamaha (CN006)</t>
  </si>
  <si>
    <t>(361) Optimización de creación y actualización de Proveedores (CN006)</t>
  </si>
  <si>
    <t>(369) Reporte de SAP sobre las cajas de repuestos</t>
  </si>
  <si>
    <t>(370) Corrección de pantalla de gestión de correos de contratos de mantenimiento</t>
  </si>
  <si>
    <t>Reunion eSFA SAP 10</t>
  </si>
  <si>
    <t>JOSE LUIS MONZON GARCIA</t>
  </si>
  <si>
    <t>(276) Renovación de SISCON (CN006)</t>
  </si>
  <si>
    <t>(292) Sistema de encuestas Taller Isuzu (CN006)</t>
  </si>
  <si>
    <t>(332) RPA de confirmación de boletas bancarias Créditos y Cobros</t>
  </si>
  <si>
    <t>(333) Reporte Traslado Tecnología V2 (CN006)</t>
  </si>
  <si>
    <t>(335) Conciliación bancaria MT940BI(CN006)</t>
  </si>
  <si>
    <t>(366) Desarrollo de reporte de personal 2024 de Taller Isuzu (CN006)</t>
  </si>
  <si>
    <t>(374) Soporte impresión Yamaha (CN006)</t>
  </si>
  <si>
    <t>soporte instalación y pruebas DTW</t>
  </si>
  <si>
    <t>(295) MEJORAS: Traslado del módulo de pases de salida de SAP a STOD</t>
  </si>
  <si>
    <t>(317) RPA Retenciones - ISR(CN006)</t>
  </si>
  <si>
    <t>(334) Optimizacion de Llamadas de Servicio (CN006)</t>
  </si>
  <si>
    <t>Soporte eSFA corte de caja</t>
  </si>
  <si>
    <t>(290) Módulo de RECALL taller ISUZU (CN006)</t>
  </si>
  <si>
    <t>(308) Carga masiva de Activo Fijo (CN006)</t>
  </si>
  <si>
    <t>(339) Sistema de Cubos ABC (CN006)</t>
  </si>
  <si>
    <t>Reporte Proyección PROY_PROCESARACTUALIZACION</t>
  </si>
  <si>
    <t>ALTA</t>
  </si>
  <si>
    <t>(307) Envío de correo al crear Pagos Recibidos en SAP (CN006)</t>
  </si>
  <si>
    <t>(336) Mejoras a SAP</t>
  </si>
  <si>
    <t>(371) Soporte de ingreso de datos para presupuestos de pintura (CN006)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</si>
</sst>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dd:hh:mm:ss"/>
  </numFmts>
  <fonts count="6"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s>
  <fills count="7">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
      <patternFill patternType="solid">
        <fgColor theme="6" tint="0.59999389629810485"/>
        <bgColor indexed="64"/>
      </patternFill>
    </fill>
  </fills>
  <borders count="3">
    <border>
      <left/>
      <right/>
      <top/>
      <bottom/>
      <diagonal/>
    </border>
    <border>
      <left/>
      <right/>
      <top/>
      <bottom style="hair">
        <color auto="1"/>
      </bottom>
      <diagonal/>
    </border>
    <border>
      <left/>
      <right/>
      <top style="hair">
        <color auto="1"/>
      </top>
      <bottom style="hair">
        <color auto="1"/>
      </bottom>
      <diagonal/>
    </border>
  </borders>
  <cellStyleXfs count="2">
    <xf numFmtId="0" fontId="0" fillId="0" borderId="0"/>
    <xf numFmtId="0" fontId="1" fillId="2" borderId="0" applyNumberFormat="0" applyBorder="0" applyAlignment="0" applyProtection="0"/>
  </cellStyleXfs>
  <cellXfs count="18">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0" fontId="0" fillId="6" borderId="0" xfId="0" applyFill="1" applyAlignment="1">
      <alignment horizontal="left"/>
    </xf>
    <xf numFmtId="0" fontId="0" fillId="6" borderId="0" xfId="0" applyFill="1"/>
  </cellXfs>
  <cellStyles count="2">
    <cellStyle name="Bueno" xfId="1" builtinId="26"/>
    <cellStyle name="Normal" xfId="0" builtinId="0"/>
  </cellStyles>
  <dxfs count="49">
    <dxf>
      <font>
        <color rgb="FF9C0006"/>
      </font>
      <fill>
        <patternFill>
          <bgColor rgb="FFFFC7CE"/>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fill>
        <patternFill patternType="solid">
          <bgColor theme="6" tint="0.59999389629810485"/>
        </patternFill>
      </fill>
    </dxf>
    <dxf>
      <numFmt numFmtId="0" formatCode="General"/>
    </dxf>
    <dxf>
      <numFmt numFmtId="19" formatCode="yyyy/mm/dd"/>
    </dxf>
    <dxf>
      <numFmt numFmtId="19" formatCode="yyyy/mm/dd"/>
    </dxf>
    <dxf>
      <numFmt numFmtId="19" formatCode="yyyy/mm/dd"/>
    </dxf>
    <dxf>
      <numFmt numFmtId="19" formatCode="yyyy/mm/dd"/>
    </dxf>
    <dxf>
      <numFmt numFmtId="19"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dxf>
    <dxf>
      <numFmt numFmtId="1" formatCode="0"/>
    </dxf>
    <dxf>
      <numFmt numFmtId="1" formatCode="0"/>
    </dxf>
    <dxf>
      <numFmt numFmtId="0" formatCode="General"/>
    </dxf>
    <dxf>
      <numFmt numFmtId="19" formatCode="yyyy/mm/dd"/>
    </dxf>
  </dxfs>
  <tableStyles count="0" defaultTableStyle="TableStyleMedium9" defaultPivotStyle="PivotStyleLight16"/>
  <colors>
    <mruColors>
      <color rgb="FFFFFF99"/>
      <color rgb="FF66FFFF"/>
      <color rgb="FFCC99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11/relationships/timelineCache" Target="timelineCaches/timeline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23/09/relationships/Python" Target="pyth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419"/>
              <a:t>COMPARATIVO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Lit>
              <c:formatCode>General</c:formatCode>
              <c:ptCount val="5"/>
              <c:pt idx="0">
                <c:v>1</c:v>
              </c:pt>
              <c:pt idx="1">
                <c:v>2</c:v>
              </c:pt>
              <c:pt idx="2">
                <c:v>3</c:v>
              </c:pt>
              <c:pt idx="3">
                <c:v>4</c:v>
              </c:pt>
              <c:pt idx="4">
                <c:v>5</c:v>
              </c:pt>
            </c:numLit>
          </c:cat>
          <c:val>
            <c:numLit>
              <c:formatCode>General</c:formatCode>
              <c:ptCount val="5"/>
              <c:pt idx="0">
                <c:v>21</c:v>
              </c:pt>
              <c:pt idx="1">
                <c:v>19</c:v>
              </c:pt>
              <c:pt idx="2">
                <c:v>6</c:v>
              </c:pt>
              <c:pt idx="3">
                <c:v>1</c:v>
              </c:pt>
              <c:pt idx="4">
                <c:v>1</c:v>
              </c:pt>
            </c:numLit>
          </c:val>
          <c:smooth val="0"/>
          <c:extLst>
            <c:ext xmlns:c16="http://schemas.microsoft.com/office/drawing/2014/chart" uri="{C3380CC4-5D6E-409C-BE32-E72D297353CC}">
              <c16:uniqueId val="{00000000-B7F7-4C2B-B07A-A7AD1F83AE4D}"/>
            </c:ext>
          </c:extLst>
        </c:ser>
        <c:ser>
          <c:idx val="1"/>
          <c:order val="1"/>
          <c:tx>
            <c:v>Series2</c:v>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Lit>
              <c:formatCode>General</c:formatCode>
              <c:ptCount val="5"/>
              <c:pt idx="0">
                <c:v>1</c:v>
              </c:pt>
              <c:pt idx="1">
                <c:v>2</c:v>
              </c:pt>
              <c:pt idx="2">
                <c:v>3</c:v>
              </c:pt>
              <c:pt idx="3">
                <c:v>4</c:v>
              </c:pt>
              <c:pt idx="4">
                <c:v>5</c:v>
              </c:pt>
            </c:numLit>
          </c:cat>
          <c:val>
            <c:numLit>
              <c:formatCode>General</c:formatCode>
              <c:ptCount val="5"/>
              <c:pt idx="0">
                <c:v>17</c:v>
              </c:pt>
              <c:pt idx="1">
                <c:v>8</c:v>
              </c:pt>
              <c:pt idx="2">
                <c:v>0</c:v>
              </c:pt>
              <c:pt idx="3">
                <c:v>1</c:v>
              </c:pt>
              <c:pt idx="4">
                <c:v>1</c:v>
              </c:pt>
            </c:numLit>
          </c:val>
          <c:smooth val="0"/>
          <c:extLst>
            <c:ext xmlns:c16="http://schemas.microsoft.com/office/drawing/2014/chart" uri="{C3380CC4-5D6E-409C-BE32-E72D297353CC}">
              <c16:uniqueId val="{00000001-B7F7-4C2B-B07A-A7AD1F83AE4D}"/>
            </c:ext>
          </c:extLst>
        </c:ser>
        <c:dLbls>
          <c:showLegendKey val="0"/>
          <c:showVal val="0"/>
          <c:showCatName val="0"/>
          <c:showSerName val="0"/>
          <c:showPercent val="0"/>
          <c:showBubbleSize val="0"/>
        </c:dLbls>
        <c:marker val="1"/>
        <c:smooth val="0"/>
        <c:axId val="1632514799"/>
        <c:axId val="1632507599"/>
      </c:lineChart>
      <c:catAx>
        <c:axId val="1632514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07599"/>
        <c:crosses val="autoZero"/>
        <c:auto val="1"/>
        <c:lblAlgn val="ctr"/>
        <c:lblOffset val="100"/>
        <c:noMultiLvlLbl val="0"/>
      </c:catAx>
      <c:valAx>
        <c:axId val="1632507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63251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0</xdr:colOff>
      <xdr:row>2</xdr:row>
      <xdr:rowOff>0</xdr:rowOff>
    </xdr:from>
    <xdr:to>
      <xdr:col>12</xdr:col>
      <xdr:colOff>47625</xdr:colOff>
      <xdr:row>16</xdr:row>
      <xdr:rowOff>76200</xdr:rowOff>
    </xdr:to>
    <xdr:graphicFrame macro="">
      <xdr:nvGraphicFramePr>
        <xdr:cNvPr id="3" name="Gráfico 2">
          <a:extLst>
            <a:ext uri="{FF2B5EF4-FFF2-40B4-BE49-F238E27FC236}">
              <a16:creationId xmlns:a16="http://schemas.microsoft.com/office/drawing/2014/main" id="{16B287CD-327E-4831-88AF-F8AF6C44B8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1</xdr:row>
      <xdr:rowOff>161925</xdr:rowOff>
    </xdr:from>
    <xdr:to>
      <xdr:col>4</xdr:col>
      <xdr:colOff>438150</xdr:colOff>
      <xdr:row>9</xdr:row>
      <xdr:rowOff>9525</xdr:rowOff>
    </xdr:to>
    <mc:AlternateContent xmlns:mc="http://schemas.openxmlformats.org/markup-compatibility/2006" xmlns:tsle="http://schemas.microsoft.com/office/drawing/2012/timeslicer">
      <mc:Choice Requires="tsle">
        <xdr:graphicFrame macro="">
          <xdr:nvGraphicFramePr>
            <xdr:cNvPr id="5" name="fEspecial">
              <a:extLst>
                <a:ext uri="{FF2B5EF4-FFF2-40B4-BE49-F238E27FC236}">
                  <a16:creationId xmlns:a16="http://schemas.microsoft.com/office/drawing/2014/main" id="{0D28E5EC-5128-743D-0C49-963FA11EEC1B}"/>
                </a:ext>
              </a:extLst>
            </xdr:cNvPr>
            <xdr:cNvGraphicFramePr/>
          </xdr:nvGraphicFramePr>
          <xdr:xfrm>
            <a:off x="0" y="0"/>
            <a:ext cx="0" cy="0"/>
          </xdr:xfrm>
          <a:graphic>
            <a:graphicData uri="http://schemas.microsoft.com/office/drawing/2012/timeslicer">
              <tsle:timeslicer name="fEspecial"/>
            </a:graphicData>
          </a:graphic>
        </xdr:graphicFrame>
      </mc:Choice>
      <mc:Fallback xmlns="">
        <xdr:sp macro="" textlink="">
          <xdr:nvSpPr>
            <xdr:cNvPr id="0" name=""/>
            <xdr:cNvSpPr>
              <a:spLocks noTextEdit="1"/>
            </xdr:cNvSpPr>
          </xdr:nvSpPr>
          <xdr:spPr>
            <a:xfrm>
              <a:off x="152400" y="352425"/>
              <a:ext cx="3333750" cy="1371600"/>
            </a:xfrm>
            <a:prstGeom prst="rect">
              <a:avLst/>
            </a:prstGeom>
            <a:solidFill>
              <a:prstClr val="white"/>
            </a:solidFill>
            <a:ln w="1">
              <a:solidFill>
                <a:prstClr val="green"/>
              </a:solidFill>
            </a:ln>
          </xdr:spPr>
          <xdr:txBody>
            <a:bodyPr vertOverflow="clip" horzOverflow="clip"/>
            <a:lstStyle/>
            <a:p>
              <a:r>
                <a:rPr lang="es-419" sz="1100"/>
                <a:t>Línea de tiempo: Funciona en Excel 2013 o superior. No mover ni cambiar el tamaño.</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880171874996" createdVersion="8" refreshedVersion="8" minRefreshableVersion="3" recordCount="116" xr:uid="{F72B885A-103E-4B47-8708-5A489AE9B58F}">
  <cacheSource type="worksheet">
    <worksheetSource name="_tbl_odoo_datos"/>
  </cacheSource>
  <cacheFields count="39">
    <cacheField name="PROYECTO ID" numFmtId="1">
      <sharedItems containsSemiMixedTypes="0" containsString="0" containsNumber="1" containsInteger="1" minValue="8245" maxValue="8453" count="116">
        <n v="8392"/>
        <n v="8395"/>
        <n v="8396"/>
        <n v="8397"/>
        <n v="8398"/>
        <n v="8399"/>
        <n v="8400"/>
        <n v="8401"/>
        <n v="8402"/>
        <n v="8403"/>
        <n v="8404"/>
        <n v="8405"/>
        <n v="8406"/>
        <n v="8407"/>
        <n v="8408"/>
        <n v="8410"/>
        <n v="8411"/>
        <n v="8412"/>
        <n v="8413"/>
        <n v="8451"/>
        <n v="8414"/>
        <n v="8415"/>
        <n v="8416"/>
        <n v="8418"/>
        <n v="8419"/>
        <n v="8420"/>
        <n v="8421"/>
        <n v="8422"/>
        <n v="8423"/>
        <n v="8426"/>
        <n v="8428"/>
        <n v="8429"/>
        <n v="8430"/>
        <n v="8431"/>
        <n v="8432"/>
        <n v="8433"/>
        <n v="8434"/>
        <n v="8435"/>
        <n v="8436"/>
        <n v="8437"/>
        <n v="8443"/>
        <n v="8444"/>
        <n v="8453"/>
        <n v="8245"/>
        <n v="8329"/>
        <n v="8263"/>
        <n v="8256"/>
        <n v="8259"/>
        <n v="8325"/>
        <n v="8264"/>
        <n v="8326"/>
        <n v="8253"/>
        <n v="8327"/>
        <n v="8261"/>
        <n v="8247"/>
        <n v="8270"/>
        <n v="8288"/>
        <n v="8292"/>
        <n v="8313"/>
        <n v="8280"/>
        <n v="8250"/>
        <n v="8286"/>
        <n v="8305"/>
        <n v="8306"/>
        <n v="8328"/>
        <n v="8452"/>
        <n v="8335"/>
        <n v="8262"/>
        <n v="8297"/>
        <n v="8448"/>
        <n v="8447"/>
        <n v="8248"/>
        <n v="8284"/>
        <n v="8255"/>
        <n v="8331"/>
        <n v="8289"/>
        <n v="8309"/>
        <n v="8321"/>
        <n v="8336"/>
        <n v="8290"/>
        <n v="8314"/>
        <n v="8324"/>
        <n v="8307"/>
        <n v="8293"/>
        <n v="8333"/>
        <n v="8334"/>
        <n v="8260"/>
        <n v="8299"/>
        <n v="8330"/>
        <n v="8287"/>
        <n v="8294"/>
        <n v="8254"/>
        <n v="8273"/>
        <n v="8281"/>
        <n v="8449"/>
        <n v="8316"/>
        <n v="8322"/>
        <n v="8268"/>
        <n v="8301"/>
        <n v="8265"/>
        <n v="8246"/>
        <n v="8304"/>
        <n v="8303"/>
        <n v="8320"/>
        <n v="8317"/>
        <n v="8291"/>
        <n v="8271"/>
        <n v="8276"/>
        <n v="8323"/>
        <n v="8298"/>
        <n v="8252"/>
        <n v="8269"/>
        <n v="8278"/>
        <n v="8258"/>
        <n v="8277"/>
        <n v="8300"/>
      </sharedItems>
    </cacheField>
    <cacheField name="STOD Ref." numFmtId="1">
      <sharedItems containsSemiMixedTypes="0" containsString="0" containsNumber="1" containsInteger="1" minValue="0" maxValue="374" count="93">
        <n v="275"/>
        <n v="278"/>
        <n v="280"/>
        <n v="281"/>
        <n v="282"/>
        <n v="283"/>
        <n v="284"/>
        <n v="285"/>
        <n v="286"/>
        <n v="287"/>
        <n v="288"/>
        <n v="289"/>
        <n v="291"/>
        <n v="293"/>
        <n v="294"/>
        <n v="300"/>
        <n v="305"/>
        <n v="309"/>
        <n v="312"/>
        <n v="313"/>
        <n v="314"/>
        <n v="315"/>
        <n v="316"/>
        <n v="318"/>
        <n v="320"/>
        <n v="322"/>
        <n v="323"/>
        <n v="324"/>
        <n v="326"/>
        <n v="331"/>
        <n v="337"/>
        <n v="341"/>
        <n v="343"/>
        <n v="345"/>
        <n v="346"/>
        <n v="347"/>
        <n v="348"/>
        <n v="349"/>
        <n v="350"/>
        <n v="351"/>
        <n v="367"/>
        <n v="368"/>
        <n v="372"/>
        <n v="0"/>
        <n v="296"/>
        <n v="362"/>
        <n v="298"/>
        <n v="301"/>
        <n v="310"/>
        <n v="304"/>
        <n v="363"/>
        <n v="321"/>
        <n v="329"/>
        <n v="360"/>
        <n v="340"/>
        <n v="279"/>
        <n v="353"/>
        <n v="344"/>
        <n v="342"/>
        <n v="330"/>
        <n v="328"/>
        <n v="302"/>
        <n v="373"/>
        <n v="277"/>
        <n v="359"/>
        <n v="319"/>
        <n v="354"/>
        <n v="297"/>
        <n v="299"/>
        <n v="370"/>
        <n v="303"/>
        <n v="327"/>
        <n v="361"/>
        <n v="352"/>
        <n v="338"/>
        <n v="369"/>
        <n v="325"/>
        <n v="335"/>
        <n v="366"/>
        <n v="333"/>
        <n v="276"/>
        <n v="332"/>
        <n v="292"/>
        <n v="374"/>
        <n v="317"/>
        <n v="334"/>
        <n v="295"/>
        <n v="308"/>
        <n v="290"/>
        <n v="339"/>
        <n v="307"/>
        <n v="336"/>
        <n v="371"/>
      </sharedItems>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ount="6">
        <s v="40-DESARROLLO"/>
        <s v="20-ASIGNADO"/>
        <s v="60-CERTIFICADO"/>
        <s v="50-IMPLEMENTACION"/>
        <s v="10-COLA"/>
        <s v="30-ANALISIS"/>
      </sharedItems>
    </cacheField>
    <cacheField name="Asignado ID" numFmtId="1">
      <sharedItems containsString="0" containsBlank="1" containsNumber="1" containsInteger="1" minValue="195" maxValue="3234"/>
    </cacheField>
    <cacheField name="Asignado" numFmtId="0">
      <sharedItems containsBlank="1" count="14">
        <s v="Carlos Rosales"/>
        <s v="Josue Eleazar Chet Cuellar"/>
        <m/>
        <s v="Daniel Castillo"/>
        <s v="Erick Estuardo Hernandez Andrino"/>
        <s v="Gerson Castro"/>
        <s v="Jose Pablo Reyes Gonzalez"/>
        <s v="Williams Galvan"/>
        <s v="Jose Andres Chajon Cueto"/>
        <s v="Julio de León"/>
        <s v="Antonio Manuel Alejandro García González"/>
        <s v="Carlos Eduardo Galindo Miranda"/>
        <s v="Olga María Hinestroza Lima"/>
        <s v="Gerson Gabriel Flores Montúfar"/>
      </sharedItems>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ount="29">
        <d v="2025-01-31T00:00:00"/>
        <d v="2025-01-28T00:00:00"/>
        <d v="2025-03-28T00:00:00"/>
        <d v="2025-02-28T00:00:00"/>
        <d v="2025-04-30T00:00:00"/>
        <d v="2025-04-14T00:00:00"/>
        <d v="2025-03-10T00:00:00"/>
        <d v="2025-02-21T00:00:00"/>
        <d v="2025-02-14T00:00:00"/>
        <d v="2025-02-24T00:00:00"/>
        <d v="2025-01-24T00:00:00"/>
        <d v="2025-07-31T00:00:00"/>
        <d v="2025-04-13T00:00:00"/>
        <d v="2025-02-07T00:00:00"/>
        <d v="2025-01-18T00:00:00"/>
        <m/>
        <d v="2025-03-14T00:00:00"/>
        <d v="2025-02-03T00:00:00"/>
        <d v="2025-02-05T00:00:00"/>
        <d v="2025-03-31T00:00:00"/>
        <d v="2025-02-13T00:00:00"/>
        <d v="2025-01-15T00:00:00"/>
        <d v="2025-02-18T00:00:00"/>
        <d v="2025-02-17T00:00:00"/>
        <d v="2025-02-10T00:00:00"/>
        <d v="2025-02-12T00:00:00"/>
        <d v="2025-01-21T00:00:00"/>
        <d v="2025-10-31T00:00:00"/>
        <d v="2025-02-11T00:00:00"/>
      </sharedItems>
      <fieldGroup par="32"/>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d v="2025-01-18T00:00:00"/>
        <m/>
        <d v="2025-01-27T00:00:00"/>
        <d v="2025-02-06T00:00:00"/>
        <d v="2025-03-31T00:00:00"/>
        <d v="2025-02-13T00:00:00"/>
        <d v="2025-02-05T00:00:00"/>
        <d v="2025-02-10T00:00:00"/>
        <d v="2025-02-12T00:00:00"/>
        <d v="2025-10-30T00:00:00"/>
        <d v="2025-02-11T00:00:00"/>
      </sharedItems>
      <fieldGroup par="30"/>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Fecha Informática Mes" numFmtId="14">
      <sharedItems containsSemiMixedTypes="0" containsNonDate="0" containsDate="1" containsString="0" minDate="1899-12-31T00:00:00" maxDate="2025-10-02T00:00:00" count="7">
        <d v="2025-01-01T00:00:00"/>
        <d v="2025-03-01T00:00:00"/>
        <d v="2025-02-01T00:00:00"/>
        <d v="2025-04-01T00:00:00"/>
        <d v="2025-07-01T00:00:00"/>
        <d v="1899-12-31T00:00:00"/>
        <d v="2025-10-01T00:00:00"/>
      </sharedItems>
      <fieldGroup par="38"/>
    </cacheField>
    <cacheField name="Fecha Gerencia Mes" numFmtId="14">
      <sharedItems containsSemiMixedTypes="0" containsNonDate="0" containsDate="1" containsString="0" minDate="1899-12-31T00:00:00" maxDate="2025-10-02T00:00:00" count="7">
        <d v="2025-01-01T00:00:00"/>
        <d v="2025-03-01T00:00:00"/>
        <d v="2025-02-01T00:00:00"/>
        <d v="2025-04-01T00:00:00"/>
        <d v="2025-07-01T00:00:00"/>
        <d v="1899-12-31T00:00:00"/>
        <d v="2025-10-01T00:00:00"/>
      </sharedItems>
      <fieldGroup par="35"/>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 name="Días (Fecha Informática)" numFmtId="0" databaseField="0">
      <fieldGroup base="23">
        <rangePr groupBy="days" startDate="2025-01-15T00:00:00" endDate="2025-11-01T00:00:00"/>
        <groupItems count="368">
          <s v="&lt;2025-01-1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1-01"/>
        </groupItems>
      </fieldGroup>
    </cacheField>
    <cacheField name="Meses (Fecha Informática)" numFmtId="0" databaseField="0">
      <fieldGroup base="23">
        <rangePr groupBy="months" startDate="2025-01-15T00:00:00" endDate="2025-11-01T00:00:00"/>
        <groupItems count="14">
          <s v="&lt;2025-01-15"/>
          <s v="Jan"/>
          <s v="Feb"/>
          <s v="Mar"/>
          <s v="Apr"/>
          <s v="May"/>
          <s v="Jun"/>
          <s v="Jul"/>
          <s v="Aug"/>
          <s v="Sep"/>
          <s v="Oct"/>
          <s v="Nov"/>
          <s v="Dec"/>
          <s v="&gt;2025-11-01"/>
        </groupItems>
      </fieldGroup>
    </cacheField>
    <cacheField name="Meses (Fecha Gerencia Mes)" numFmtId="0" databaseField="0">
      <fieldGroup base="28">
        <rangePr groupBy="months" startDate="1899-12-31T00:00:00" endDate="2025-10-02T00:00:00"/>
        <groupItems count="14">
          <s v="&lt;1900-01-01"/>
          <s v="Jan"/>
          <s v="Feb"/>
          <s v="Mar"/>
          <s v="Apr"/>
          <s v="May"/>
          <s v="Jun"/>
          <s v="Jul"/>
          <s v="Aug"/>
          <s v="Sep"/>
          <s v="Oct"/>
          <s v="Nov"/>
          <s v="Dec"/>
          <s v="&gt;2025-10-02"/>
        </groupItems>
      </fieldGroup>
    </cacheField>
    <cacheField name="Trimestres (Fecha Gerencia Mes)" numFmtId="0" databaseField="0">
      <fieldGroup base="28">
        <rangePr groupBy="quarters" startDate="1899-12-31T00:00:00" endDate="2025-10-02T00:00:00"/>
        <groupItems count="6">
          <s v="&lt;1900-01-01"/>
          <s v="Trim.1"/>
          <s v="Trim.2"/>
          <s v="Trim.3"/>
          <s v="Trim.4"/>
          <s v="&gt;2025-10-02"/>
        </groupItems>
      </fieldGroup>
    </cacheField>
    <cacheField name="Años (Fecha Gerencia Mes)" numFmtId="0" databaseField="0">
      <fieldGroup base="28">
        <rangePr groupBy="years" startDate="1899-12-31T00:00:00" endDate="2025-10-02T00:00:00"/>
        <groupItems count="128">
          <s v="&lt;1900-01-01"/>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2"/>
        </groupItems>
      </fieldGroup>
    </cacheField>
    <cacheField name="Meses (Fecha Informática Mes)" numFmtId="0" databaseField="0">
      <fieldGroup base="27">
        <rangePr groupBy="months" startDate="1899-12-31T00:00:00" endDate="2025-10-02T00:00:00"/>
        <groupItems count="14">
          <s v="&lt;1900-01-01"/>
          <s v="Jan"/>
          <s v="Feb"/>
          <s v="Mar"/>
          <s v="Apr"/>
          <s v="May"/>
          <s v="Jun"/>
          <s v="Jul"/>
          <s v="Aug"/>
          <s v="Sep"/>
          <s v="Oct"/>
          <s v="Nov"/>
          <s v="Dec"/>
          <s v="&gt;2025-10-02"/>
        </groupItems>
      </fieldGroup>
    </cacheField>
    <cacheField name="Trimestres (Fecha Informática Mes)" numFmtId="0" databaseField="0">
      <fieldGroup base="27">
        <rangePr groupBy="quarters" startDate="1899-12-31T00:00:00" endDate="2025-10-02T00:00:00"/>
        <groupItems count="6">
          <s v="&lt;1900-01-01"/>
          <s v="Trim.1"/>
          <s v="Trim.2"/>
          <s v="Trim.3"/>
          <s v="Trim.4"/>
          <s v="&gt;2025-10-02"/>
        </groupItems>
      </fieldGroup>
    </cacheField>
    <cacheField name="Años (Fecha Informática Mes)" numFmtId="0" databaseField="0">
      <fieldGroup base="27">
        <rangePr groupBy="years" startDate="1899-12-31T00:00:00" endDate="2025-10-02T00:00:00"/>
        <groupItems count="128">
          <s v="&lt;1900-01-01"/>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2"/>
        </groupItems>
      </fieldGroup>
    </cacheField>
  </cacheFields>
  <extLst>
    <ext xmlns:x14="http://schemas.microsoft.com/office/spreadsheetml/2009/9/main" uri="{725AE2AE-9491-48be-B2B4-4EB974FC3084}">
      <x14:pivotCacheDefinition pivotCacheId="10289121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906005092591" createdVersion="8" refreshedVersion="8" minRefreshableVersion="3" recordCount="232" xr:uid="{1F2043C4-DDF2-4BCC-B338-2D043D412ACD}">
  <cacheSource type="worksheet">
    <worksheetSource name="_tbl_odoo_datos2"/>
  </cacheSource>
  <cacheFields count="41">
    <cacheField name="PROYECTO ID" numFmtId="1">
      <sharedItems/>
    </cacheField>
    <cacheField name="STOD Ref." numFmtId="1">
      <sharedItems containsSemiMixedTypes="0" containsString="0" containsNumber="1" containsInteger="1" minValue="0" maxValue="374"/>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acheField>
    <cacheField name="Asignado ID" numFmtId="1">
      <sharedItems containsString="0" containsBlank="1" containsNumber="1" containsInteger="1" minValue="195" maxValue="3234"/>
    </cacheField>
    <cacheField name="Asignado" numFmtId="0">
      <sharedItems containsBlank="1"/>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d v="2025-01-18T00:00:00"/>
        <m/>
        <d v="2025-01-27T00:00:00"/>
        <d v="2025-02-06T00:00:00"/>
        <d v="2025-03-31T00:00:00"/>
        <d v="2025-02-13T00:00:00"/>
        <d v="2025-02-05T00:00:00"/>
        <d v="2025-02-10T00:00:00"/>
        <d v="2025-02-12T00:00:00"/>
        <d v="2025-10-30T00:00:00"/>
        <d v="2025-02-11T00:00:00"/>
      </sharedItems>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Finf2" numFmtId="14">
      <sharedItems containsNonDate="0" containsDate="1" containsString="0" containsBlank="1" minDate="2024-12-31T00:00:00" maxDate="2025-10-01T00:00:00" count="7">
        <m/>
        <d v="2024-12-31T00:00:00"/>
        <d v="2025-02-28T00:00:00"/>
        <d v="2025-01-31T00:00:00"/>
        <d v="2025-03-31T00:00:00"/>
        <d v="2025-06-30T00:00:00"/>
        <d v="2025-09-30T00:00:00"/>
      </sharedItems>
      <fieldGroup par="34"/>
    </cacheField>
    <cacheField name="FGer2" numFmtId="14">
      <sharedItems containsNonDate="0" containsDate="1" containsString="0" containsBlank="1" minDate="2024-12-31T00:00:00" maxDate="2025-10-01T00:00:00" count="8">
        <d v="2024-12-31T00:00:00"/>
        <d v="2025-01-31T00:00:00"/>
        <d v="2025-02-28T00:00:00"/>
        <d v="2025-03-31T00:00:00"/>
        <d v="2025-04-30T00:00:00"/>
        <d v="2025-06-30T00:00:00"/>
        <m/>
        <d v="2025-09-30T00:00:00"/>
      </sharedItems>
      <fieldGroup par="37"/>
    </cacheField>
    <cacheField name="xGer" numFmtId="0">
      <sharedItems containsSemiMixedTypes="0" containsString="0" containsNumber="1" containsInteger="1" minValue="0" maxValue="1"/>
    </cacheField>
    <cacheField name="xInf" numFmtId="0">
      <sharedItems containsSemiMixedTypes="0" containsString="0" containsNumber="1" containsInteger="1" minValue="0" maxValue="1"/>
    </cacheField>
    <cacheField name="fEspecial" numFmtId="14">
      <sharedItems containsSemiMixedTypes="0" containsNonDate="0" containsDate="1" containsString="0" minDate="1899-12-30T00:00:00" maxDate="2025-10-01T00:00:00" count="8">
        <d v="2024-12-31T00:00:00"/>
        <d v="2025-01-31T00:00:00"/>
        <d v="2025-02-28T00:00:00"/>
        <d v="2025-03-31T00:00:00"/>
        <d v="2025-04-30T00:00:00"/>
        <d v="2025-06-30T00:00:00"/>
        <d v="1899-12-30T00:00:00"/>
        <d v="2025-09-30T00:00:00"/>
      </sharedItems>
      <fieldGroup par="40"/>
    </cacheField>
    <cacheField name="Meses (Finf2)" numFmtId="0" databaseField="0">
      <fieldGroup base="27">
        <rangePr groupBy="months" startDate="2024-12-31T00:00:00" endDate="2025-10-01T00:00:00"/>
        <groupItems count="14">
          <s v="&lt;2024-12-31"/>
          <s v="Jan"/>
          <s v="Feb"/>
          <s v="Mar"/>
          <s v="Apr"/>
          <s v="May"/>
          <s v="Jun"/>
          <s v="Jul"/>
          <s v="Aug"/>
          <s v="Sep"/>
          <s v="Oct"/>
          <s v="Nov"/>
          <s v="Dec"/>
          <s v="&gt;2025-10-01"/>
        </groupItems>
      </fieldGroup>
    </cacheField>
    <cacheField name="Trimestres (Finf2)" numFmtId="0" databaseField="0">
      <fieldGroup base="27">
        <rangePr groupBy="quarters" startDate="2024-12-31T00:00:00" endDate="2025-10-01T00:00:00"/>
        <groupItems count="6">
          <s v="&lt;2024-12-31"/>
          <s v="Trim.1"/>
          <s v="Trim.2"/>
          <s v="Trim.3"/>
          <s v="Trim.4"/>
          <s v="&gt;2025-10-01"/>
        </groupItems>
      </fieldGroup>
    </cacheField>
    <cacheField name="Años (Finf2)" numFmtId="0" databaseField="0">
      <fieldGroup base="27">
        <rangePr groupBy="years" startDate="2024-12-31T00:00:00" endDate="2025-10-01T00:00:00"/>
        <groupItems count="4">
          <s v="&lt;2024-12-31"/>
          <s v="2024"/>
          <s v="2025"/>
          <s v="&gt;2025-10-01"/>
        </groupItems>
      </fieldGroup>
    </cacheField>
    <cacheField name="Meses (FGer2)" numFmtId="0" databaseField="0">
      <fieldGroup base="28">
        <rangePr groupBy="months" startDate="2024-12-31T00:00:00" endDate="2025-10-01T00:00:00"/>
        <groupItems count="14">
          <s v="&lt;2024-12-31"/>
          <s v="Jan"/>
          <s v="Feb"/>
          <s v="Mar"/>
          <s v="Apr"/>
          <s v="May"/>
          <s v="Jun"/>
          <s v="Jul"/>
          <s v="Aug"/>
          <s v="Sep"/>
          <s v="Oct"/>
          <s v="Nov"/>
          <s v="Dec"/>
          <s v="&gt;2025-10-01"/>
        </groupItems>
      </fieldGroup>
    </cacheField>
    <cacheField name="Trimestres (FGer2)" numFmtId="0" databaseField="0">
      <fieldGroup base="28">
        <rangePr groupBy="quarters" startDate="2024-12-31T00:00:00" endDate="2025-10-01T00:00:00"/>
        <groupItems count="6">
          <s v="&lt;2024-12-31"/>
          <s v="Trim.1"/>
          <s v="Trim.2"/>
          <s v="Trim.3"/>
          <s v="Trim.4"/>
          <s v="&gt;2025-10-01"/>
        </groupItems>
      </fieldGroup>
    </cacheField>
    <cacheField name="Años (FGer2)" numFmtId="0" databaseField="0">
      <fieldGroup base="28">
        <rangePr groupBy="years" startDate="2024-12-31T00:00:00" endDate="2025-10-01T00:00:00"/>
        <groupItems count="4">
          <s v="&lt;2024-12-31"/>
          <s v="2024"/>
          <s v="2025"/>
          <s v="&gt;2025-10-01"/>
        </groupItems>
      </fieldGroup>
    </cacheField>
    <cacheField name="Meses (fEspecial)" numFmtId="0" databaseField="0">
      <fieldGroup base="31">
        <rangePr groupBy="months" startDate="1899-12-30T00:00:00" endDate="2025-10-01T00:00:00"/>
        <groupItems count="14">
          <s v="&lt;1900-01-00"/>
          <s v="Jan"/>
          <s v="Feb"/>
          <s v="Mar"/>
          <s v="Apr"/>
          <s v="May"/>
          <s v="Jun"/>
          <s v="Jul"/>
          <s v="Aug"/>
          <s v="Sep"/>
          <s v="Oct"/>
          <s v="Nov"/>
          <s v="Dec"/>
          <s v="&gt;2025-10-01"/>
        </groupItems>
      </fieldGroup>
    </cacheField>
    <cacheField name="Trimestres (fEspecial)" numFmtId="0" databaseField="0">
      <fieldGroup base="31">
        <rangePr groupBy="quarters" startDate="1899-12-30T00:00:00" endDate="2025-10-01T00:00:00"/>
        <groupItems count="6">
          <s v="&lt;1900-01-00"/>
          <s v="Trim.1"/>
          <s v="Trim.2"/>
          <s v="Trim.3"/>
          <s v="Trim.4"/>
          <s v="&gt;2025-10-01"/>
        </groupItems>
      </fieldGroup>
    </cacheField>
    <cacheField name="Años (fEspecial)" numFmtId="0" databaseField="0">
      <fieldGroup base="31">
        <rangePr groupBy="years" startDate="1899-12-30T00:00:00" endDate="2025-10-01T00:00:00"/>
        <groupItems count="128">
          <s v="&lt;19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2025-10-01"/>
        </groupItems>
      </fieldGroup>
    </cacheField>
  </cacheFields>
  <extLst>
    <ext xmlns:x14="http://schemas.microsoft.com/office/spreadsheetml/2009/9/main" uri="{725AE2AE-9491-48be-B2B4-4EB974FC3084}">
      <x14:pivotCacheDefinition pivotCacheId="15901672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x v="0"/>
    <x v="0"/>
    <s v="(275) PROCESO  ** Cambios para grabar presupuestos pintura en SAP, reporte y validaciones"/>
    <n v="247828"/>
    <s v="DOUGLAS ALEJANDRO MALDONADO DUMAS"/>
    <n v="30"/>
    <x v="0"/>
    <n v="3233"/>
    <x v="0"/>
    <s v="x"/>
    <m/>
    <m/>
    <m/>
    <m/>
    <m/>
    <n v="1"/>
    <n v="1"/>
    <n v="1"/>
    <n v="1"/>
    <m/>
    <m/>
    <d v="2025-01-01T00:00:00"/>
    <d v="1899-12-31T00:00:00"/>
    <x v="0"/>
    <x v="0"/>
    <m/>
    <s v="&lt;p&gt;PROCESO  ** Cambios para grabar presupuestos pintura en SAP, reporte y validaciones&lt;/p&gt;"/>
    <x v="0"/>
    <x v="0"/>
  </r>
  <r>
    <x v="1"/>
    <x v="1"/>
    <s v="(278) BI  ** Configuración de puerta de enlace para Power BI para Douglas Maldonado"/>
    <n v="247828"/>
    <s v="DOUGLAS ALEJANDRO MALDONADO DUMAS"/>
    <n v="30"/>
    <x v="0"/>
    <n v="3233"/>
    <x v="0"/>
    <s v="x"/>
    <b v="1"/>
    <m/>
    <m/>
    <m/>
    <m/>
    <n v="1"/>
    <n v="1"/>
    <n v="3"/>
    <n v="3"/>
    <m/>
    <m/>
    <d v="2025-01-01T00:00:00"/>
    <d v="1899-12-31T00:00:00"/>
    <x v="1"/>
    <x v="1"/>
    <m/>
    <s v="&lt;p&gt;BI  ** Configuración de puerta de enlace para Power BI para Douglas Maldonado&lt;/p&gt;"/>
    <x v="0"/>
    <x v="0"/>
  </r>
  <r>
    <x v="2"/>
    <x v="2"/>
    <s v="(280) SOPORTE Soporte y Capacitación de plantilla con Framework REACT/C Sharp para implementarlo en el sistema de SCONWEB del Departamento de Servicio Técnico"/>
    <n v="247541"/>
    <s v="ALEJANDRO ALBERTO GARCIA ARRECIS"/>
    <n v="28"/>
    <x v="1"/>
    <n v="3198"/>
    <x v="1"/>
    <s v="x"/>
    <m/>
    <m/>
    <m/>
    <m/>
    <m/>
    <n v="3"/>
    <n v="3"/>
    <n v="3"/>
    <n v="3"/>
    <m/>
    <m/>
    <d v="2025-01-01T00:00:00"/>
    <d v="1899-12-31T00:00:00"/>
    <x v="2"/>
    <x v="2"/>
    <m/>
    <s v="&lt;p&gt;SOPORTE Soporte y Capacitación de plantilla con Framework REACT/C Sharp para implementarlo en el sistema de SCONWEB del Departamento de Servicio Técnico&lt;/p&gt;"/>
    <x v="1"/>
    <x v="1"/>
  </r>
  <r>
    <x v="3"/>
    <x v="3"/>
    <s v="(281) PROCESO ** Implementación de Contabilidad NIIF"/>
    <n v="247795"/>
    <s v="SANDRA JUDITH LOARCA HERNANDEZ de PEREZ"/>
    <n v="28"/>
    <x v="1"/>
    <n v="3233"/>
    <x v="0"/>
    <s v="x"/>
    <m/>
    <m/>
    <m/>
    <m/>
    <m/>
    <n v="1"/>
    <n v="1"/>
    <n v="1"/>
    <n v="1"/>
    <m/>
    <m/>
    <d v="2025-01-01T00:00:00"/>
    <d v="1899-12-31T00:00:00"/>
    <x v="2"/>
    <x v="2"/>
    <m/>
    <s v="&lt;p&gt;PROCESO ** Implementación de Contabilidad NIIF&lt;/p&gt;"/>
    <x v="1"/>
    <x v="1"/>
  </r>
  <r>
    <x v="4"/>
    <x v="4"/>
    <s v="(282) MEJORAS  ** Mejoras al proceso de órdenes de entrega para sótano deben agregarse los campos indicados por Douglas Montoya"/>
    <n v="247556"/>
    <s v="DOUGLAS MONTOYA MONTAVES"/>
    <n v="28"/>
    <x v="1"/>
    <n v="3233"/>
    <x v="0"/>
    <s v="x"/>
    <m/>
    <m/>
    <m/>
    <m/>
    <m/>
    <n v="1"/>
    <n v="1"/>
    <n v="3"/>
    <n v="3"/>
    <m/>
    <m/>
    <d v="2025-01-01T00:00:00"/>
    <d v="1899-12-31T00:00:00"/>
    <x v="3"/>
    <x v="1"/>
    <m/>
    <s v="&lt;p&gt;MEJORAS  ** Mejoras al proceso de órdenes de entrega para sótano deben agregarse los campos indicados por Douglas Montoya&lt;/p&gt;"/>
    <x v="2"/>
    <x v="2"/>
  </r>
  <r>
    <x v="5"/>
    <x v="5"/>
    <s v="(283) CARGA DE DATOS ** Clasificación de clientes para carga masiva de SAP solicitada por Rene Cotto"/>
    <n v="247857"/>
    <s v="ARNALDO RENE COTTO STREMS"/>
    <n v="28"/>
    <x v="1"/>
    <m/>
    <x v="2"/>
    <s v="x"/>
    <m/>
    <m/>
    <m/>
    <m/>
    <m/>
    <n v="1"/>
    <n v="1"/>
    <n v="2"/>
    <n v="2"/>
    <m/>
    <m/>
    <d v="2025-01-01T00:00:00"/>
    <d v="1899-12-31T00:00:00"/>
    <x v="0"/>
    <x v="0"/>
    <m/>
    <s v="&lt;p&gt;CARGA DE DATOS ** Clasificación de clientes para carga masiva de SAP solicitada por Rene Cotto&lt;/p&gt;&lt;p&gt;PENDIENTE ASIGNAR LUIS GONZALEZ&lt;/p&gt;"/>
    <x v="0"/>
    <x v="0"/>
  </r>
  <r>
    <x v="6"/>
    <x v="6"/>
    <s v="(284) PROCESO ** Actualizacion de tablas de catálogos de SAP de acuerdo con 24 puntos que contiene el archivo enviado a Marisol Recinos"/>
    <n v="247885"/>
    <s v="AMABILIA MARISOL RECINOS ARGUETA"/>
    <n v="28"/>
    <x v="1"/>
    <n v="3233"/>
    <x v="0"/>
    <s v="x"/>
    <m/>
    <m/>
    <m/>
    <m/>
    <m/>
    <n v="1"/>
    <n v="1"/>
    <n v="1"/>
    <n v="1"/>
    <m/>
    <m/>
    <d v="2025-01-01T00:00:00"/>
    <d v="1899-12-31T00:00:00"/>
    <x v="4"/>
    <x v="3"/>
    <m/>
    <s v="&lt;p&gt;PROCESO ** Actualizacion de tablas de catálogos de SAP de acuerdo con 24 puntos que contiene el archivo enviado a Marisol Recinos&lt;/p&gt;"/>
    <x v="3"/>
    <x v="3"/>
  </r>
  <r>
    <x v="7"/>
    <x v="7"/>
    <s v="(285) PROCESO ** Cubo para analisis de personal activo y retirado, para realizar un kpi de rotación de personal"/>
    <n v="247277"/>
    <s v="JOSE ROBERTO AGUIRRE CANELLA"/>
    <n v="21"/>
    <x v="2"/>
    <n v="3233"/>
    <x v="0"/>
    <s v="x"/>
    <m/>
    <m/>
    <m/>
    <m/>
    <m/>
    <n v="1"/>
    <n v="1"/>
    <n v="1"/>
    <n v="1"/>
    <m/>
    <m/>
    <d v="2025-01-01T00:00:00"/>
    <d v="1899-12-31T00:00:00"/>
    <x v="0"/>
    <x v="0"/>
    <m/>
    <s v="&lt;p&gt;PROCESO ** Cubo para analisis de personal activo y retirado, para realizar un kpi de rotación de personal&lt;/p&gt;"/>
    <x v="0"/>
    <x v="0"/>
  </r>
  <r>
    <x v="8"/>
    <x v="8"/>
    <s v="(286) PROCESO ** Seguimiento a Cuadtratica para Vesa"/>
    <n v="247795"/>
    <s v="SANDRA JUDITH LOARCA HERNANDEZ de PEREZ"/>
    <n v="28"/>
    <x v="1"/>
    <m/>
    <x v="2"/>
    <s v="x"/>
    <m/>
    <m/>
    <m/>
    <m/>
    <m/>
    <n v="2"/>
    <n v="2"/>
    <n v="2"/>
    <n v="2"/>
    <m/>
    <m/>
    <d v="2025-01-01T00:00:00"/>
    <d v="1899-12-31T00:00:00"/>
    <x v="3"/>
    <x v="1"/>
    <m/>
    <s v="&lt;p&gt;PROCESO ** Seguimiento a Cuadtratica para Vesa&lt;/p&gt;&lt;p&gt;PENDIENTE DE ASIGNAR LUIS GONZALEZ&lt;/p&gt;"/>
    <x v="2"/>
    <x v="2"/>
  </r>
  <r>
    <x v="9"/>
    <x v="9"/>
    <s v="(287) MEJORAS  ** Procesos de anulación en medios de pago SAP"/>
    <n v="289004"/>
    <s v="DOUGLAS MONTOYA MONTAVES"/>
    <n v="28"/>
    <x v="1"/>
    <m/>
    <x v="2"/>
    <s v="x"/>
    <m/>
    <m/>
    <m/>
    <m/>
    <m/>
    <n v="2"/>
    <n v="2"/>
    <n v="2"/>
    <n v="2"/>
    <m/>
    <m/>
    <d v="2025-01-01T00:00:00"/>
    <d v="1899-12-31T00:00:00"/>
    <x v="3"/>
    <x v="1"/>
    <m/>
    <s v="&lt;p&gt;MEJORAS  ** Procesos de anulación en medios de pago SAP&lt;/p&gt;&lt;p&gt;PENDIENTE DE ASIGNAR LUIS GONZALEZ&lt;/p&gt;"/>
    <x v="2"/>
    <x v="2"/>
  </r>
  <r>
    <x v="10"/>
    <x v="10"/>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x v="3"/>
    <n v="195"/>
    <x v="3"/>
    <s v="x"/>
    <b v="1"/>
    <m/>
    <m/>
    <m/>
    <m/>
    <n v="1"/>
    <n v="1"/>
    <n v="1"/>
    <n v="1"/>
    <m/>
    <m/>
    <d v="2025-01-01T00:00:00"/>
    <d v="1899-12-31T00:00:00"/>
    <x v="0"/>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0"/>
    <x v="0"/>
  </r>
  <r>
    <x v="11"/>
    <x v="11"/>
    <s v="(289) MEJORAS ** Implementacion de Combos en GrafiPronto"/>
    <n v="247729"/>
    <s v="OLGA MARIA DE LA CRUZ VALLADARES GUILLEN de OVALLE"/>
    <n v="28"/>
    <x v="1"/>
    <m/>
    <x v="2"/>
    <s v="x"/>
    <m/>
    <m/>
    <m/>
    <m/>
    <m/>
    <n v="3"/>
    <n v="3"/>
    <n v="3"/>
    <n v="3"/>
    <m/>
    <m/>
    <d v="2025-01-01T00:00:00"/>
    <d v="1899-12-31T00:00:00"/>
    <x v="2"/>
    <x v="2"/>
    <m/>
    <s v="&lt;p&gt;MEJORAS ** Implementacion de Combos en GrafiPronto&lt;/p&gt;&lt;p&gt;PENDIENTE DE ASIGNAR LUIS GONZALEZ&lt;/p&gt;"/>
    <x v="1"/>
    <x v="1"/>
  </r>
  <r>
    <x v="12"/>
    <x v="12"/>
    <s v="(291) PROCESO ** Estandarización de las instancias SAP MAQUIPOS Y VESA"/>
    <n v="247393"/>
    <s v="MIGUEL EDUARDO PEREZ LOPEZ"/>
    <n v="28"/>
    <x v="1"/>
    <m/>
    <x v="2"/>
    <s v="x"/>
    <m/>
    <m/>
    <m/>
    <m/>
    <m/>
    <n v="3"/>
    <n v="3"/>
    <n v="3"/>
    <n v="3"/>
    <m/>
    <m/>
    <d v="2025-01-01T00:00:00"/>
    <d v="1899-12-31T00:00:00"/>
    <x v="5"/>
    <x v="4"/>
    <m/>
    <s v="&lt;p&gt;PROCESO ** Estandarización de las instancias SAP MAQUIPOS Y VESA&lt;/p&gt;&lt;p&gt;PENDIENTE DE ASIGNAR LUIS GONZALEZ&lt;/p&gt;"/>
    <x v="3"/>
    <x v="3"/>
  </r>
  <r>
    <x v="13"/>
    <x v="13"/>
    <s v="(293) PROCESO ** Seguimiento a Cuadtratica para Canella ** "/>
    <n v="247795"/>
    <s v="SANDRA JUDITH LOARCA HERNANDEZ de PEREZ"/>
    <n v="28"/>
    <x v="1"/>
    <m/>
    <x v="2"/>
    <s v="x"/>
    <m/>
    <m/>
    <m/>
    <m/>
    <m/>
    <n v="2"/>
    <n v="2"/>
    <n v="2"/>
    <n v="2"/>
    <m/>
    <m/>
    <d v="2025-01-01T00:00:00"/>
    <d v="1899-12-31T00:00:00"/>
    <x v="2"/>
    <x v="5"/>
    <m/>
    <s v="&lt;p&gt;PROCESO ** Seguimiento a Cuadtratica para Canella&lt;/p&gt;&lt;p&gt;PENNDIENTE DE ASIGNAR LUIS GONZALEZ&lt;/p&gt;"/>
    <x v="1"/>
    <x v="1"/>
  </r>
  <r>
    <x v="14"/>
    <x v="14"/>
    <s v="(294) PROCESO ** Implementación del Sistema de Inventario en tránsito VESA Y MAQUIPOS"/>
    <n v="247795"/>
    <s v="SANDRA JUDITH LOARCA HERNANDEZ de PEREZ"/>
    <n v="28"/>
    <x v="1"/>
    <m/>
    <x v="2"/>
    <s v="x"/>
    <m/>
    <m/>
    <m/>
    <m/>
    <m/>
    <n v="1"/>
    <n v="1"/>
    <n v="2"/>
    <n v="2"/>
    <m/>
    <m/>
    <d v="2025-01-01T00:00:00"/>
    <d v="1899-12-31T00:00:00"/>
    <x v="5"/>
    <x v="6"/>
    <m/>
    <s v="&lt;p&gt;PROCESO ** Implementación del Sistema de Inventario en tránsito VESA Y MAQUIPOS&lt;/p&gt;&lt;p&gt;PENDIENTE DE ASIGNAR LUIS GONNZALEZ&lt;/p&gt;"/>
    <x v="3"/>
    <x v="3"/>
  </r>
  <r>
    <x v="15"/>
    <x v="15"/>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x v="2"/>
    <n v="195"/>
    <x v="3"/>
    <s v="x"/>
    <b v="1"/>
    <m/>
    <m/>
    <m/>
    <m/>
    <n v="1"/>
    <n v="1"/>
    <n v="2"/>
    <n v="2"/>
    <m/>
    <m/>
    <d v="2025-01-01T00:00:00"/>
    <d v="1899-12-31T00:00:00"/>
    <x v="6"/>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1"/>
    <x v="1"/>
  </r>
  <r>
    <x v="16"/>
    <x v="16"/>
    <s v="(305) PROCESO ** Implementación de RPA para confirmación de boletas de deposito"/>
    <n v="247795"/>
    <s v="SANDRA JUDITH LOARCA HERNANDEZ de PEREZ"/>
    <n v="28"/>
    <x v="1"/>
    <n v="195"/>
    <x v="3"/>
    <s v="x"/>
    <m/>
    <m/>
    <m/>
    <m/>
    <m/>
    <n v="1"/>
    <n v="1"/>
    <n v="1"/>
    <n v="1"/>
    <m/>
    <m/>
    <d v="2025-01-01T00:00:00"/>
    <d v="1899-12-31T00:00:00"/>
    <x v="6"/>
    <x v="8"/>
    <m/>
    <s v="&lt;p&gt;PROCESO ** Implementación de RPA para confirmación de boletas de deposito&lt;/p&gt;&lt;p&gt;&lt;br&gt;&lt;/p&gt;"/>
    <x v="1"/>
    <x v="1"/>
  </r>
  <r>
    <x v="17"/>
    <x v="17"/>
    <s v="(309) PROCESO  ** Implementación del Sistema de PinPads para el manejo de Cajas en Facturación Fase 1"/>
    <n v="247795"/>
    <s v="SANDRA JUDITH LOARCA HERNANDEZ de PEREZ"/>
    <n v="21"/>
    <x v="2"/>
    <m/>
    <x v="2"/>
    <s v="x"/>
    <m/>
    <m/>
    <m/>
    <m/>
    <m/>
    <n v="1"/>
    <n v="1"/>
    <n v="1"/>
    <n v="1"/>
    <m/>
    <m/>
    <d v="2025-01-01T00:00:00"/>
    <d v="1899-12-31T00:00:00"/>
    <x v="0"/>
    <x v="0"/>
    <m/>
    <s v="&lt;p&gt;PROCESO  ** Implementación del Sistema de PinPads para el manejo de Cajas en Facturación Fase 1&lt;/p&gt;&lt;p&gt;PENDIENTE DE ASIGNAR MARVIN VARGAS&lt;/p&gt;"/>
    <x v="0"/>
    <x v="0"/>
  </r>
  <r>
    <x v="18"/>
    <x v="18"/>
    <s v="(312) PROCESO ** Conexión a SAP para  consultas de CQM Yamaha"/>
    <n v="247807"/>
    <s v="EDUARDO JACOBO ARA GÓMEZ"/>
    <n v="28"/>
    <x v="1"/>
    <m/>
    <x v="2"/>
    <s v="x"/>
    <b v="1"/>
    <m/>
    <m/>
    <m/>
    <m/>
    <n v="2"/>
    <n v="2"/>
    <n v="2"/>
    <n v="2"/>
    <m/>
    <m/>
    <d v="2025-01-01T00:00:00"/>
    <d v="1899-12-31T00:00:00"/>
    <x v="0"/>
    <x v="6"/>
    <m/>
    <s v="&lt;p&gt;PROCESO ** Conexión a SAP para  consultas de CQM Yamaha&lt;/p&gt;&lt;p&gt;PENDIENTE DE ASIGNAR MARVIN VARGAS&lt;/p&gt;"/>
    <x v="0"/>
    <x v="0"/>
  </r>
  <r>
    <x v="19"/>
    <x v="19"/>
    <s v="(313) Información sobre la data del FEIC distribuidores para que se ingresen en un sitio web"/>
    <m/>
    <m/>
    <n v="28"/>
    <x v="1"/>
    <n v="3199"/>
    <x v="4"/>
    <s v="x"/>
    <m/>
    <m/>
    <m/>
    <m/>
    <m/>
    <n v="1"/>
    <n v="1"/>
    <n v="1"/>
    <n v="1"/>
    <m/>
    <m/>
    <d v="2025-01-01T00:00:00"/>
    <d v="1899-12-31T00:00:00"/>
    <x v="7"/>
    <x v="8"/>
    <m/>
    <m/>
    <x v="2"/>
    <x v="2"/>
  </r>
  <r>
    <x v="20"/>
    <x v="20"/>
    <s v="(314) PROCESO ** Tiendas en línea Motul-Interstate - Ipone, desarrollo de webservices con SAP"/>
    <n v="247857"/>
    <s v="ARNALDO RENE COTTO STREMS"/>
    <n v="28"/>
    <x v="1"/>
    <m/>
    <x v="2"/>
    <s v="x"/>
    <m/>
    <m/>
    <m/>
    <m/>
    <m/>
    <n v="2"/>
    <n v="2"/>
    <n v="2"/>
    <n v="2"/>
    <m/>
    <m/>
    <d v="2025-01-01T00:00:00"/>
    <d v="1899-12-31T00:00:00"/>
    <x v="8"/>
    <x v="7"/>
    <m/>
    <s v="&lt;p&gt;PROCESO ** Tiendas en línea Motul-Interstate - Ipone, desarrollo de webservices con SAP&lt;/p&gt;&lt;p&gt;PENDIENTE DE ASIGNAR MARVINN VARGAS&lt;/p&gt;"/>
    <x v="2"/>
    <x v="2"/>
  </r>
  <r>
    <x v="21"/>
    <x v="21"/>
    <s v="(315) PROCESO ** Modificación al reporte de la IVE y el nombre del reporte IVE-INF-05, Carlos Rosales hizo los ultimos ajustes por la auditoria de la IVE.  Luis enviara un correo detallando los ajustes a realizar"/>
    <n v="247651"/>
    <s v="LUIS FERNANDO BARRIOS MATIAS"/>
    <n v="21"/>
    <x v="2"/>
    <n v="3199"/>
    <x v="4"/>
    <s v="x"/>
    <m/>
    <m/>
    <m/>
    <m/>
    <m/>
    <n v="1"/>
    <n v="1"/>
    <n v="3"/>
    <n v="3"/>
    <m/>
    <m/>
    <d v="2025-01-01T00:00:00"/>
    <d v="1899-12-31T00:00:00"/>
    <x v="3"/>
    <x v="7"/>
    <m/>
    <s v="&lt;p&gt;PROCESO ** Modificación al reporte de la IVE y el nombre del reporte IVE-INF-05, Carlos Rosales hizo los ultimos ajustes por la auditoria de la IVE.  Luis enviara un correo detallando los ajustes a realizar&lt;/p&gt;"/>
    <x v="2"/>
    <x v="2"/>
  </r>
  <r>
    <x v="22"/>
    <x v="22"/>
    <s v="(316) PROCESO ** Conexión a página web de distribuidores Canon y tienda en línea para interfaces con SAP"/>
    <n v="247770"/>
    <s v="JORGE LUIS MURALLES PAPPA"/>
    <n v="28"/>
    <x v="1"/>
    <m/>
    <x v="2"/>
    <s v="x"/>
    <m/>
    <m/>
    <m/>
    <m/>
    <m/>
    <n v="2"/>
    <n v="2"/>
    <n v="2"/>
    <n v="2"/>
    <m/>
    <m/>
    <d v="2025-01-01T00:00:00"/>
    <d v="1899-12-31T00:00:00"/>
    <x v="8"/>
    <x v="7"/>
    <m/>
    <s v="&lt;p&gt;PROCESO ** Conexión a página web de distribuidores Canon y tienda en línea para interfaces con SAP&lt;/p&gt;&lt;p&gt;PENDIENTE DE ASIGNAR MARVIN VARGAS&lt;/p&gt;"/>
    <x v="2"/>
    <x v="2"/>
  </r>
  <r>
    <x v="23"/>
    <x v="23"/>
    <s v="(318) PROCESO ** Seguimiento al proceso cotización de equipos y respuetos de Maquinaria, realizar webservices con SAP"/>
    <n v="247068"/>
    <s v="YESVI AVIGAIL ELIAS ORIZABAL"/>
    <n v="28"/>
    <x v="1"/>
    <m/>
    <x v="2"/>
    <s v="x"/>
    <m/>
    <m/>
    <m/>
    <m/>
    <m/>
    <n v="2"/>
    <n v="2"/>
    <n v="2"/>
    <n v="2"/>
    <m/>
    <m/>
    <d v="2025-01-02T00:00:00"/>
    <d v="1899-12-31T00:00:00"/>
    <x v="9"/>
    <x v="9"/>
    <m/>
    <s v="&lt;p&gt;PROCESO ** Seguimiento al proceso cotización de equipos y respuetos de Maquinaria, realizar webservices con SAP&lt;/p&gt;&lt;p&gt;PENDIENTE DE ASIGNAR MARVIN VARGAS&lt;/p&gt;"/>
    <x v="2"/>
    <x v="2"/>
  </r>
  <r>
    <x v="24"/>
    <x v="24"/>
    <s v="(320) MEJORAS ** 2da fase de tablero de atención al clientes para cajas del departamento de Repuestos"/>
    <n v="247556"/>
    <s v="DOUGLAS MONTOYA MONTAVES"/>
    <n v="28"/>
    <x v="1"/>
    <m/>
    <x v="2"/>
    <s v="x"/>
    <m/>
    <m/>
    <m/>
    <m/>
    <m/>
    <n v="3"/>
    <n v="3"/>
    <n v="3"/>
    <n v="3"/>
    <m/>
    <m/>
    <d v="2025-01-01T00:00:00"/>
    <d v="1899-12-31T00:00:00"/>
    <x v="5"/>
    <x v="4"/>
    <m/>
    <s v="&lt;p&gt;MEJORAS ** 2da fase de tablero de atención al clientes para cajas del departamento de Repuestos&lt;/p&gt;&lt;p&gt;PENDIENTE DE ASIGNAR MARVIN VARGAS&lt;/p&gt;"/>
    <x v="3"/>
    <x v="3"/>
  </r>
  <r>
    <x v="25"/>
    <x v="25"/>
    <s v="(322) CONSULTA EN SISTEMA DE PEDIDOS DISTRIBUIDORES - KRAS ** Consulta de estados de cuenta por el cliente en la web. Desde la página de pedidos del distribuidor se podrá accesar a la página de estados de cuenta"/>
    <n v="247857"/>
    <s v="ARNALDO RENE COTTO STREMS"/>
    <n v="28"/>
    <x v="1"/>
    <m/>
    <x v="2"/>
    <s v="x"/>
    <m/>
    <m/>
    <m/>
    <m/>
    <m/>
    <n v="3"/>
    <n v="3"/>
    <n v="1"/>
    <n v="1"/>
    <m/>
    <m/>
    <d v="2025-01-01T00:00:00"/>
    <d v="1899-12-31T00:00:00"/>
    <x v="5"/>
    <x v="4"/>
    <m/>
    <s v="&lt;p&gt;CONSULTA EN SISTEMA DE PEDIDOS DISTRIBUIDORES - KRAS ** Consulta de estados de cuenta por el cliente en la web. Desde la página de pedidos del distribuidor se podrá accesar a la página de estados de cuenta&lt;/p&gt;&lt;p&gt;PENDIENTE DE ASIGNAR MARVIN VARGAS&lt;/p&gt;"/>
    <x v="3"/>
    <x v="3"/>
  </r>
  <r>
    <x v="26"/>
    <x v="26"/>
    <s v="(323) PROCESO ** KPIS de rendimiento para personal de créditos y cobros"/>
    <n v="247722"/>
    <s v="RICARDO ALFONSO ESCOBEDO DACARET"/>
    <n v="28"/>
    <x v="1"/>
    <n v="2767"/>
    <x v="5"/>
    <s v="x"/>
    <m/>
    <m/>
    <m/>
    <m/>
    <m/>
    <n v="1"/>
    <n v="1"/>
    <n v="3"/>
    <n v="3"/>
    <m/>
    <m/>
    <d v="2025-01-01T00:00:00"/>
    <d v="1899-12-31T00:00:00"/>
    <x v="2"/>
    <x v="5"/>
    <m/>
    <s v="&lt;p&gt;PROCESO ** KPIS de rendimiento para personal de créditos y cobros&lt;/p&gt;"/>
    <x v="1"/>
    <x v="1"/>
  </r>
  <r>
    <x v="27"/>
    <x v="27"/>
    <s v="(324) PROCESO ** Seguimiento al proceso de entrega y preparación de vehículos, realizar webservices con SAP"/>
    <n v="247374"/>
    <s v="LUIS PEDRO LOPEZ RODAS"/>
    <n v="28"/>
    <x v="1"/>
    <m/>
    <x v="2"/>
    <s v="x"/>
    <m/>
    <m/>
    <m/>
    <m/>
    <m/>
    <n v="2"/>
    <n v="2"/>
    <n v="2"/>
    <n v="2"/>
    <m/>
    <m/>
    <d v="2025-01-01T00:00:00"/>
    <d v="1899-12-31T00:00:00"/>
    <x v="2"/>
    <x v="6"/>
    <m/>
    <s v="&lt;p&gt;PROCESO ** Seguimiento al proceso de entrega y preparación de vehículos, realizar webservices con SAP&lt;/p&gt;&lt;p&gt;PENDIENTE DE ASIGNAR MARVIN VARGAS&lt;/p&gt;"/>
    <x v="1"/>
    <x v="1"/>
  </r>
  <r>
    <x v="28"/>
    <x v="28"/>
    <s v="(326) PROCESO ** Conexión a SAP para retroalimentación de etapas de reparación de un vehículo"/>
    <n v="247828"/>
    <s v="DOUGLAS ALEJANDRO MALDONADO DUMAS"/>
    <n v="28"/>
    <x v="1"/>
    <m/>
    <x v="2"/>
    <s v="x"/>
    <m/>
    <m/>
    <m/>
    <m/>
    <m/>
    <n v="2"/>
    <n v="2"/>
    <n v="2"/>
    <n v="2"/>
    <m/>
    <m/>
    <d v="2025-01-01T00:00:00"/>
    <d v="1899-12-31T00:00:00"/>
    <x v="2"/>
    <x v="4"/>
    <m/>
    <s v="&lt;p&gt;PROCESO ** Conexión a SAP para retroalimentación de etapas de reparación de un vehículo&lt;/p&gt;&lt;p&gt;PENDIENTE DE ASIGNAR MARVIN VARGAS&lt;/p&gt;"/>
    <x v="1"/>
    <x v="1"/>
  </r>
  <r>
    <x v="29"/>
    <x v="29"/>
    <s v="(331) WMS  ** Implementación de WMS en Elisur. Las otras bodegas serán tickets adicionales (Bodega zona4, Taller Automotriz, Bodega Hyundai)"/>
    <n v="289092"/>
    <s v="CESAR ORLANDO MARTINEZ ABAL"/>
    <n v="21"/>
    <x v="2"/>
    <n v="3203"/>
    <x v="6"/>
    <s v="x"/>
    <b v="1"/>
    <m/>
    <m/>
    <m/>
    <m/>
    <n v="1"/>
    <n v="1"/>
    <n v="1"/>
    <n v="1"/>
    <m/>
    <m/>
    <d v="2025-01-01T00:00:00"/>
    <d v="1899-12-31T00:00:00"/>
    <x v="0"/>
    <x v="4"/>
    <m/>
    <s v="&lt;p&gt;WMS  ** Implementación de WMS en Elisur. Las otras bodegas serán tickets adicionales (Bodega zona4, Taller Automotriz, Bodega Hyundai)&lt;/p&gt;"/>
    <x v="0"/>
    <x v="0"/>
  </r>
  <r>
    <x v="30"/>
    <x v="30"/>
    <s v="(337) ENSAMBLE DE MOTOS   - KRAS ** Implementación del Módulo de Ensamble de Motocicletas en Elizur Fase 1"/>
    <n v="289092"/>
    <s v="CESAR ORLANDO MARTINEZ ABAL"/>
    <n v="21"/>
    <x v="2"/>
    <n v="3203"/>
    <x v="6"/>
    <s v="x"/>
    <b v="1"/>
    <m/>
    <m/>
    <m/>
    <m/>
    <n v="1"/>
    <n v="1"/>
    <n v="1"/>
    <n v="1"/>
    <m/>
    <m/>
    <d v="2025-01-01T00:00:00"/>
    <d v="1899-12-31T00:00:00"/>
    <x v="10"/>
    <x v="10"/>
    <m/>
    <s v="&lt;p&gt;ENSAMBLE DE MOTOS   - KRAS ** Implementación del Módulo de Ensamble de Motocicletas en Elizur Fase 1&lt;/p&gt;"/>
    <x v="0"/>
    <x v="0"/>
  </r>
  <r>
    <x v="31"/>
    <x v="31"/>
    <s v="(341) PROCESO ** Implementación de EVOLUTION sistema de RRHH"/>
    <n v="247904"/>
    <s v="MIRNA LISSETTE ARRECIS ROSALES"/>
    <n v="28"/>
    <x v="1"/>
    <n v="312"/>
    <x v="7"/>
    <s v="x"/>
    <m/>
    <m/>
    <m/>
    <m/>
    <m/>
    <n v="1"/>
    <n v="1"/>
    <n v="1"/>
    <n v="1"/>
    <m/>
    <m/>
    <d v="2025-01-01T00:00:00"/>
    <d v="1899-12-31T00:00:00"/>
    <x v="11"/>
    <x v="11"/>
    <m/>
    <s v="&lt;p&gt;PROCESO ** Implementación de EVOLUTION sistema de RRHH&lt;/p&gt;"/>
    <x v="4"/>
    <x v="4"/>
  </r>
  <r>
    <x v="32"/>
    <x v="32"/>
    <s v="(343) PROCESO ** Implementación de SAP 10 para la Empresa Canella"/>
    <n v="247885"/>
    <s v="AMABILIA MARISOL RECINOS ARGUETA"/>
    <n v="28"/>
    <x v="1"/>
    <n v="312"/>
    <x v="7"/>
    <s v="x"/>
    <m/>
    <m/>
    <m/>
    <m/>
    <m/>
    <n v="1"/>
    <n v="1"/>
    <n v="1"/>
    <n v="1"/>
    <m/>
    <m/>
    <d v="2025-01-01T00:00:00"/>
    <d v="1899-12-31T00:00:00"/>
    <x v="12"/>
    <x v="12"/>
    <m/>
    <s v="&lt;p&gt;PROCESO ** Implementación de SAP 10 para la Empresa Canella&lt;/p&gt;"/>
    <x v="3"/>
    <x v="3"/>
  </r>
  <r>
    <x v="33"/>
    <x v="33"/>
    <s v="(345) PROCESO ** Seguimiento al Sistema SAP para mejorar la estabilidad, bloqueos y mejoras en redimiento. Identificar procesos clave y hacer un plan de trabajo"/>
    <n v="247885"/>
    <s v="AMABILIA MARISOL RECINOS ARGUETA"/>
    <n v="28"/>
    <x v="1"/>
    <n v="312"/>
    <x v="7"/>
    <s v="x"/>
    <m/>
    <m/>
    <m/>
    <m/>
    <m/>
    <n v="1"/>
    <n v="1"/>
    <n v="1"/>
    <n v="1"/>
    <m/>
    <m/>
    <d v="2025-01-01T00:00:00"/>
    <d v="1899-12-31T00:00:00"/>
    <x v="12"/>
    <x v="13"/>
    <m/>
    <s v="&lt;p&gt;PROCESO ** Seguimiento al Sistema SAP para mejorar la estabilidad, bloqueos y mejoras en redimiento. Identificar procesos clave y hacer un plan de trabajo&lt;/p&gt;"/>
    <x v="3"/>
    <x v="3"/>
  </r>
  <r>
    <x v="34"/>
    <x v="34"/>
    <s v="(346) PANTALLA  ** Creación de pantalla para cambiar códigos de artículos que tengan pase en el contrato, debido que a la hora de despachar no cuentan con el artículo.  "/>
    <n v="247828"/>
    <s v="DOUGLAS ALEJANDRO MALDONADO DUMAS"/>
    <n v="21"/>
    <x v="2"/>
    <n v="3234"/>
    <x v="8"/>
    <s v="x"/>
    <m/>
    <m/>
    <m/>
    <m/>
    <m/>
    <n v="1"/>
    <n v="1"/>
    <n v="1"/>
    <n v="1"/>
    <m/>
    <m/>
    <d v="2025-01-01T00:00:00"/>
    <d v="1899-12-31T00:00:00"/>
    <x v="0"/>
    <x v="0"/>
    <m/>
    <s v="&lt;p&gt;PANTALLA  ** Creación de pantalla para cambiar códigos de artículos que tengan pase en el contrato, debido que a la hora de despachar no cuentan con el artículo.  &lt;/p&gt;"/>
    <x v="0"/>
    <x v="0"/>
  </r>
  <r>
    <x v="35"/>
    <x v="35"/>
    <s v="(347) MODULO DE COMISIONES ** Creación de modulo de comisiones con las indicaciones de Auditoría y Gerencia"/>
    <n v="247857"/>
    <s v="ARNALDO RENE COTTO STREMS"/>
    <n v="28"/>
    <x v="1"/>
    <n v="3234"/>
    <x v="8"/>
    <s v="x"/>
    <m/>
    <m/>
    <m/>
    <m/>
    <m/>
    <n v="3"/>
    <n v="3"/>
    <n v="1"/>
    <n v="1"/>
    <m/>
    <m/>
    <d v="2025-01-01T00:00:00"/>
    <d v="1899-12-31T00:00:00"/>
    <x v="3"/>
    <x v="4"/>
    <m/>
    <s v="&lt;p&gt;MODULO DE COMISIONES ** Creación de modulo de comisiones con las indicaciones de Auditoría y Gerencia&lt;/p&gt;"/>
    <x v="2"/>
    <x v="2"/>
  </r>
  <r>
    <x v="36"/>
    <x v="36"/>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x v="2"/>
    <n v="3234"/>
    <x v="8"/>
    <s v="x"/>
    <m/>
    <m/>
    <m/>
    <m/>
    <m/>
    <n v="1"/>
    <n v="1"/>
    <n v="1"/>
    <n v="1"/>
    <m/>
    <m/>
    <d v="2025-01-01T00:00:00"/>
    <d v="1899-12-31T00:00:00"/>
    <x v="0"/>
    <x v="0"/>
    <m/>
    <s v="&lt;p&gt;PROCESO ** Necesitamos realizar un desarrollo en SAP, practicamente es que cuando un cliente con facturas en mora se ponga al día, el sistema lo desbloquee en automático sin la intervención de Créditos. Edward Garcia fue el solicitante&lt;/p&gt;"/>
    <x v="0"/>
    <x v="0"/>
  </r>
  <r>
    <x v="37"/>
    <x v="37"/>
    <s v="(349) PROCESO  ** Implementación tarifario de mano de obra Isuzu (Esto está detenido por Douglas porque necesita un reporte de líneas de vehículo de José Roberto para depurar las líneas en SAP)"/>
    <n v="247828"/>
    <s v="DOUGLAS ALEJANDRO MALDONADO DUMAS"/>
    <n v="28"/>
    <x v="1"/>
    <n v="3234"/>
    <x v="8"/>
    <s v="x"/>
    <m/>
    <m/>
    <m/>
    <m/>
    <m/>
    <n v="3"/>
    <n v="3"/>
    <n v="3"/>
    <n v="3"/>
    <m/>
    <m/>
    <d v="2025-01-01T00:00:00"/>
    <d v="1899-12-31T00:00:00"/>
    <x v="6"/>
    <x v="7"/>
    <m/>
    <s v="&lt;p&gt;PROCESO  ** Implementación tarifario de mano de obra Isuzu (Esto está detenido por Douglas porque necesita un reporte de líneas de vehículo de José Roberto para depurar las líneas en SAP)&lt;/p&gt;"/>
    <x v="1"/>
    <x v="1"/>
  </r>
  <r>
    <x v="38"/>
    <x v="38"/>
    <s v="(350) REPORTE ** Realizar un reporte de Inventario con las columnas indicadas por Rene Cotto"/>
    <n v="247857"/>
    <s v="ARNALDO RENE COTTO STREMS"/>
    <n v="28"/>
    <x v="1"/>
    <n v="3234"/>
    <x v="8"/>
    <s v="x"/>
    <m/>
    <m/>
    <m/>
    <m/>
    <m/>
    <n v="1"/>
    <n v="1"/>
    <n v="1"/>
    <n v="1"/>
    <m/>
    <m/>
    <d v="2025-01-01T00:00:00"/>
    <d v="1899-12-31T00:00:00"/>
    <x v="8"/>
    <x v="14"/>
    <m/>
    <s v="&lt;p&gt;REPORTE ** Realizar un reporte de Inventario con las columnas indicadas por Rene Cotto&lt;/p&gt;"/>
    <x v="2"/>
    <x v="2"/>
  </r>
  <r>
    <x v="39"/>
    <x v="39"/>
    <s v="(351) PROCESO  ** Cambio de códigos de mano de obra en el módulo de contratos de mantenimiento para salir en vivo con el tarifario de mano de obra isuzu (en espera de listado de códigos de parte de Douglas)."/>
    <n v="247828"/>
    <s v="DOUGLAS ALEJANDRO MALDONADO DUMAS"/>
    <n v="28"/>
    <x v="1"/>
    <n v="3234"/>
    <x v="8"/>
    <s v="x"/>
    <m/>
    <m/>
    <m/>
    <m/>
    <m/>
    <n v="3"/>
    <n v="3"/>
    <n v="1"/>
    <n v="1"/>
    <m/>
    <m/>
    <d v="2025-01-01T00:00:00"/>
    <d v="1899-12-31T00:00:00"/>
    <x v="3"/>
    <x v="8"/>
    <m/>
    <s v="&lt;p&gt;PROCESO  ** Cambio de códigos de mano de obra en el módulo de contratos de mantenimiento para salir en vivo con el tarifario de mano de obra isuzu (en espera de listado de códigos de parte de Douglas).&lt;/p&gt;"/>
    <x v="2"/>
    <x v="2"/>
  </r>
  <r>
    <x v="40"/>
    <x v="40"/>
    <s v="(367) Mejoras al sistema SQM y STOD en la parte de registro de Leas y Cotizaciones para que no exista doble digitación"/>
    <n v="247605"/>
    <s v="MANUEL RAMIRO LOPEZ PIEDRASANTA"/>
    <n v="29"/>
    <x v="4"/>
    <m/>
    <x v="2"/>
    <s v="x"/>
    <m/>
    <m/>
    <m/>
    <m/>
    <m/>
    <n v="2"/>
    <n v="2"/>
    <n v="2"/>
    <n v="2"/>
    <m/>
    <m/>
    <d v="2025-01-28T00:00:00"/>
    <d v="1899-12-31T00:00:00"/>
    <x v="3"/>
    <x v="15"/>
    <m/>
    <s v="&lt;p&gt;Mejoras al sistema SQM y STOD en la parte de registro de Leas y Cotizaciones para que no exista doble digitación&lt;/p&gt;"/>
    <x v="2"/>
    <x v="2"/>
  </r>
  <r>
    <x v="41"/>
    <x v="41"/>
    <s v="(368) Cerrar todas las ordenes abiertas de la División Soluciones de Oficina hasta el 30 de septiembre de 2024"/>
    <n v="247888"/>
    <s v="JUAN MANUEL SOTO GUTIERREZ"/>
    <n v="22"/>
    <x v="3"/>
    <n v="3233"/>
    <x v="0"/>
    <s v="x"/>
    <m/>
    <m/>
    <m/>
    <m/>
    <m/>
    <n v="1"/>
    <n v="1"/>
    <n v="1"/>
    <n v="1"/>
    <m/>
    <m/>
    <d v="2024-12-27T00:00:00"/>
    <d v="1899-12-31T00:00:00"/>
    <x v="13"/>
    <x v="16"/>
    <m/>
    <s v="&lt;p&gt;Cerrar todas las ordenes abiertas de la División Soluciones de Oficina hasta el 30 de septiembre de 2024,&lt;/p&gt;&lt;p&gt;En conjunto con Marvin Vargas se cerraron automáticamente las OC&lt;/p&gt;"/>
    <x v="2"/>
    <x v="2"/>
  </r>
  <r>
    <x v="42"/>
    <x v="42"/>
    <s v="(372) Se da soporte al proceso de confirmación de boletas en el caso donde se confirmo una boleta con banco incorrecto y en donde el detalle de montos"/>
    <n v="289036"/>
    <s v="MADELYN SUSANA BRAN OLIVAREZ"/>
    <n v="29"/>
    <x v="4"/>
    <n v="195"/>
    <x v="3"/>
    <s v="x"/>
    <b v="1"/>
    <m/>
    <m/>
    <m/>
    <m/>
    <m/>
    <m/>
    <n v="1"/>
    <n v="1"/>
    <m/>
    <m/>
    <d v="2025-01-16T00:00:00"/>
    <d v="1899-12-31T00:00:00"/>
    <x v="14"/>
    <x v="17"/>
    <m/>
    <m/>
    <x v="0"/>
    <x v="0"/>
  </r>
  <r>
    <x v="43"/>
    <x v="43"/>
    <s v="(NT) Test 01 (CN006)"/>
    <m/>
    <m/>
    <n v="29"/>
    <x v="4"/>
    <n v="252"/>
    <x v="9"/>
    <s v="x"/>
    <m/>
    <n v="1"/>
    <s v="API"/>
    <m/>
    <m/>
    <m/>
    <m/>
    <m/>
    <m/>
    <m/>
    <m/>
    <m/>
    <m/>
    <x v="15"/>
    <x v="18"/>
    <m/>
    <m/>
    <x v="5"/>
    <x v="5"/>
  </r>
  <r>
    <x v="44"/>
    <x v="43"/>
    <s v="(NT) Test Williams Galván"/>
    <n v="247047"/>
    <s v="JULIO RENE PAIZ ANDRADE"/>
    <n v="29"/>
    <x v="4"/>
    <n v="312"/>
    <x v="7"/>
    <s v="x"/>
    <b v="1"/>
    <m/>
    <m/>
    <m/>
    <m/>
    <m/>
    <m/>
    <m/>
    <m/>
    <m/>
    <m/>
    <m/>
    <m/>
    <x v="15"/>
    <x v="18"/>
    <m/>
    <m/>
    <x v="5"/>
    <x v="5"/>
  </r>
  <r>
    <x v="45"/>
    <x v="44"/>
    <s v="ACTUALIZACION ESTADOS DE CUENTA DE BANCOS (CN006)"/>
    <m/>
    <m/>
    <n v="29"/>
    <x v="4"/>
    <n v="3202"/>
    <x v="10"/>
    <s v="x"/>
    <m/>
    <m/>
    <m/>
    <m/>
    <m/>
    <n v="3"/>
    <n v="3"/>
    <n v="1"/>
    <n v="1"/>
    <m/>
    <m/>
    <d v="2025-01-01T00:00:00"/>
    <d v="1899-12-31T00:00:00"/>
    <x v="16"/>
    <x v="4"/>
    <m/>
    <m/>
    <x v="1"/>
    <x v="1"/>
  </r>
  <r>
    <x v="46"/>
    <x v="45"/>
    <s v="Actualización Masiva de Asientos Contables (CN006)"/>
    <n v="247002"/>
    <s v="AMI PAOLA YOC LOPEZ"/>
    <n v="21"/>
    <x v="2"/>
    <n v="3202"/>
    <x v="10"/>
    <s v="x"/>
    <b v="1"/>
    <m/>
    <m/>
    <m/>
    <m/>
    <n v="1"/>
    <n v="1"/>
    <n v="2"/>
    <n v="2"/>
    <m/>
    <m/>
    <d v="2025-01-20T00:00:00"/>
    <d v="1899-12-31T00:00:00"/>
    <x v="10"/>
    <x v="19"/>
    <d v="2025-03-01T00:00:00"/>
    <m/>
    <x v="0"/>
    <x v="0"/>
  </r>
  <r>
    <x v="47"/>
    <x v="46"/>
    <s v="Actualizar campos de usuario que indicará el estado del documento en la orden de compra. (CN006)"/>
    <n v="247002"/>
    <s v="AMI PAOLA YOC LOPEZ"/>
    <n v="22"/>
    <x v="3"/>
    <n v="3202"/>
    <x v="10"/>
    <s v="x"/>
    <m/>
    <m/>
    <m/>
    <m/>
    <m/>
    <n v="1"/>
    <n v="1"/>
    <n v="1"/>
    <n v="1"/>
    <m/>
    <m/>
    <d v="2025-01-01T00:00:00"/>
    <d v="1899-12-31T00:00:00"/>
    <x v="17"/>
    <x v="0"/>
    <m/>
    <m/>
    <x v="2"/>
    <x v="2"/>
  </r>
  <r>
    <x v="48"/>
    <x v="43"/>
    <s v="Ajuste de reporte de STOD MOVIL"/>
    <n v="247857"/>
    <s v="ARNALDO RENE COTTO STREMS"/>
    <n v="29"/>
    <x v="4"/>
    <n v="252"/>
    <x v="9"/>
    <s v="x"/>
    <b v="1"/>
    <n v="3"/>
    <s v="REPORTE"/>
    <n v="2"/>
    <s v="MEDIA"/>
    <n v="2"/>
    <n v="2"/>
    <n v="2"/>
    <n v="2"/>
    <n v="1"/>
    <s v="PEQUEÑO"/>
    <d v="2025-02-11T00:00:00"/>
    <d v="2025-02-17T00:00:00"/>
    <x v="15"/>
    <x v="18"/>
    <m/>
    <m/>
    <x v="5"/>
    <x v="5"/>
  </r>
  <r>
    <x v="49"/>
    <x v="47"/>
    <s v="Ajustes a los libros fiscales en todos los SAP (CN006)"/>
    <m/>
    <m/>
    <n v="29"/>
    <x v="4"/>
    <n v="3202"/>
    <x v="10"/>
    <s v="x"/>
    <m/>
    <m/>
    <m/>
    <m/>
    <m/>
    <n v="3"/>
    <n v="3"/>
    <n v="3"/>
    <n v="3"/>
    <m/>
    <m/>
    <d v="2025-01-01T00:00:00"/>
    <d v="1899-12-31T00:00:00"/>
    <x v="2"/>
    <x v="6"/>
    <m/>
    <m/>
    <x v="1"/>
    <x v="1"/>
  </r>
  <r>
    <x v="50"/>
    <x v="43"/>
    <s v="Ajustes al reporte - REP - TableroDistribuicion Z13 - Entregas Pendientes (Caja)"/>
    <n v="289006"/>
    <s v="SULY DANIELA CHUN SANTOS de RIVERA"/>
    <n v="30"/>
    <x v="0"/>
    <n v="3202"/>
    <x v="10"/>
    <s v="x"/>
    <b v="1"/>
    <n v="4"/>
    <s v="SOPORTE/CAPACITACION"/>
    <n v="1"/>
    <s v="BAJA"/>
    <n v="2"/>
    <n v="2"/>
    <n v="2"/>
    <n v="2"/>
    <n v="1"/>
    <s v="PEQUEÑO"/>
    <d v="2025-02-06T00:00:00"/>
    <d v="2025-02-13T00:00:00"/>
    <x v="3"/>
    <x v="1"/>
    <m/>
    <m/>
    <x v="2"/>
    <x v="2"/>
  </r>
  <r>
    <x v="51"/>
    <x v="48"/>
    <s v="Ajustes de sistema estados de cuentas (CN006)"/>
    <m/>
    <m/>
    <n v="27"/>
    <x v="5"/>
    <n v="3200"/>
    <x v="11"/>
    <s v="x"/>
    <m/>
    <m/>
    <m/>
    <m/>
    <m/>
    <n v="1"/>
    <n v="1"/>
    <n v="2"/>
    <n v="2"/>
    <m/>
    <m/>
    <d v="2025-01-01T00:00:00"/>
    <d v="1899-12-31T00:00:00"/>
    <x v="9"/>
    <x v="9"/>
    <m/>
    <s v="&lt;p&gt;Se necesita enviar un correo por el cual se avisara a los socios de negocio de distribución Yamaha que tiene un portal en el cual pueden ingresar para ver su estado de cuentas.&lt;/p&gt;"/>
    <x v="2"/>
    <x v="2"/>
  </r>
  <r>
    <x v="52"/>
    <x v="43"/>
    <s v="Autorización de facturas de Proveedores externos"/>
    <n v="247791"/>
    <s v="ASTRID VICTORIA PEÑA DIEGUEZ"/>
    <n v="29"/>
    <x v="4"/>
    <n v="3201"/>
    <x v="12"/>
    <s v="x"/>
    <m/>
    <n v="2"/>
    <s v="PROCESO"/>
    <n v="2"/>
    <s v="MEDIA"/>
    <n v="2"/>
    <n v="2"/>
    <n v="2"/>
    <n v="2"/>
    <n v="2"/>
    <s v="MEDIANO"/>
    <d v="2025-02-01T00:00:00"/>
    <m/>
    <x v="15"/>
    <x v="18"/>
    <m/>
    <m/>
    <x v="5"/>
    <x v="5"/>
  </r>
  <r>
    <x v="53"/>
    <x v="49"/>
    <s v="Consultas para reconciliaciones operados en Banco Industrial (CN006)"/>
    <n v="247795"/>
    <s v="SANDRA JUDITH LOARCA HERNANDEZ de PEREZ"/>
    <n v="21"/>
    <x v="2"/>
    <n v="3202"/>
    <x v="10"/>
    <s v="x"/>
    <m/>
    <m/>
    <m/>
    <m/>
    <m/>
    <n v="1"/>
    <n v="1"/>
    <n v="3"/>
    <n v="3"/>
    <m/>
    <m/>
    <d v="2025-01-01T00:00:00"/>
    <d v="1899-12-31T00:00:00"/>
    <x v="8"/>
    <x v="6"/>
    <d v="2025-02-04T00:00:00"/>
    <m/>
    <x v="2"/>
    <x v="2"/>
  </r>
  <r>
    <x v="54"/>
    <x v="50"/>
    <s v="Corrección y Mejoras en el FEIC (CN006)"/>
    <n v="247651"/>
    <s v="LUIS FERNANDO BARRIOS MATIAS"/>
    <n v="28"/>
    <x v="1"/>
    <n v="3199"/>
    <x v="4"/>
    <s v="x"/>
    <m/>
    <m/>
    <m/>
    <m/>
    <m/>
    <n v="2"/>
    <n v="2"/>
    <n v="2"/>
    <n v="2"/>
    <m/>
    <m/>
    <d v="2025-01-22T00:00:00"/>
    <d v="1899-12-31T00:00:00"/>
    <x v="18"/>
    <x v="20"/>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2"/>
    <x v="2"/>
  </r>
  <r>
    <x v="55"/>
    <x v="51"/>
    <s v="Creditos y Cobros Fase 2 - Cobro a domiciliario"/>
    <m/>
    <m/>
    <n v="22"/>
    <x v="3"/>
    <n v="2767"/>
    <x v="5"/>
    <s v="x"/>
    <m/>
    <m/>
    <m/>
    <m/>
    <m/>
    <n v="1"/>
    <n v="1"/>
    <n v="1"/>
    <n v="1"/>
    <m/>
    <m/>
    <d v="2025-01-01T00:00:00"/>
    <d v="1899-12-31T00:00:00"/>
    <x v="0"/>
    <x v="0"/>
    <m/>
    <s v="&lt;p&gt; ** PROCESO Implementación del sistema de cobro de calle en ODOO. Luis Polanco fue el solicitante **  ** &lt;/p&gt;"/>
    <x v="0"/>
    <x v="0"/>
  </r>
  <r>
    <x v="56"/>
    <x v="52"/>
    <s v="Cubos de BI sobre plataforma de Ucontact para análisis de datos (CN006)"/>
    <m/>
    <m/>
    <n v="29"/>
    <x v="4"/>
    <n v="3201"/>
    <x v="12"/>
    <s v="x"/>
    <m/>
    <m/>
    <m/>
    <m/>
    <m/>
    <n v="2"/>
    <n v="2"/>
    <n v="2"/>
    <n v="2"/>
    <m/>
    <m/>
    <d v="2025-01-01T00:00:00"/>
    <d v="1899-12-31T00:00:00"/>
    <x v="8"/>
    <x v="7"/>
    <m/>
    <m/>
    <x v="2"/>
    <x v="2"/>
  </r>
  <r>
    <x v="57"/>
    <x v="53"/>
    <s v="Digitalización y clasificación de DUCAS e IPrimas (CN006)"/>
    <n v="246895"/>
    <s v="CARLOS JOSE REMBERTO CONTRERAS FLORIAN"/>
    <n v="29"/>
    <x v="4"/>
    <n v="3201"/>
    <x v="12"/>
    <s v="x"/>
    <m/>
    <m/>
    <m/>
    <m/>
    <m/>
    <n v="1"/>
    <n v="1"/>
    <n v="2"/>
    <n v="2"/>
    <m/>
    <m/>
    <d v="2025-02-10T00:00:00"/>
    <d v="1899-12-31T00:00:00"/>
    <x v="19"/>
    <x v="21"/>
    <m/>
    <m/>
    <x v="1"/>
    <x v="1"/>
  </r>
  <r>
    <x v="58"/>
    <x v="43"/>
    <s v="Implementación de Sistema de Contraseñas de Proveedores Locales (copia)"/>
    <n v="254970"/>
    <s v="ROSA SOFIA PIRIR FERNANDEZ de SANCHEZ"/>
    <n v="21"/>
    <x v="2"/>
    <n v="3204"/>
    <x v="13"/>
    <s v="x"/>
    <m/>
    <n v="4"/>
    <s v="SOPORTE/CAPACITACION"/>
    <n v="2"/>
    <s v="MEDIA"/>
    <n v="2"/>
    <n v="2"/>
    <n v="2"/>
    <n v="2"/>
    <n v="1"/>
    <s v="PEQUEÑO"/>
    <d v="2025-02-05T00:00:00"/>
    <d v="2025-02-05T00:00:00"/>
    <x v="15"/>
    <x v="18"/>
    <m/>
    <m/>
    <x v="5"/>
    <x v="5"/>
  </r>
  <r>
    <x v="59"/>
    <x v="54"/>
    <s v="MEJORAS Ajustes a eSFA para que se muestre la trazabilidad de tiempo de atención de visitas al cliente (CN006)"/>
    <m/>
    <m/>
    <n v="29"/>
    <x v="4"/>
    <n v="3204"/>
    <x v="13"/>
    <s v="x"/>
    <m/>
    <m/>
    <m/>
    <m/>
    <m/>
    <n v="1"/>
    <n v="1"/>
    <n v="1"/>
    <n v="1"/>
    <m/>
    <m/>
    <d v="2025-01-01T00:00:00"/>
    <d v="1899-12-31T00:00:00"/>
    <x v="3"/>
    <x v="1"/>
    <m/>
    <m/>
    <x v="2"/>
    <x v="2"/>
  </r>
  <r>
    <x v="60"/>
    <x v="55"/>
    <s v="Mejora interface API SCON WEB (CN006)"/>
    <m/>
    <m/>
    <n v="29"/>
    <x v="4"/>
    <n v="3198"/>
    <x v="1"/>
    <s v="x"/>
    <m/>
    <m/>
    <m/>
    <m/>
    <m/>
    <n v="1"/>
    <n v="1"/>
    <n v="3"/>
    <n v="3"/>
    <m/>
    <m/>
    <d v="2025-01-01T00:00:00"/>
    <d v="1899-12-31T00:00:00"/>
    <x v="3"/>
    <x v="1"/>
    <m/>
    <m/>
    <x v="2"/>
    <x v="2"/>
  </r>
  <r>
    <x v="61"/>
    <x v="56"/>
    <s v="Obtención de Entrada de Mercancía y generación de factura (CN006)"/>
    <n v="247795"/>
    <s v="SANDRA JUDITH LOARCA HERNANDEZ de PEREZ"/>
    <n v="28"/>
    <x v="1"/>
    <n v="3201"/>
    <x v="12"/>
    <s v="x"/>
    <m/>
    <m/>
    <m/>
    <m/>
    <m/>
    <n v="1"/>
    <n v="1"/>
    <n v="1"/>
    <n v="1"/>
    <m/>
    <m/>
    <d v="2025-01-01T00:00:00"/>
    <d v="1899-12-31T00:00:00"/>
    <x v="0"/>
    <x v="0"/>
    <m/>
    <s v="&lt;p&gt; ** Obtención de Entrada de Mercancía, notificación automática a Proveedor para envío y validación de documentos, API para generación de factura desde SAP **  ** &lt;/p&gt;"/>
    <x v="0"/>
    <x v="0"/>
  </r>
  <r>
    <x v="62"/>
    <x v="57"/>
    <s v="PROCESO Automatización de carga extracto bancario de las cuentas BANRURAL para la empresa CANELLA - MT940(CN006)"/>
    <m/>
    <m/>
    <n v="30"/>
    <x v="0"/>
    <n v="3204"/>
    <x v="13"/>
    <s v="x"/>
    <m/>
    <m/>
    <m/>
    <m/>
    <m/>
    <n v="1"/>
    <n v="1"/>
    <n v="3"/>
    <n v="3"/>
    <m/>
    <m/>
    <d v="2025-01-01T00:00:00"/>
    <d v="1899-12-31T00:00:00"/>
    <x v="3"/>
    <x v="7"/>
    <m/>
    <m/>
    <x v="2"/>
    <x v="2"/>
  </r>
  <r>
    <x v="63"/>
    <x v="58"/>
    <s v="PROCESO Mejoras en los tiempos de impresión de facturas y certificación con Guatefacturas(CN006)"/>
    <m/>
    <m/>
    <n v="29"/>
    <x v="4"/>
    <n v="3204"/>
    <x v="13"/>
    <s v="x"/>
    <m/>
    <m/>
    <m/>
    <m/>
    <m/>
    <n v="1"/>
    <n v="1"/>
    <n v="3"/>
    <n v="3"/>
    <m/>
    <m/>
    <d v="2025-01-01T00:00:00"/>
    <d v="1899-12-31T00:00:00"/>
    <x v="2"/>
    <x v="2"/>
    <m/>
    <m/>
    <x v="1"/>
    <x v="1"/>
  </r>
  <r>
    <x v="64"/>
    <x v="59"/>
    <s v="PROCESO Plantilla para grabar extensiones e ISR(CN006)"/>
    <n v="246933"/>
    <s v="EDWARD ANTONY GARCIA ALVARADO"/>
    <n v="28"/>
    <x v="1"/>
    <n v="2767"/>
    <x v="5"/>
    <s v="x"/>
    <m/>
    <m/>
    <m/>
    <m/>
    <m/>
    <n v="1"/>
    <n v="1"/>
    <n v="2"/>
    <n v="2"/>
    <m/>
    <m/>
    <d v="2025-01-01T00:00:00"/>
    <d v="1899-12-31T00:00:00"/>
    <x v="2"/>
    <x v="2"/>
    <m/>
    <m/>
    <x v="1"/>
    <x v="1"/>
  </r>
  <r>
    <x v="65"/>
    <x v="60"/>
    <s v="PROCESO Robot que confirma boletas y valida duplicidad para Créditos y Cobros.  Edward Garcia fue el solicitante"/>
    <n v="247722"/>
    <s v="RICARDO ALFONSO ESCOBEDO DACARET"/>
    <n v="21"/>
    <x v="2"/>
    <n v="195"/>
    <x v="3"/>
    <s v="x"/>
    <m/>
    <m/>
    <m/>
    <m/>
    <m/>
    <n v="1"/>
    <n v="1"/>
    <n v="2"/>
    <n v="2"/>
    <m/>
    <m/>
    <d v="2025-01-01T00:00:00"/>
    <d v="1899-12-31T00:00:00"/>
    <x v="0"/>
    <x v="0"/>
    <m/>
    <m/>
    <x v="0"/>
    <x v="0"/>
  </r>
  <r>
    <x v="66"/>
    <x v="43"/>
    <s v="Pagos por anticipo ( medios de pago)."/>
    <n v="247884"/>
    <s v="ANA CAROLINA PALACIOS GONZALEZ de MENENDEZ"/>
    <n v="22"/>
    <x v="3"/>
    <n v="3204"/>
    <x v="13"/>
    <s v="x"/>
    <m/>
    <n v="3"/>
    <s v="REPORTE"/>
    <m/>
    <m/>
    <m/>
    <m/>
    <m/>
    <m/>
    <m/>
    <m/>
    <d v="2025-02-13T00:00:00"/>
    <d v="2025-02-13T00:00:00"/>
    <x v="20"/>
    <x v="22"/>
    <d v="2025-02-13T00:00:00"/>
    <m/>
    <x v="2"/>
    <x v="2"/>
  </r>
  <r>
    <x v="67"/>
    <x v="61"/>
    <s v="Proceso para cargas masivas de medios de pago (CN006)"/>
    <m/>
    <m/>
    <n v="29"/>
    <x v="4"/>
    <n v="3202"/>
    <x v="10"/>
    <s v="x"/>
    <m/>
    <m/>
    <m/>
    <m/>
    <m/>
    <n v="3"/>
    <n v="3"/>
    <n v="1"/>
    <n v="1"/>
    <m/>
    <m/>
    <d v="2025-01-01T00:00:00"/>
    <d v="1899-12-31T00:00:00"/>
    <x v="3"/>
    <x v="7"/>
    <m/>
    <m/>
    <x v="2"/>
    <x v="2"/>
  </r>
  <r>
    <x v="68"/>
    <x v="62"/>
    <s v="RPA Mr Credit - Envío de facturas (CN006)"/>
    <m/>
    <m/>
    <n v="21"/>
    <x v="2"/>
    <n v="195"/>
    <x v="3"/>
    <s v="x"/>
    <b v="1"/>
    <m/>
    <m/>
    <m/>
    <m/>
    <m/>
    <m/>
    <n v="1"/>
    <n v="1"/>
    <m/>
    <m/>
    <d v="2025-01-01T00:00:00"/>
    <d v="1899-12-31T00:00:00"/>
    <x v="21"/>
    <x v="17"/>
    <m/>
    <m/>
    <x v="0"/>
    <x v="0"/>
  </r>
  <r>
    <x v="69"/>
    <x v="43"/>
    <s v="Reporte compras para Auditoria"/>
    <n v="247647"/>
    <s v="EMILIA LETICIA DIAZ MAZARIEGOS"/>
    <n v="22"/>
    <x v="3"/>
    <n v="3233"/>
    <x v="0"/>
    <s v="x"/>
    <b v="1"/>
    <n v="3"/>
    <s v="REPORTE"/>
    <n v="2"/>
    <s v="MEDIA"/>
    <n v="1"/>
    <n v="1"/>
    <n v="1"/>
    <n v="1"/>
    <n v="2"/>
    <s v="MEDIANO"/>
    <d v="2025-02-10T00:00:00"/>
    <d v="2025-02-11T00:00:00"/>
    <x v="22"/>
    <x v="18"/>
    <m/>
    <s v="&lt;p&gt;Reporte de facturas de compras por servicios en SAP Canella, Maquipos y VESA, según modelo enviado.&lt;/p&gt;"/>
    <x v="2"/>
    <x v="2"/>
  </r>
  <r>
    <x v="70"/>
    <x v="43"/>
    <s v="Reporte de interfaces"/>
    <n v="289030"/>
    <s v="WILLIAMS GIOVANNI GALVAN ESTRADA"/>
    <n v="29"/>
    <x v="4"/>
    <n v="3198"/>
    <x v="1"/>
    <s v="x"/>
    <b v="1"/>
    <n v="3"/>
    <s v="REPORTE"/>
    <n v="1"/>
    <s v="BAJA"/>
    <n v="2"/>
    <n v="2"/>
    <n v="1"/>
    <n v="1"/>
    <n v="1"/>
    <s v="PEQUEÑO"/>
    <d v="2025-02-17T00:00:00"/>
    <d v="2025-02-17T00:00:00"/>
    <x v="23"/>
    <x v="18"/>
    <m/>
    <m/>
    <x v="2"/>
    <x v="2"/>
  </r>
  <r>
    <x v="71"/>
    <x v="63"/>
    <s v="Reporte de inventario Motul (CN006)"/>
    <n v="247857"/>
    <s v="ARNALDO RENE COTTO STREMS"/>
    <n v="21"/>
    <x v="2"/>
    <n v="3198"/>
    <x v="1"/>
    <s v="x"/>
    <m/>
    <m/>
    <m/>
    <m/>
    <m/>
    <n v="1"/>
    <n v="1"/>
    <n v="2"/>
    <n v="2"/>
    <m/>
    <m/>
    <d v="2025-01-01T00:00:00"/>
    <d v="1899-12-31T00:00:00"/>
    <x v="0"/>
    <x v="0"/>
    <m/>
    <s v="&lt;p&gt; ** INDICADORES Consulta de ventas, KPI, clientes para utliizar en el celular **  ** &lt;/p&gt;"/>
    <x v="0"/>
    <x v="0"/>
  </r>
  <r>
    <x v="72"/>
    <x v="43"/>
    <s v="Reporte del detalle de usuario en entregas SAP (CN006)"/>
    <m/>
    <m/>
    <n v="21"/>
    <x v="2"/>
    <n v="3198"/>
    <x v="1"/>
    <s v="x"/>
    <m/>
    <m/>
    <m/>
    <m/>
    <m/>
    <m/>
    <m/>
    <m/>
    <m/>
    <m/>
    <m/>
    <m/>
    <m/>
    <x v="15"/>
    <x v="18"/>
    <m/>
    <m/>
    <x v="5"/>
    <x v="5"/>
  </r>
  <r>
    <x v="73"/>
    <x v="64"/>
    <s v="Reporte facturas Admin Seguridad (CN006)"/>
    <m/>
    <m/>
    <n v="21"/>
    <x v="2"/>
    <n v="3201"/>
    <x v="12"/>
    <s v="x"/>
    <b v="1"/>
    <m/>
    <m/>
    <m/>
    <m/>
    <n v="1"/>
    <n v="1"/>
    <n v="1"/>
    <n v="1"/>
    <m/>
    <m/>
    <d v="2025-01-20T00:00:00"/>
    <d v="1899-12-31T00:00:00"/>
    <x v="0"/>
    <x v="0"/>
    <m/>
    <m/>
    <x v="0"/>
    <x v="0"/>
  </r>
  <r>
    <x v="74"/>
    <x v="65"/>
    <s v="SEGUIMIENTO A PEDIDOS (TRACKING) - KRAS(CN006)"/>
    <n v="247857"/>
    <s v="ARNALDO RENE COTTO STREMS"/>
    <n v="28"/>
    <x v="1"/>
    <n v="2767"/>
    <x v="5"/>
    <s v="x"/>
    <m/>
    <m/>
    <m/>
    <m/>
    <m/>
    <n v="1"/>
    <n v="1"/>
    <n v="1"/>
    <n v="1"/>
    <m/>
    <m/>
    <d v="2025-01-01T00:00:00"/>
    <d v="1899-12-31T00:00:00"/>
    <x v="2"/>
    <x v="5"/>
    <m/>
    <s v="&lt;p&gt;En una aplicación web los clientes deben poder ver sus pedidos con su respectivo estatus Pedido, Oferta, Orden, Entrega, Facturado, etc. &lt;/p&gt;"/>
    <x v="1"/>
    <x v="1"/>
  </r>
  <r>
    <x v="75"/>
    <x v="43"/>
    <s v="Soporte (CN006)"/>
    <m/>
    <m/>
    <n v="28"/>
    <x v="1"/>
    <n v="3203"/>
    <x v="6"/>
    <s v="x"/>
    <m/>
    <m/>
    <m/>
    <m/>
    <m/>
    <m/>
    <m/>
    <m/>
    <m/>
    <m/>
    <m/>
    <d v="2025-02-03T00:00:00"/>
    <d v="2025-02-03T00:00:00"/>
    <x v="15"/>
    <x v="18"/>
    <m/>
    <m/>
    <x v="5"/>
    <x v="5"/>
  </r>
  <r>
    <x v="76"/>
    <x v="43"/>
    <s v="Soporte Carga de Excel a STOD (CN006)"/>
    <n v="247417"/>
    <s v="ALVARO LEONEL GUTIERREZ LOPEZ"/>
    <n v="21"/>
    <x v="2"/>
    <n v="3202"/>
    <x v="10"/>
    <s v="x"/>
    <m/>
    <n v="4"/>
    <s v="SOPORTE/CAPACITACION"/>
    <n v="1"/>
    <s v="BAJA"/>
    <n v="1"/>
    <n v="1"/>
    <n v="2"/>
    <n v="2"/>
    <n v="1"/>
    <s v="PEQUEÑO"/>
    <d v="2025-02-04T00:00:00"/>
    <d v="2025-02-04T00:00:00"/>
    <x v="18"/>
    <x v="23"/>
    <d v="2025-02-05T00:00:00"/>
    <m/>
    <x v="2"/>
    <x v="2"/>
  </r>
  <r>
    <x v="77"/>
    <x v="43"/>
    <s v="Soporte Contabilidad Corte de Caja"/>
    <n v="247804"/>
    <s v="NANCY ELIZABETH ALVARADO TOLEDO"/>
    <n v="22"/>
    <x v="3"/>
    <n v="3204"/>
    <x v="13"/>
    <s v="x"/>
    <m/>
    <m/>
    <m/>
    <m/>
    <m/>
    <m/>
    <m/>
    <m/>
    <m/>
    <m/>
    <m/>
    <d v="2025-02-10T00:00:00"/>
    <d v="2025-02-10T00:00:00"/>
    <x v="24"/>
    <x v="24"/>
    <d v="2025-02-10T00:00:00"/>
    <m/>
    <x v="2"/>
    <x v="2"/>
  </r>
  <r>
    <x v="78"/>
    <x v="43"/>
    <s v="Soporte en creación Recibos de Pago"/>
    <n v="247897"/>
    <s v="JOSE LUIS PRADO PORTILLO"/>
    <n v="21"/>
    <x v="2"/>
    <n v="3202"/>
    <x v="10"/>
    <s v="x"/>
    <b v="1"/>
    <n v="4"/>
    <s v="SOPORTE/CAPACITACION"/>
    <n v="1"/>
    <s v="BAJA"/>
    <n v="2"/>
    <n v="2"/>
    <n v="2"/>
    <n v="2"/>
    <n v="1"/>
    <s v="PEQUEÑO"/>
    <d v="2025-02-13T00:00:00"/>
    <d v="2025-02-13T00:00:00"/>
    <x v="20"/>
    <x v="22"/>
    <d v="2025-02-13T00:00:00"/>
    <m/>
    <x v="2"/>
    <x v="2"/>
  </r>
  <r>
    <x v="79"/>
    <x v="43"/>
    <s v="Soporte enero (CN006)"/>
    <m/>
    <m/>
    <n v="21"/>
    <x v="2"/>
    <n v="3201"/>
    <x v="12"/>
    <s v="x"/>
    <m/>
    <n v="4"/>
    <s v="SOPORTE/CAPACITACION"/>
    <n v="1"/>
    <s v="BAJA"/>
    <n v="2"/>
    <n v="2"/>
    <n v="3"/>
    <n v="3"/>
    <n v="2"/>
    <s v="MEDIANO"/>
    <d v="2025-01-01T00:00:00"/>
    <d v="2025-01-01T00:00:00"/>
    <x v="0"/>
    <x v="0"/>
    <d v="2025-01-31T00:00:00"/>
    <m/>
    <x v="0"/>
    <x v="0"/>
  </r>
  <r>
    <x v="80"/>
    <x v="43"/>
    <s v="Soporte febrero (CN006)"/>
    <m/>
    <m/>
    <n v="22"/>
    <x v="3"/>
    <n v="3201"/>
    <x v="12"/>
    <s v="x"/>
    <m/>
    <n v="4"/>
    <s v="SOPORTE/CAPACITACION"/>
    <n v="1"/>
    <s v="BAJA"/>
    <n v="2"/>
    <n v="2"/>
    <n v="3"/>
    <n v="3"/>
    <n v="1"/>
    <s v="PEQUEÑO"/>
    <d v="2025-02-01T00:00:00"/>
    <d v="2025-02-01T00:00:00"/>
    <x v="3"/>
    <x v="1"/>
    <m/>
    <m/>
    <x v="2"/>
    <x v="2"/>
  </r>
  <r>
    <x v="81"/>
    <x v="43"/>
    <s v="Soporte query saldo de cuenta"/>
    <n v="246832"/>
    <s v="KAREN SELENA MENDIZABAL LOPEZ"/>
    <n v="22"/>
    <x v="3"/>
    <n v="3204"/>
    <x v="13"/>
    <s v="x"/>
    <m/>
    <n v="4"/>
    <s v="SOPORTE/CAPACITACION"/>
    <m/>
    <m/>
    <m/>
    <m/>
    <m/>
    <m/>
    <m/>
    <m/>
    <d v="2025-02-12T00:00:00"/>
    <d v="2025-02-12T00:00:00"/>
    <x v="25"/>
    <x v="25"/>
    <d v="2025-02-12T00:00:00"/>
    <m/>
    <x v="2"/>
    <x v="2"/>
  </r>
  <r>
    <x v="82"/>
    <x v="43"/>
    <s v="Soporte y documentación de proyectos (CN006)"/>
    <m/>
    <m/>
    <n v="30"/>
    <x v="0"/>
    <n v="195"/>
    <x v="3"/>
    <s v="x"/>
    <m/>
    <m/>
    <m/>
    <m/>
    <m/>
    <m/>
    <m/>
    <m/>
    <m/>
    <m/>
    <m/>
    <m/>
    <m/>
    <x v="15"/>
    <x v="18"/>
    <m/>
    <m/>
    <x v="5"/>
    <x v="5"/>
  </r>
  <r>
    <x v="83"/>
    <x v="66"/>
    <s v="Subdistribuidores Isuzu (CN006)"/>
    <n v="247791"/>
    <s v="ASTRID VICTORIA PEÑA DIEGUEZ"/>
    <n v="27"/>
    <x v="5"/>
    <n v="3201"/>
    <x v="12"/>
    <s v="x"/>
    <m/>
    <m/>
    <m/>
    <m/>
    <m/>
    <n v="1"/>
    <n v="1"/>
    <n v="1"/>
    <n v="1"/>
    <m/>
    <m/>
    <d v="2025-01-01T00:00:00"/>
    <d v="1899-12-31T00:00:00"/>
    <x v="19"/>
    <x v="21"/>
    <m/>
    <m/>
    <x v="1"/>
    <x v="1"/>
  </r>
  <r>
    <x v="84"/>
    <x v="67"/>
    <s v="Traslado de"/>
    <n v="289006"/>
    <s v="SULY DANIELA CHUN SANTOS de RIVERA"/>
    <n v="30"/>
    <x v="0"/>
    <n v="195"/>
    <x v="3"/>
    <s v="x"/>
    <m/>
    <m/>
    <m/>
    <m/>
    <m/>
    <n v="1"/>
    <n v="1"/>
    <n v="1"/>
    <n v="1"/>
    <m/>
    <m/>
    <d v="2025-01-01T00:00:00"/>
    <d v="1899-12-31T00:00:00"/>
    <x v="8"/>
    <x v="14"/>
    <m/>
    <m/>
    <x v="2"/>
    <x v="2"/>
  </r>
  <r>
    <x v="85"/>
    <x v="43"/>
    <s v="Traslado de sitio web Dashboard MOTUL"/>
    <n v="247857"/>
    <s v="ARNALDO RENE COTTO STREMS"/>
    <n v="22"/>
    <x v="3"/>
    <n v="195"/>
    <x v="3"/>
    <s v="x"/>
    <b v="1"/>
    <n v="2"/>
    <s v="PROCESO"/>
    <n v="2"/>
    <s v="MEDIA"/>
    <n v="2"/>
    <n v="2"/>
    <n v="2"/>
    <n v="2"/>
    <n v="2"/>
    <s v="MEDIANO"/>
    <d v="2025-02-01T00:00:00"/>
    <d v="2025-02-01T00:00:00"/>
    <x v="8"/>
    <x v="14"/>
    <m/>
    <s v="&lt;p&gt;Se solicita trasladar el sitio web que contiene el Dashboard de ventas MOTUL ya que este no se encuentra operando actualmente.&lt;/p&gt;"/>
    <x v="2"/>
    <x v="2"/>
  </r>
  <r>
    <x v="86"/>
    <x v="68"/>
    <s v="Agregar la opción &quot;Depósitos Mixtos&quot; al módulo de Recibos de Caja (CN006)"/>
    <m/>
    <m/>
    <n v="22"/>
    <x v="3"/>
    <n v="3202"/>
    <x v="10"/>
    <s v="x"/>
    <m/>
    <m/>
    <m/>
    <m/>
    <m/>
    <n v="1"/>
    <n v="1"/>
    <n v="1"/>
    <n v="1"/>
    <m/>
    <m/>
    <d v="2025-01-01T00:00:00"/>
    <d v="1899-12-31T00:00:00"/>
    <x v="8"/>
    <x v="14"/>
    <m/>
    <m/>
    <x v="2"/>
    <x v="2"/>
  </r>
  <r>
    <x v="87"/>
    <x v="69"/>
    <s v="Corrección de pantalla de gestión de correos de contratos de mantenimiento"/>
    <n v="247614"/>
    <s v="LEIDI PAOLA ESQUIVEL RAMIREZ"/>
    <n v="21"/>
    <x v="2"/>
    <n v="195"/>
    <x v="3"/>
    <s v="x"/>
    <b v="1"/>
    <m/>
    <m/>
    <m/>
    <m/>
    <m/>
    <m/>
    <n v="2"/>
    <n v="2"/>
    <m/>
    <m/>
    <d v="2025-01-21T00:00:00"/>
    <d v="1899-12-31T00:00:00"/>
    <x v="26"/>
    <x v="0"/>
    <d v="2025-02-07T00:00:00"/>
    <m/>
    <x v="0"/>
    <x v="0"/>
  </r>
  <r>
    <x v="88"/>
    <x v="70"/>
    <s v="Desarrollo de modulo de lavado de vehículos"/>
    <n v="247614"/>
    <s v="LEIDI PAOLA ESQUIVEL RAMIREZ"/>
    <n v="30"/>
    <x v="0"/>
    <n v="195"/>
    <x v="3"/>
    <s v="x"/>
    <m/>
    <m/>
    <m/>
    <m/>
    <m/>
    <n v="1"/>
    <n v="1"/>
    <n v="1"/>
    <n v="1"/>
    <m/>
    <m/>
    <d v="2025-01-01T00:00:00"/>
    <d v="1899-12-31T00:00:00"/>
    <x v="3"/>
    <x v="5"/>
    <m/>
    <m/>
    <x v="2"/>
    <x v="2"/>
  </r>
  <r>
    <x v="89"/>
    <x v="71"/>
    <s v="Implementación de Sistema de Contraseñas de Proveedores Locales"/>
    <n v="247795"/>
    <s v="SANDRA JUDITH LOARCA HERNANDEZ de PEREZ"/>
    <n v="22"/>
    <x v="3"/>
    <n v="3201"/>
    <x v="12"/>
    <s v="x"/>
    <m/>
    <m/>
    <m/>
    <m/>
    <m/>
    <n v="1"/>
    <n v="1"/>
    <n v="1"/>
    <n v="1"/>
    <m/>
    <m/>
    <d v="2025-01-01T00:00:00"/>
    <d v="1899-12-31T00:00:00"/>
    <x v="8"/>
    <x v="14"/>
    <m/>
    <s v="&lt;p&gt; ** Implementación del Sistema de Contraseñas de Proveedores Locales SAP/LASERFICHE **  ** &lt;/p&gt;"/>
    <x v="2"/>
    <x v="2"/>
  </r>
  <r>
    <x v="90"/>
    <x v="72"/>
    <s v="Optimización de creación y actualización de Proveedores (CN006)"/>
    <n v="247556"/>
    <s v="DOUGLAS MONTOYA MONTAVES"/>
    <n v="27"/>
    <x v="5"/>
    <n v="3201"/>
    <x v="12"/>
    <s v="x"/>
    <m/>
    <m/>
    <m/>
    <m/>
    <m/>
    <n v="1"/>
    <n v="1"/>
    <n v="1"/>
    <n v="1"/>
    <m/>
    <m/>
    <d v="2025-01-30T00:00:00"/>
    <d v="1899-12-31T00:00:00"/>
    <x v="4"/>
    <x v="3"/>
    <m/>
    <s v="&lt;p&gt; ** Proceso para creación proveedores con generación automática de código en SAP, alertas para actualización de datos y documentos, validación interna, almacenamiento y clasificación de expediente de proveedor. **  ** &lt;/p&gt;"/>
    <x v="3"/>
    <x v="3"/>
  </r>
  <r>
    <x v="91"/>
    <x v="73"/>
    <s v="Placas Yamaha (CN006)"/>
    <m/>
    <m/>
    <n v="21"/>
    <x v="2"/>
    <n v="3201"/>
    <x v="12"/>
    <s v="x"/>
    <m/>
    <m/>
    <m/>
    <m/>
    <m/>
    <n v="1"/>
    <n v="1"/>
    <n v="1"/>
    <n v="1"/>
    <m/>
    <m/>
    <d v="2025-01-01T00:00:00"/>
    <d v="1899-12-31T00:00:00"/>
    <x v="0"/>
    <x v="0"/>
    <m/>
    <m/>
    <x v="0"/>
    <x v="0"/>
  </r>
  <r>
    <x v="92"/>
    <x v="74"/>
    <s v="Reporte de Geolocalizacion interstate"/>
    <n v="247857"/>
    <s v="ARNALDO RENE COTTO STREMS"/>
    <n v="21"/>
    <x v="2"/>
    <n v="3204"/>
    <x v="13"/>
    <s v="x"/>
    <m/>
    <m/>
    <m/>
    <m/>
    <m/>
    <n v="1"/>
    <n v="1"/>
    <n v="1"/>
    <n v="1"/>
    <m/>
    <m/>
    <d v="2025-01-01T00:00:00"/>
    <d v="1899-12-31T00:00:00"/>
    <x v="0"/>
    <x v="0"/>
    <m/>
    <m/>
    <x v="0"/>
    <x v="0"/>
  </r>
  <r>
    <x v="93"/>
    <x v="75"/>
    <s v="Reporte de SAP sobre las cajas de repuestos"/>
    <n v="289006"/>
    <s v="SULY DANIELA CHUN SANTOS de RIVERA"/>
    <n v="21"/>
    <x v="2"/>
    <n v="3200"/>
    <x v="11"/>
    <s v="x"/>
    <m/>
    <m/>
    <m/>
    <m/>
    <m/>
    <n v="2"/>
    <n v="2"/>
    <n v="2"/>
    <n v="2"/>
    <m/>
    <m/>
    <d v="2025-01-28T00:00:00"/>
    <d v="1899-12-31T00:00:00"/>
    <x v="25"/>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2"/>
    <x v="2"/>
  </r>
  <r>
    <x v="94"/>
    <x v="43"/>
    <s v="Reserva de vehículo - Isuzu Subdistribuidor"/>
    <n v="247791"/>
    <s v="ASTRID VICTORIA PEÑA DIEGUEZ"/>
    <n v="28"/>
    <x v="1"/>
    <n v="3201"/>
    <x v="12"/>
    <s v="x"/>
    <m/>
    <n v="2"/>
    <s v="PROCESO"/>
    <n v="2"/>
    <s v="MEDIA"/>
    <n v="2"/>
    <n v="2"/>
    <n v="2"/>
    <n v="2"/>
    <n v="1"/>
    <s v="PEQUEÑO"/>
    <d v="2025-02-17T00:00:00"/>
    <m/>
    <x v="15"/>
    <x v="18"/>
    <m/>
    <m/>
    <x v="5"/>
    <x v="5"/>
  </r>
  <r>
    <x v="95"/>
    <x v="76"/>
    <s v="Soporte Creditos y Cobros General"/>
    <m/>
    <m/>
    <n v="22"/>
    <x v="3"/>
    <n v="2767"/>
    <x v="5"/>
    <s v="x"/>
    <b v="1"/>
    <m/>
    <m/>
    <m/>
    <m/>
    <n v="1"/>
    <n v="1"/>
    <n v="1"/>
    <n v="1"/>
    <m/>
    <m/>
    <d v="2025-01-01T00:00:00"/>
    <d v="1899-12-31T00:00:00"/>
    <x v="0"/>
    <x v="8"/>
    <m/>
    <s v="&lt;p&gt; ** SEGUIMIENTO Soporte al Sistema de Cobranza en ODOO. Edward Garcia fue el solicitante **  ** &lt;/p&gt;"/>
    <x v="0"/>
    <x v="0"/>
  </r>
  <r>
    <x v="96"/>
    <x v="43"/>
    <s v="Soporte PINPAD"/>
    <n v="289006"/>
    <s v="SULY DANIELA CHUN SANTOS de RIVERA"/>
    <n v="22"/>
    <x v="3"/>
    <n v="3204"/>
    <x v="13"/>
    <s v="x"/>
    <m/>
    <m/>
    <m/>
    <m/>
    <m/>
    <m/>
    <m/>
    <m/>
    <m/>
    <m/>
    <m/>
    <d v="2025-02-12T00:00:00"/>
    <d v="2025-02-12T00:00:00"/>
    <x v="25"/>
    <x v="25"/>
    <d v="2025-02-12T00:00:00"/>
    <m/>
    <x v="2"/>
    <x v="2"/>
  </r>
  <r>
    <x v="97"/>
    <x v="77"/>
    <s v="Conciliación bancaria MT940BI(CN006)"/>
    <n v="247417"/>
    <s v="ALVARO LEONEL GUTIERREZ LOPEZ"/>
    <n v="21"/>
    <x v="2"/>
    <n v="3204"/>
    <x v="13"/>
    <s v="x"/>
    <m/>
    <m/>
    <m/>
    <m/>
    <m/>
    <n v="1"/>
    <n v="1"/>
    <n v="1"/>
    <n v="1"/>
    <m/>
    <m/>
    <d v="2025-01-01T00:00:00"/>
    <d v="1899-12-31T00:00:00"/>
    <x v="0"/>
    <x v="0"/>
    <m/>
    <s v="&lt;p&gt;Carga de estado de cuenta MT940 banco industrial hacia SAP Canella&lt;/p&gt;"/>
    <x v="0"/>
    <x v="0"/>
  </r>
  <r>
    <x v="98"/>
    <x v="78"/>
    <s v="Desarrollo de reporte de personal 2024 de Taller Isuzu (CN006)"/>
    <m/>
    <m/>
    <n v="22"/>
    <x v="3"/>
    <n v="195"/>
    <x v="3"/>
    <s v="x"/>
    <b v="1"/>
    <m/>
    <m/>
    <m/>
    <m/>
    <m/>
    <m/>
    <n v="1"/>
    <n v="1"/>
    <m/>
    <m/>
    <d v="2025-01-01T00:00:00"/>
    <d v="1899-12-31T00:00:00"/>
    <x v="0"/>
    <x v="0"/>
    <m/>
    <m/>
    <x v="0"/>
    <x v="0"/>
  </r>
  <r>
    <x v="99"/>
    <x v="79"/>
    <s v="Implementación de WMS en Elizur (CN006)"/>
    <m/>
    <m/>
    <n v="21"/>
    <x v="2"/>
    <n v="3203"/>
    <x v="6"/>
    <s v="x"/>
    <m/>
    <m/>
    <m/>
    <m/>
    <m/>
    <n v="1"/>
    <n v="1"/>
    <n v="2"/>
    <n v="2"/>
    <m/>
    <m/>
    <d v="2025-01-01T00:00:00"/>
    <d v="1899-12-31T00:00:00"/>
    <x v="0"/>
    <x v="0"/>
    <m/>
    <m/>
    <x v="0"/>
    <x v="0"/>
  </r>
  <r>
    <x v="100"/>
    <x v="80"/>
    <s v="Proyecto GESCON (CN006)"/>
    <n v="247888"/>
    <s v="JUAN MANUEL SOTO GUTIERREZ"/>
    <n v="30"/>
    <x v="0"/>
    <n v="3198"/>
    <x v="1"/>
    <s v="x"/>
    <m/>
    <m/>
    <m/>
    <m/>
    <m/>
    <n v="1"/>
    <n v="1"/>
    <n v="1"/>
    <n v="1"/>
    <m/>
    <m/>
    <d v="2025-01-01T00:00:00"/>
    <d v="1899-12-31T00:00:00"/>
    <x v="27"/>
    <x v="26"/>
    <m/>
    <s v="&lt;p&gt; ** PROCESO Implementación y Renovación del nuevo Sistema de Contratos de Arrendamiento a una tecnología actualizada, revisión&amp;nbsp;y mejoras en los procesos, se agregara KPI y Gestión de las Cotizaciones, se cambiara nombre a la herramienta a GESCON **  ** &lt;/p&gt;"/>
    <x v="6"/>
    <x v="6"/>
  </r>
  <r>
    <x v="101"/>
    <x v="81"/>
    <s v="RPA de confirmación de boletas bancarias Créditos y Cobros"/>
    <n v="247722"/>
    <s v="RICARDO ALFONSO ESCOBEDO DACARET"/>
    <n v="30"/>
    <x v="0"/>
    <n v="195"/>
    <x v="3"/>
    <s v="x"/>
    <m/>
    <m/>
    <m/>
    <m/>
    <m/>
    <n v="1"/>
    <n v="1"/>
    <n v="2"/>
    <n v="2"/>
    <m/>
    <m/>
    <d v="2025-01-01T00:00:00"/>
    <d v="1899-12-31T00:00:00"/>
    <x v="8"/>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2"/>
    <x v="2"/>
  </r>
  <r>
    <x v="102"/>
    <x v="82"/>
    <s v="Sistema de encuestas Taller Isuzu (CN006)"/>
    <m/>
    <m/>
    <n v="21"/>
    <x v="2"/>
    <n v="195"/>
    <x v="3"/>
    <s v="x"/>
    <m/>
    <m/>
    <m/>
    <m/>
    <m/>
    <n v="1"/>
    <n v="1"/>
    <n v="2"/>
    <n v="2"/>
    <m/>
    <m/>
    <d v="2025-01-01T00:00:00"/>
    <d v="1899-12-31T00:00:00"/>
    <x v="0"/>
    <x v="0"/>
    <m/>
    <m/>
    <x v="0"/>
    <x v="0"/>
  </r>
  <r>
    <x v="103"/>
    <x v="43"/>
    <s v="Soporte Carga masiva Contabilidad TC Credomatic"/>
    <n v="289036"/>
    <s v="MADELYN SUSANA BRAN OLIVAREZ"/>
    <n v="22"/>
    <x v="3"/>
    <n v="3204"/>
    <x v="13"/>
    <s v="x"/>
    <m/>
    <n v="4"/>
    <s v="SOPORTE/CAPACITACION"/>
    <n v="1"/>
    <s v="BAJA"/>
    <n v="2"/>
    <n v="2"/>
    <n v="2"/>
    <n v="2"/>
    <n v="1"/>
    <s v="PEQUEÑO"/>
    <d v="2025-02-11T00:00:00"/>
    <d v="2025-02-11T00:00:00"/>
    <x v="28"/>
    <x v="27"/>
    <d v="2025-02-11T00:00:00"/>
    <m/>
    <x v="2"/>
    <x v="2"/>
  </r>
  <r>
    <x v="104"/>
    <x v="43"/>
    <s v="Soporte RPA - Boletas"/>
    <m/>
    <m/>
    <n v="22"/>
    <x v="3"/>
    <n v="2767"/>
    <x v="5"/>
    <s v="x"/>
    <m/>
    <m/>
    <m/>
    <m/>
    <m/>
    <m/>
    <m/>
    <m/>
    <m/>
    <m/>
    <m/>
    <d v="2025-02-06T00:00:00"/>
    <m/>
    <x v="3"/>
    <x v="1"/>
    <m/>
    <s v="&lt;p&gt;Seguimiento con problemas con las boletas de los bancos, problemas de estados de cuentas, cheques etc.&lt;/p&gt;"/>
    <x v="2"/>
    <x v="2"/>
  </r>
  <r>
    <x v="105"/>
    <x v="83"/>
    <s v="Soporte impresión Yamaha (CN006)"/>
    <n v="247807"/>
    <s v="EDUARDO JACOBO ARA GÓMEZ"/>
    <n v="22"/>
    <x v="3"/>
    <n v="3201"/>
    <x v="12"/>
    <s v="x"/>
    <m/>
    <m/>
    <m/>
    <m/>
    <m/>
    <n v="3"/>
    <n v="3"/>
    <n v="2"/>
    <n v="2"/>
    <m/>
    <m/>
    <d v="2025-01-31T00:00:00"/>
    <d v="1899-12-31T00:00:00"/>
    <x v="3"/>
    <x v="1"/>
    <m/>
    <s v="&lt;p&gt;Pruebas de impresión de lote de expedientes con personal del departamento de Placas ubicados en Yamaha Liberación, validando orden, expedientes completos, reimpresión y bitácora de estado de expedientes.&lt;/p&gt;"/>
    <x v="2"/>
    <x v="2"/>
  </r>
  <r>
    <x v="106"/>
    <x v="84"/>
    <s v="Creditos y Cobros Fase 2 - Cobro a domiciliario"/>
    <m/>
    <m/>
    <n v="22"/>
    <x v="3"/>
    <n v="2767"/>
    <x v="5"/>
    <s v="x"/>
    <m/>
    <m/>
    <m/>
    <m/>
    <m/>
    <n v="1"/>
    <n v="1"/>
    <n v="1"/>
    <n v="1"/>
    <m/>
    <m/>
    <d v="2025-01-01T00:00:00"/>
    <d v="1899-12-31T00:00:00"/>
    <x v="8"/>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2"/>
    <x v="2"/>
  </r>
  <r>
    <x v="107"/>
    <x v="85"/>
    <s v="Optimizacion de Llamadas de Servicio (CN006)"/>
    <m/>
    <m/>
    <n v="21"/>
    <x v="2"/>
    <n v="3203"/>
    <x v="6"/>
    <s v="x"/>
    <b v="1"/>
    <m/>
    <m/>
    <m/>
    <m/>
    <n v="1"/>
    <n v="1"/>
    <n v="3"/>
    <n v="3"/>
    <m/>
    <m/>
    <d v="2025-01-01T00:00:00"/>
    <d v="1899-12-31T00:00:00"/>
    <x v="0"/>
    <x v="21"/>
    <m/>
    <m/>
    <x v="0"/>
    <x v="0"/>
  </r>
  <r>
    <x v="108"/>
    <x v="43"/>
    <s v="Soporte MT940 GYT"/>
    <n v="247417"/>
    <s v="ALVARO LEONEL GUTIERREZ LOPEZ"/>
    <n v="22"/>
    <x v="3"/>
    <n v="3204"/>
    <x v="13"/>
    <s v="x"/>
    <m/>
    <n v="4"/>
    <s v="SOPORTE/CAPACITACION"/>
    <m/>
    <m/>
    <m/>
    <m/>
    <m/>
    <m/>
    <m/>
    <m/>
    <d v="2025-02-12T00:00:00"/>
    <d v="2025-02-12T00:00:00"/>
    <x v="25"/>
    <x v="25"/>
    <d v="2025-02-12T00:00:00"/>
    <m/>
    <x v="2"/>
    <x v="2"/>
  </r>
  <r>
    <x v="109"/>
    <x v="86"/>
    <s v="Soporte de confirmación de boletas Enero (CN006)"/>
    <n v="293171"/>
    <s v="GABRIEL EFRAIN MELENDEZ MARROQUIN"/>
    <n v="21"/>
    <x v="2"/>
    <n v="195"/>
    <x v="3"/>
    <s v="x"/>
    <b v="1"/>
    <m/>
    <m/>
    <m/>
    <m/>
    <n v="1"/>
    <n v="1"/>
    <n v="1"/>
    <n v="1"/>
    <m/>
    <m/>
    <d v="2025-01-01T00:00:00"/>
    <d v="1899-12-31T00:00:00"/>
    <x v="8"/>
    <x v="14"/>
    <d v="2025-02-12T00:00:00"/>
    <s v="&lt;p&gt; ** MEJORAS Traslado del módulo de pases de salida de SAP a STOD **  ** &lt;/p&gt;"/>
    <x v="2"/>
    <x v="2"/>
  </r>
  <r>
    <x v="110"/>
    <x v="87"/>
    <s v="Carga masiva de Activo Fijo (CN006)"/>
    <n v="247795"/>
    <s v="SANDRA JUDITH LOARCA HERNANDEZ de PEREZ"/>
    <n v="30"/>
    <x v="0"/>
    <n v="3200"/>
    <x v="11"/>
    <s v="x"/>
    <m/>
    <m/>
    <m/>
    <m/>
    <m/>
    <n v="1"/>
    <n v="1"/>
    <n v="3"/>
    <n v="3"/>
    <m/>
    <m/>
    <d v="2025-01-01T00:00:00"/>
    <d v="1899-12-31T00:00:00"/>
    <x v="3"/>
    <x v="7"/>
    <m/>
    <s v="&lt;p&gt; ** PROCESO Crear códigos de activos fijos por medio de un archivo Excel.&lt;/p&gt;"/>
    <x v="2"/>
    <x v="2"/>
  </r>
  <r>
    <x v="111"/>
    <x v="88"/>
    <s v="Módulo de RECALL taller ISUZU (CN006)"/>
    <n v="247828"/>
    <s v="DOUGLAS ALEJANDRO MALDONADO DUMAS"/>
    <n v="21"/>
    <x v="2"/>
    <n v="195"/>
    <x v="3"/>
    <s v="x"/>
    <m/>
    <m/>
    <m/>
    <m/>
    <m/>
    <n v="1"/>
    <n v="1"/>
    <n v="1"/>
    <n v="1"/>
    <m/>
    <m/>
    <d v="2025-01-01T00:00:00"/>
    <d v="1899-12-31T00:00:00"/>
    <x v="0"/>
    <x v="0"/>
    <m/>
    <s v="&lt;p&gt; ** Ajustes al modulo de Recall con las indicaciones de Taller Automotriz **  ** &lt;/p&gt;"/>
    <x v="0"/>
    <x v="0"/>
  </r>
  <r>
    <x v="112"/>
    <x v="89"/>
    <s v="Sistema de Cubos ABC (CN006)"/>
    <m/>
    <m/>
    <n v="28"/>
    <x v="1"/>
    <n v="3203"/>
    <x v="6"/>
    <s v="x"/>
    <m/>
    <m/>
    <m/>
    <m/>
    <m/>
    <n v="1"/>
    <n v="1"/>
    <n v="2"/>
    <n v="2"/>
    <m/>
    <m/>
    <d v="2025-01-01T00:00:00"/>
    <d v="1899-12-31T00:00:00"/>
    <x v="3"/>
    <x v="1"/>
    <m/>
    <m/>
    <x v="2"/>
    <x v="2"/>
  </r>
  <r>
    <x v="113"/>
    <x v="90"/>
    <s v="Envío de correo en creación Pago Recibido en SAP (CN006)"/>
    <n v="247722"/>
    <s v="RICARDO ALFONSO ESCOBEDO DACARET"/>
    <n v="30"/>
    <x v="0"/>
    <n v="3202"/>
    <x v="10"/>
    <s v="x"/>
    <b v="1"/>
    <m/>
    <m/>
    <m/>
    <m/>
    <n v="1"/>
    <n v="1"/>
    <n v="2"/>
    <n v="2"/>
    <m/>
    <m/>
    <d v="2025-01-01T00:00:00"/>
    <d v="1899-12-31T00:00:00"/>
    <x v="0"/>
    <x v="5"/>
    <m/>
    <s v="&lt;p&gt;Se debe enviar un correo a Edward Garcia notificando y adjuntando el PDF del pago recibido&amp;nbsp;cuando se crea en SAP Canella.&lt;/p&gt;"/>
    <x v="0"/>
    <x v="0"/>
  </r>
  <r>
    <x v="114"/>
    <x v="91"/>
    <s v="Mejoras a SAP"/>
    <m/>
    <m/>
    <n v="30"/>
    <x v="0"/>
    <n v="3203"/>
    <x v="6"/>
    <s v="x"/>
    <m/>
    <m/>
    <m/>
    <m/>
    <m/>
    <n v="3"/>
    <n v="3"/>
    <n v="2"/>
    <n v="2"/>
    <m/>
    <m/>
    <d v="2025-01-01T00:00:00"/>
    <d v="1899-12-31T00:00:00"/>
    <x v="3"/>
    <x v="1"/>
    <m/>
    <m/>
    <x v="2"/>
    <x v="2"/>
  </r>
  <r>
    <x v="115"/>
    <x v="92"/>
    <s v="Soporte de ingreso de datos para presupuestos de pintura (CN006)"/>
    <m/>
    <m/>
    <n v="21"/>
    <x v="2"/>
    <n v="195"/>
    <x v="3"/>
    <s v="x"/>
    <b v="1"/>
    <m/>
    <m/>
    <m/>
    <m/>
    <m/>
    <m/>
    <n v="1"/>
    <n v="1"/>
    <m/>
    <m/>
    <d v="2025-01-06T00:00:00"/>
    <d v="1899-12-31T00:00:00"/>
    <x v="0"/>
    <x v="0"/>
    <m/>
    <m/>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
  <r>
    <s v="Informática"/>
    <n v="275"/>
    <s v="(275) PROCESO  ** Cambios para grabar presupuestos pintura en SAP, reporte y validaciones"/>
    <n v="247828"/>
    <s v="DOUGLAS ALEJANDRO MALDONADO DUMAS"/>
    <n v="30"/>
    <s v="40-DESARROLLO"/>
    <n v="3233"/>
    <s v="Carlos Rosales"/>
    <s v="x"/>
    <m/>
    <m/>
    <m/>
    <m/>
    <m/>
    <n v="1"/>
    <n v="1"/>
    <n v="1"/>
    <n v="1"/>
    <m/>
    <m/>
    <d v="2025-01-01T00:00:00"/>
    <d v="1899-12-31T00:00:00"/>
    <m/>
    <x v="0"/>
    <m/>
    <s v="&lt;p&gt;PROCESO  ** Cambios para grabar presupuestos pintura en SAP, reporte y validaciones&lt;/p&gt;"/>
    <x v="0"/>
    <x v="0"/>
    <n v="0"/>
    <n v="1"/>
    <x v="0"/>
  </r>
  <r>
    <s v="Informática"/>
    <n v="278"/>
    <s v="(278) BI  ** Configuración de puerta de enlace para Power BI para Douglas Maldonado"/>
    <n v="247828"/>
    <s v="DOUGLAS ALEJANDRO MALDONADO DUMAS"/>
    <n v="30"/>
    <s v="40-DESARROLLO"/>
    <n v="3233"/>
    <s v="Carlos Rosales"/>
    <s v="x"/>
    <b v="1"/>
    <m/>
    <m/>
    <m/>
    <m/>
    <n v="1"/>
    <n v="1"/>
    <n v="3"/>
    <n v="3"/>
    <m/>
    <m/>
    <d v="2025-01-01T00:00:00"/>
    <d v="1899-12-31T00:00:00"/>
    <m/>
    <x v="1"/>
    <m/>
    <s v="&lt;p&gt;BI  ** Configuración de puerta de enlace para Power BI para Douglas Maldonado&lt;/p&gt;"/>
    <x v="0"/>
    <x v="1"/>
    <n v="0"/>
    <n v="1"/>
    <x v="1"/>
  </r>
  <r>
    <s v="Informática"/>
    <n v="280"/>
    <s v="(280) SOPORTE Soporte y Capacitación de plantilla con Framework REACT/C Sharp para implementarlo en el sistema de SCONWEB del Departamento de Servicio Técnico"/>
    <n v="247541"/>
    <s v="ALEJANDRO ALBERTO GARCIA ARRECIS"/>
    <n v="28"/>
    <s v="20-ASIGNADO"/>
    <n v="3198"/>
    <s v="Josue Eleazar Chet Cuellar"/>
    <s v="x"/>
    <m/>
    <m/>
    <m/>
    <m/>
    <m/>
    <n v="3"/>
    <n v="3"/>
    <n v="3"/>
    <n v="3"/>
    <m/>
    <m/>
    <d v="2025-01-01T00:00:00"/>
    <d v="1899-12-31T00:00:00"/>
    <m/>
    <x v="2"/>
    <m/>
    <s v="&lt;p&gt;SOPORTE Soporte y Capacitación de plantilla con Framework REACT/C Sharp para implementarlo en el sistema de SCONWEB del Departamento de Servicio Técnico&lt;/p&gt;"/>
    <x v="0"/>
    <x v="2"/>
    <n v="0"/>
    <n v="1"/>
    <x v="2"/>
  </r>
  <r>
    <s v="Informática"/>
    <n v="281"/>
    <s v="(281) PROCESO ** Implementación de Contabilidad NIIF"/>
    <n v="247795"/>
    <s v="SANDRA JUDITH LOARCA HERNANDEZ de PEREZ"/>
    <n v="28"/>
    <s v="20-ASIGNADO"/>
    <n v="3233"/>
    <s v="Carlos Rosales"/>
    <s v="x"/>
    <m/>
    <m/>
    <m/>
    <m/>
    <m/>
    <n v="1"/>
    <n v="1"/>
    <n v="1"/>
    <n v="1"/>
    <m/>
    <m/>
    <d v="2025-01-01T00:00:00"/>
    <d v="1899-12-31T00:00:00"/>
    <m/>
    <x v="2"/>
    <m/>
    <s v="&lt;p&gt;PROCESO ** Implementación de Contabilidad NIIF&lt;/p&gt;"/>
    <x v="0"/>
    <x v="2"/>
    <n v="0"/>
    <n v="1"/>
    <x v="2"/>
  </r>
  <r>
    <s v="Informática"/>
    <n v="282"/>
    <s v="(282) MEJORAS  ** Mejoras al proceso de órdenes de entrega para sótano deben agregarse los campos indicados por Douglas Montoya"/>
    <n v="247556"/>
    <s v="DOUGLAS MONTOYA MONTAVES"/>
    <n v="28"/>
    <s v="20-ASIGNADO"/>
    <n v="3233"/>
    <s v="Carlos Rosales"/>
    <s v="x"/>
    <m/>
    <m/>
    <m/>
    <m/>
    <m/>
    <n v="1"/>
    <n v="1"/>
    <n v="3"/>
    <n v="3"/>
    <m/>
    <m/>
    <d v="2025-01-01T00:00:00"/>
    <d v="1899-12-31T00:00:00"/>
    <m/>
    <x v="1"/>
    <m/>
    <s v="&lt;p&gt;MEJORAS  ** Mejoras al proceso de órdenes de entrega para sótano deben agregarse los campos indicados por Douglas Montoya&lt;/p&gt;"/>
    <x v="0"/>
    <x v="1"/>
    <n v="0"/>
    <n v="1"/>
    <x v="1"/>
  </r>
  <r>
    <s v="Informática"/>
    <n v="283"/>
    <s v="(283) CARGA DE DATOS ** Clasificación de clientes para carga masiva de SAP solicitada por Rene Cotto"/>
    <n v="247857"/>
    <s v="ARNALDO RENE COTTO STREMS"/>
    <n v="28"/>
    <s v="20-ASIGNADO"/>
    <m/>
    <m/>
    <s v="x"/>
    <m/>
    <m/>
    <m/>
    <m/>
    <m/>
    <n v="1"/>
    <n v="1"/>
    <n v="2"/>
    <n v="2"/>
    <m/>
    <m/>
    <d v="2025-01-01T00:00:00"/>
    <d v="1899-12-31T00:00:00"/>
    <m/>
    <x v="0"/>
    <m/>
    <s v="&lt;p&gt;CARGA DE DATOS ** Clasificación de clientes para carga masiva de SAP solicitada por Rene Cotto&lt;/p&gt;&lt;p&gt;PENDIENTE ASIGNAR LUIS GONZALEZ&lt;/p&gt;"/>
    <x v="0"/>
    <x v="0"/>
    <n v="0"/>
    <n v="1"/>
    <x v="0"/>
  </r>
  <r>
    <s v="Informática"/>
    <n v="284"/>
    <s v="(284) PROCESO ** Actualizacion de tablas de catálogos de SAP de acuerdo con 24 puntos que contiene el archivo enviado a Marisol Recinos"/>
    <n v="247885"/>
    <s v="AMABILIA MARISOL RECINOS ARGUETA"/>
    <n v="28"/>
    <s v="20-ASIGNADO"/>
    <n v="3233"/>
    <s v="Carlos Rosales"/>
    <s v="x"/>
    <m/>
    <m/>
    <m/>
    <m/>
    <m/>
    <n v="1"/>
    <n v="1"/>
    <n v="1"/>
    <n v="1"/>
    <m/>
    <m/>
    <d v="2025-01-01T00:00:00"/>
    <d v="1899-12-31T00:00:00"/>
    <m/>
    <x v="3"/>
    <m/>
    <s v="&lt;p&gt;PROCESO ** Actualizacion de tablas de catálogos de SAP de acuerdo con 24 puntos que contiene el archivo enviado a Marisol Recinos&lt;/p&gt;"/>
    <x v="0"/>
    <x v="3"/>
    <n v="0"/>
    <n v="1"/>
    <x v="3"/>
  </r>
  <r>
    <s v="Informática"/>
    <n v="285"/>
    <s v="(285) PROCESO ** Cubo para analisis de personal activo y retirado, para realizar un kpi de rotación de personal"/>
    <n v="247277"/>
    <s v="JOSE ROBERTO AGUIRRE CANELLA"/>
    <n v="21"/>
    <s v="60-CERTIFICADO"/>
    <n v="3233"/>
    <s v="Carlos Rosales"/>
    <s v="x"/>
    <m/>
    <m/>
    <m/>
    <m/>
    <m/>
    <n v="1"/>
    <n v="1"/>
    <n v="1"/>
    <n v="1"/>
    <m/>
    <m/>
    <d v="2025-01-01T00:00:00"/>
    <d v="1899-12-31T00:00:00"/>
    <m/>
    <x v="0"/>
    <m/>
    <s v="&lt;p&gt;PROCESO ** Cubo para analisis de personal activo y retirado, para realizar un kpi de rotación de personal&lt;/p&gt;"/>
    <x v="0"/>
    <x v="0"/>
    <n v="0"/>
    <n v="1"/>
    <x v="0"/>
  </r>
  <r>
    <s v="Informática"/>
    <n v="286"/>
    <s v="(286) PROCESO ** Seguimiento a Cuadtratica para Vesa"/>
    <n v="247795"/>
    <s v="SANDRA JUDITH LOARCA HERNANDEZ de PEREZ"/>
    <n v="28"/>
    <s v="20-ASIGNADO"/>
    <m/>
    <m/>
    <s v="x"/>
    <m/>
    <m/>
    <m/>
    <m/>
    <m/>
    <n v="2"/>
    <n v="2"/>
    <n v="2"/>
    <n v="2"/>
    <m/>
    <m/>
    <d v="2025-01-01T00:00:00"/>
    <d v="1899-12-31T00:00:00"/>
    <m/>
    <x v="1"/>
    <m/>
    <s v="&lt;p&gt;PROCESO ** Seguimiento a Cuadtratica para Vesa&lt;/p&gt;&lt;p&gt;PENDIENTE DE ASIGNAR LUIS GONZALEZ&lt;/p&gt;"/>
    <x v="0"/>
    <x v="1"/>
    <n v="0"/>
    <n v="1"/>
    <x v="1"/>
  </r>
  <r>
    <s v="Informática"/>
    <n v="287"/>
    <s v="(287) MEJORAS  ** Procesos de anulación en medios de pago SAP"/>
    <n v="289004"/>
    <s v="DOUGLAS MONTOYA MONTAVES"/>
    <n v="28"/>
    <s v="20-ASIGNADO"/>
    <m/>
    <m/>
    <s v="x"/>
    <m/>
    <m/>
    <m/>
    <m/>
    <m/>
    <n v="2"/>
    <n v="2"/>
    <n v="2"/>
    <n v="2"/>
    <m/>
    <m/>
    <d v="2025-01-01T00:00:00"/>
    <d v="1899-12-31T00:00:00"/>
    <m/>
    <x v="1"/>
    <m/>
    <s v="&lt;p&gt;MEJORAS  ** Procesos de anulación en medios de pago SAP&lt;/p&gt;&lt;p&gt;PENDIENTE DE ASIGNAR LUIS GONZALEZ&lt;/p&gt;"/>
    <x v="0"/>
    <x v="1"/>
    <n v="0"/>
    <n v="1"/>
    <x v="1"/>
  </r>
  <r>
    <s v="Informática"/>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s v="Daniel Castillo"/>
    <s v="x"/>
    <b v="1"/>
    <m/>
    <m/>
    <m/>
    <m/>
    <n v="1"/>
    <n v="1"/>
    <n v="1"/>
    <n v="1"/>
    <m/>
    <m/>
    <d v="2025-01-01T00:00:00"/>
    <d v="1899-12-31T00:00:00"/>
    <m/>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0"/>
    <x v="2"/>
    <n v="0"/>
    <n v="1"/>
    <x v="2"/>
  </r>
  <r>
    <s v="Informática"/>
    <n v="289"/>
    <s v="(289) MEJORAS ** Implementacion de Combos en GrafiPronto"/>
    <n v="247729"/>
    <s v="OLGA MARIA DE LA CRUZ VALLADARES GUILLEN de OVALLE"/>
    <n v="28"/>
    <s v="20-ASIGNADO"/>
    <m/>
    <m/>
    <s v="x"/>
    <m/>
    <m/>
    <m/>
    <m/>
    <m/>
    <n v="3"/>
    <n v="3"/>
    <n v="3"/>
    <n v="3"/>
    <m/>
    <m/>
    <d v="2025-01-01T00:00:00"/>
    <d v="1899-12-31T00:00:00"/>
    <m/>
    <x v="2"/>
    <m/>
    <s v="&lt;p&gt;MEJORAS ** Implementacion de Combos en GrafiPronto&lt;/p&gt;&lt;p&gt;PENDIENTE DE ASIGNAR LUIS GONZALEZ&lt;/p&gt;"/>
    <x v="0"/>
    <x v="2"/>
    <n v="0"/>
    <n v="1"/>
    <x v="2"/>
  </r>
  <r>
    <s v="Informática"/>
    <n v="291"/>
    <s v="(291) PROCESO ** Estandarización de las instancias SAP MAQUIPOS Y VESA"/>
    <n v="247393"/>
    <s v="MIGUEL EDUARDO PEREZ LOPEZ"/>
    <n v="28"/>
    <s v="20-ASIGNADO"/>
    <m/>
    <m/>
    <s v="x"/>
    <m/>
    <m/>
    <m/>
    <m/>
    <m/>
    <n v="3"/>
    <n v="3"/>
    <n v="3"/>
    <n v="3"/>
    <m/>
    <m/>
    <d v="2025-01-01T00:00:00"/>
    <d v="1899-12-31T00:00:00"/>
    <m/>
    <x v="4"/>
    <m/>
    <s v="&lt;p&gt;PROCESO ** Estandarización de las instancias SAP MAQUIPOS Y VESA&lt;/p&gt;&lt;p&gt;PENDIENTE DE ASIGNAR LUIS GONZALEZ&lt;/p&gt;"/>
    <x v="0"/>
    <x v="3"/>
    <n v="0"/>
    <n v="1"/>
    <x v="3"/>
  </r>
  <r>
    <s v="Informática"/>
    <n v="293"/>
    <s v="(293) PROCESO ** Seguimiento a Cuadtratica para Canella ** "/>
    <n v="247795"/>
    <s v="SANDRA JUDITH LOARCA HERNANDEZ de PEREZ"/>
    <n v="28"/>
    <s v="20-ASIGNADO"/>
    <m/>
    <m/>
    <s v="x"/>
    <m/>
    <m/>
    <m/>
    <m/>
    <m/>
    <n v="2"/>
    <n v="2"/>
    <n v="2"/>
    <n v="2"/>
    <m/>
    <m/>
    <d v="2025-01-01T00:00:00"/>
    <d v="1899-12-31T00:00:00"/>
    <m/>
    <x v="5"/>
    <m/>
    <s v="&lt;p&gt;PROCESO ** Seguimiento a Cuadtratica para Canella&lt;/p&gt;&lt;p&gt;PENNDIENTE DE ASIGNAR LUIS GONZALEZ&lt;/p&gt;"/>
    <x v="0"/>
    <x v="3"/>
    <n v="0"/>
    <n v="1"/>
    <x v="3"/>
  </r>
  <r>
    <s v="Informática"/>
    <n v="294"/>
    <s v="(294) PROCESO ** Implementación del Sistema de Inventario en tránsito VESA Y MAQUIPOS"/>
    <n v="247795"/>
    <s v="SANDRA JUDITH LOARCA HERNANDEZ de PEREZ"/>
    <n v="28"/>
    <s v="20-ASIGNADO"/>
    <m/>
    <m/>
    <s v="x"/>
    <m/>
    <m/>
    <m/>
    <m/>
    <m/>
    <n v="1"/>
    <n v="1"/>
    <n v="2"/>
    <n v="2"/>
    <m/>
    <m/>
    <d v="2025-01-01T00:00:00"/>
    <d v="1899-12-31T00:00:00"/>
    <m/>
    <x v="6"/>
    <m/>
    <s v="&lt;p&gt;PROCESO ** Implementación del Sistema de Inventario en tránsito VESA Y MAQUIPOS&lt;/p&gt;&lt;p&gt;PENDIENTE DE ASIGNAR LUIS GONNZALEZ&lt;/p&gt;"/>
    <x v="0"/>
    <x v="4"/>
    <n v="0"/>
    <n v="1"/>
    <x v="4"/>
  </r>
  <r>
    <s v="Informática"/>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s v="Daniel Castillo"/>
    <s v="x"/>
    <b v="1"/>
    <m/>
    <m/>
    <m/>
    <m/>
    <n v="1"/>
    <n v="1"/>
    <n v="2"/>
    <n v="2"/>
    <m/>
    <m/>
    <d v="2025-01-01T00:00:00"/>
    <d v="1899-12-31T00:00:00"/>
    <m/>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0"/>
    <x v="2"/>
    <n v="0"/>
    <n v="1"/>
    <x v="2"/>
  </r>
  <r>
    <s v="Informática"/>
    <n v="305"/>
    <s v="(305) PROCESO ** Implementación de RPA para confirmación de boletas de deposito"/>
    <n v="247795"/>
    <s v="SANDRA JUDITH LOARCA HERNANDEZ de PEREZ"/>
    <n v="28"/>
    <s v="20-ASIGNADO"/>
    <n v="195"/>
    <s v="Daniel Castillo"/>
    <s v="x"/>
    <m/>
    <m/>
    <m/>
    <m/>
    <m/>
    <n v="1"/>
    <n v="1"/>
    <n v="1"/>
    <n v="1"/>
    <m/>
    <m/>
    <d v="2025-01-01T00:00:00"/>
    <d v="1899-12-31T00:00:00"/>
    <m/>
    <x v="8"/>
    <m/>
    <s v="&lt;p&gt;PROCESO ** Implementación de RPA para confirmación de boletas de deposito&lt;/p&gt;&lt;p&gt;&lt;br&gt;&lt;/p&gt;"/>
    <x v="0"/>
    <x v="3"/>
    <n v="0"/>
    <n v="1"/>
    <x v="3"/>
  </r>
  <r>
    <s v="Informática"/>
    <n v="309"/>
    <s v="(309) PROCESO  ** Implementación del Sistema de PinPads para el manejo de Cajas en Facturación Fase 1"/>
    <n v="247795"/>
    <s v="SANDRA JUDITH LOARCA HERNANDEZ de PEREZ"/>
    <n v="21"/>
    <s v="60-CERTIFICADO"/>
    <m/>
    <m/>
    <s v="x"/>
    <m/>
    <m/>
    <m/>
    <m/>
    <m/>
    <n v="1"/>
    <n v="1"/>
    <n v="1"/>
    <n v="1"/>
    <m/>
    <m/>
    <d v="2025-01-01T00:00:00"/>
    <d v="1899-12-31T00:00:00"/>
    <m/>
    <x v="0"/>
    <m/>
    <s v="&lt;p&gt;PROCESO  ** Implementación del Sistema de PinPads para el manejo de Cajas en Facturación Fase 1&lt;/p&gt;&lt;p&gt;PENDIENTE DE ASIGNAR MARVIN VARGAS&lt;/p&gt;"/>
    <x v="0"/>
    <x v="0"/>
    <n v="0"/>
    <n v="1"/>
    <x v="0"/>
  </r>
  <r>
    <s v="Informática"/>
    <n v="312"/>
    <s v="(312) PROCESO ** Conexión a SAP para  consultas de CQM Yamaha"/>
    <n v="247807"/>
    <s v="EDUARDO JACOBO ARA GÓMEZ"/>
    <n v="28"/>
    <s v="20-ASIGNADO"/>
    <m/>
    <m/>
    <s v="x"/>
    <b v="1"/>
    <m/>
    <m/>
    <m/>
    <m/>
    <n v="2"/>
    <n v="2"/>
    <n v="2"/>
    <n v="2"/>
    <m/>
    <m/>
    <d v="2025-01-01T00:00:00"/>
    <d v="1899-12-31T00:00:00"/>
    <m/>
    <x v="6"/>
    <m/>
    <s v="&lt;p&gt;PROCESO ** Conexión a SAP para  consultas de CQM Yamaha&lt;/p&gt;&lt;p&gt;PENDIENTE DE ASIGNAR MARVIN VARGAS&lt;/p&gt;"/>
    <x v="0"/>
    <x v="4"/>
    <n v="0"/>
    <n v="1"/>
    <x v="4"/>
  </r>
  <r>
    <s v="Informática"/>
    <n v="313"/>
    <s v="(313) Información sobre la data del FEIC distribuidores para que se ingresen en un sitio web"/>
    <m/>
    <m/>
    <n v="28"/>
    <s v="20-ASIGNADO"/>
    <n v="3199"/>
    <s v="Erick Estuardo Hernandez Andrino"/>
    <s v="x"/>
    <m/>
    <m/>
    <m/>
    <m/>
    <m/>
    <n v="1"/>
    <n v="1"/>
    <n v="1"/>
    <n v="1"/>
    <m/>
    <m/>
    <d v="2025-01-01T00:00:00"/>
    <d v="1899-12-31T00:00:00"/>
    <m/>
    <x v="8"/>
    <m/>
    <m/>
    <x v="0"/>
    <x v="3"/>
    <n v="0"/>
    <n v="1"/>
    <x v="3"/>
  </r>
  <r>
    <s v="Informática"/>
    <n v="314"/>
    <s v="(314) PROCESO ** Tiendas en línea Motul-Interstate - Ipone, desarrollo de webservices con SAP"/>
    <n v="247857"/>
    <s v="ARNALDO RENE COTTO STREMS"/>
    <n v="28"/>
    <s v="20-ASIGNADO"/>
    <m/>
    <m/>
    <s v="x"/>
    <m/>
    <m/>
    <m/>
    <m/>
    <m/>
    <n v="2"/>
    <n v="2"/>
    <n v="2"/>
    <n v="2"/>
    <m/>
    <m/>
    <d v="2025-01-01T00:00:00"/>
    <d v="1899-12-31T00:00:00"/>
    <m/>
    <x v="7"/>
    <m/>
    <s v="&lt;p&gt;PROCESO ** Tiendas en línea Motul-Interstate - Ipone, desarrollo de webservices con SAP&lt;/p&gt;&lt;p&gt;PENDIENTE DE ASIGNAR MARVINN VARGAS&lt;/p&gt;"/>
    <x v="0"/>
    <x v="2"/>
    <n v="0"/>
    <n v="1"/>
    <x v="2"/>
  </r>
  <r>
    <s v="Informática"/>
    <n v="315"/>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s v="Erick Estuardo Hernandez Andrino"/>
    <s v="x"/>
    <m/>
    <m/>
    <m/>
    <m/>
    <m/>
    <n v="1"/>
    <n v="1"/>
    <n v="3"/>
    <n v="3"/>
    <m/>
    <m/>
    <d v="2025-01-01T00:00:00"/>
    <d v="1899-12-31T00:00:00"/>
    <m/>
    <x v="7"/>
    <m/>
    <s v="&lt;p&gt;PROCESO ** Modificación al reporte de la IVE y el nombre del reporte IVE-INF-05, Carlos Rosales hizo los ultimos ajustes por la auditoria de la IVE.  Luis enviara un correo detallando los ajustes a realizar&lt;/p&gt;"/>
    <x v="0"/>
    <x v="2"/>
    <n v="0"/>
    <n v="1"/>
    <x v="2"/>
  </r>
  <r>
    <s v="Informática"/>
    <n v="316"/>
    <s v="(316) PROCESO ** Conexión a página web de distribuidores Canon y tienda en línea para interfaces con SAP"/>
    <n v="247770"/>
    <s v="JORGE LUIS MURALLES PAPPA"/>
    <n v="28"/>
    <s v="20-ASIGNADO"/>
    <m/>
    <m/>
    <s v="x"/>
    <m/>
    <m/>
    <m/>
    <m/>
    <m/>
    <n v="2"/>
    <n v="2"/>
    <n v="2"/>
    <n v="2"/>
    <m/>
    <m/>
    <d v="2025-01-01T00:00:00"/>
    <d v="1899-12-31T00:00:00"/>
    <m/>
    <x v="7"/>
    <m/>
    <s v="&lt;p&gt;PROCESO ** Conexión a página web de distribuidores Canon y tienda en línea para interfaces con SAP&lt;/p&gt;&lt;p&gt;PENDIENTE DE ASIGNAR MARVIN VARGAS&lt;/p&gt;"/>
    <x v="0"/>
    <x v="2"/>
    <n v="0"/>
    <n v="1"/>
    <x v="2"/>
  </r>
  <r>
    <s v="Informática"/>
    <n v="318"/>
    <s v="(318) PROCESO ** Seguimiento al proceso cotización de equipos y respuetos de Maquinaria, realizar webservices con SAP"/>
    <n v="247068"/>
    <s v="YESVI AVIGAIL ELIAS ORIZABAL"/>
    <n v="28"/>
    <s v="20-ASIGNADO"/>
    <m/>
    <m/>
    <s v="x"/>
    <m/>
    <m/>
    <m/>
    <m/>
    <m/>
    <n v="2"/>
    <n v="2"/>
    <n v="2"/>
    <n v="2"/>
    <m/>
    <m/>
    <d v="2025-01-02T00:00:00"/>
    <d v="1899-12-31T00:00:00"/>
    <m/>
    <x v="9"/>
    <m/>
    <s v="&lt;p&gt;PROCESO ** Seguimiento al proceso cotización de equipos y respuetos de Maquinaria, realizar webservices con SAP&lt;/p&gt;&lt;p&gt;PENDIENTE DE ASIGNAR MARVIN VARGAS&lt;/p&gt;"/>
    <x v="0"/>
    <x v="1"/>
    <n v="0"/>
    <n v="1"/>
    <x v="1"/>
  </r>
  <r>
    <s v="Informática"/>
    <n v="320"/>
    <s v="(320) MEJORAS ** 2da fase de tablero de atención al clientes para cajas del departamento de Repuestos"/>
    <n v="247556"/>
    <s v="DOUGLAS MONTOYA MONTAVES"/>
    <n v="28"/>
    <s v="20-ASIGNADO"/>
    <m/>
    <m/>
    <s v="x"/>
    <m/>
    <m/>
    <m/>
    <m/>
    <m/>
    <n v="3"/>
    <n v="3"/>
    <n v="3"/>
    <n v="3"/>
    <m/>
    <m/>
    <d v="2025-01-01T00:00:00"/>
    <d v="1899-12-31T00:00:00"/>
    <m/>
    <x v="4"/>
    <m/>
    <s v="&lt;p&gt;MEJORAS ** 2da fase de tablero de atención al clientes para cajas del departamento de Repuestos&lt;/p&gt;&lt;p&gt;PENDIENTE DE ASIGNAR MARVIN VARGAS&lt;/p&gt;"/>
    <x v="0"/>
    <x v="3"/>
    <n v="0"/>
    <n v="1"/>
    <x v="3"/>
  </r>
  <r>
    <s v="Informática"/>
    <n v="322"/>
    <s v="(322) CONSULTA EN SISTEMA DE PEDIDOS DISTRIBUIDORES - KRAS ** Consulta de estados de cuenta por el cliente en la web. Desde la página de pedidos del distribuidor se podrá accesar a la página de estados de cuenta"/>
    <n v="247857"/>
    <s v="ARNALDO RENE COTTO STREMS"/>
    <n v="28"/>
    <s v="20-ASIGNADO"/>
    <m/>
    <m/>
    <s v="x"/>
    <m/>
    <m/>
    <m/>
    <m/>
    <m/>
    <n v="3"/>
    <n v="3"/>
    <n v="1"/>
    <n v="1"/>
    <m/>
    <m/>
    <d v="2025-01-01T00:00:00"/>
    <d v="1899-12-31T00:00:00"/>
    <m/>
    <x v="4"/>
    <m/>
    <s v="&lt;p&gt;CONSULTA EN SISTEMA DE PEDIDOS DISTRIBUIDORES - KRAS ** Consulta de estados de cuenta por el cliente en la web. Desde la página de pedidos del distribuidor se podrá accesar a la página de estados de cuenta&lt;/p&gt;&lt;p&gt;PENDIENTE DE ASIGNAR MARVIN VARGAS&lt;/p&gt;"/>
    <x v="0"/>
    <x v="3"/>
    <n v="0"/>
    <n v="1"/>
    <x v="3"/>
  </r>
  <r>
    <s v="Informática"/>
    <n v="323"/>
    <s v="(323) PROCESO ** KPIS de rendimiento para personal de créditos y cobros"/>
    <n v="247722"/>
    <s v="RICARDO ALFONSO ESCOBEDO DACARET"/>
    <n v="28"/>
    <s v="20-ASIGNADO"/>
    <n v="2767"/>
    <s v="Gerson Castro"/>
    <s v="x"/>
    <m/>
    <m/>
    <m/>
    <m/>
    <m/>
    <n v="1"/>
    <n v="1"/>
    <n v="3"/>
    <n v="3"/>
    <m/>
    <m/>
    <d v="2025-01-01T00:00:00"/>
    <d v="1899-12-31T00:00:00"/>
    <m/>
    <x v="5"/>
    <m/>
    <s v="&lt;p&gt;PROCESO ** KPIS de rendimiento para personal de créditos y cobros&lt;/p&gt;"/>
    <x v="0"/>
    <x v="3"/>
    <n v="0"/>
    <n v="1"/>
    <x v="3"/>
  </r>
  <r>
    <s v="Informática"/>
    <n v="324"/>
    <s v="(324) PROCESO ** Seguimiento al proceso de entrega y preparación de vehículos, realizar webservices con SAP"/>
    <n v="247374"/>
    <s v="LUIS PEDRO LOPEZ RODAS"/>
    <n v="28"/>
    <s v="20-ASIGNADO"/>
    <m/>
    <m/>
    <s v="x"/>
    <m/>
    <m/>
    <m/>
    <m/>
    <m/>
    <n v="2"/>
    <n v="2"/>
    <n v="2"/>
    <n v="2"/>
    <m/>
    <m/>
    <d v="2025-01-01T00:00:00"/>
    <d v="1899-12-31T00:00:00"/>
    <m/>
    <x v="6"/>
    <m/>
    <s v="&lt;p&gt;PROCESO ** Seguimiento al proceso de entrega y preparación de vehículos, realizar webservices con SAP&lt;/p&gt;&lt;p&gt;PENDIENTE DE ASIGNAR MARVIN VARGAS&lt;/p&gt;"/>
    <x v="0"/>
    <x v="4"/>
    <n v="0"/>
    <n v="1"/>
    <x v="4"/>
  </r>
  <r>
    <s v="Informática"/>
    <n v="326"/>
    <s v="(326) PROCESO ** Conexión a SAP para retroalimentación de etapas de reparación de un vehículo"/>
    <n v="247828"/>
    <s v="DOUGLAS ALEJANDRO MALDONADO DUMAS"/>
    <n v="28"/>
    <s v="20-ASIGNADO"/>
    <m/>
    <m/>
    <s v="x"/>
    <m/>
    <m/>
    <m/>
    <m/>
    <m/>
    <n v="2"/>
    <n v="2"/>
    <n v="2"/>
    <n v="2"/>
    <m/>
    <m/>
    <d v="2025-01-01T00:00:00"/>
    <d v="1899-12-31T00:00:00"/>
    <m/>
    <x v="4"/>
    <m/>
    <s v="&lt;p&gt;PROCESO ** Conexión a SAP para retroalimentación de etapas de reparación de un vehículo&lt;/p&gt;&lt;p&gt;PENDIENTE DE ASIGNAR MARVIN VARGAS&lt;/p&gt;"/>
    <x v="0"/>
    <x v="3"/>
    <n v="0"/>
    <n v="1"/>
    <x v="3"/>
  </r>
  <r>
    <s v="Informática"/>
    <n v="331"/>
    <s v="(331) WMS  ** Implementación de WMS en Elisur. Las otras bodegas serán tickets adicionales (Bodega zona4, Taller Automotriz, Bodega Hyundai)"/>
    <n v="289092"/>
    <s v="CESAR ORLANDO MARTINEZ ABAL"/>
    <n v="21"/>
    <s v="60-CERTIFICADO"/>
    <n v="3203"/>
    <s v="Jose Pablo Reyes Gonzalez"/>
    <s v="x"/>
    <b v="1"/>
    <m/>
    <m/>
    <m/>
    <m/>
    <n v="1"/>
    <n v="1"/>
    <n v="1"/>
    <n v="1"/>
    <m/>
    <m/>
    <d v="2025-01-01T00:00:00"/>
    <d v="1899-12-31T00:00:00"/>
    <m/>
    <x v="4"/>
    <m/>
    <s v="&lt;p&gt;WMS  ** Implementación de WMS en Elisur. Las otras bodegas serán tickets adicionales (Bodega zona4, Taller Automotriz, Bodega Hyundai)&lt;/p&gt;"/>
    <x v="0"/>
    <x v="3"/>
    <n v="0"/>
    <n v="1"/>
    <x v="3"/>
  </r>
  <r>
    <s v="Informática"/>
    <n v="337"/>
    <s v="(337) ENSAMBLE DE MOTOS   - KRAS ** Implementación del Módulo de Ensamble de Motocicletas en Elizur Fase 1"/>
    <n v="289092"/>
    <s v="CESAR ORLANDO MARTINEZ ABAL"/>
    <n v="21"/>
    <s v="60-CERTIFICADO"/>
    <n v="3203"/>
    <s v="Jose Pablo Reyes Gonzalez"/>
    <s v="x"/>
    <b v="1"/>
    <m/>
    <m/>
    <m/>
    <m/>
    <n v="1"/>
    <n v="1"/>
    <n v="1"/>
    <n v="1"/>
    <m/>
    <m/>
    <d v="2025-01-01T00:00:00"/>
    <d v="1899-12-31T00:00:00"/>
    <m/>
    <x v="10"/>
    <m/>
    <s v="&lt;p&gt;ENSAMBLE DE MOTOS   - KRAS ** Implementación del Módulo de Ensamble de Motocicletas en Elizur Fase 1&lt;/p&gt;"/>
    <x v="0"/>
    <x v="2"/>
    <n v="0"/>
    <n v="1"/>
    <x v="2"/>
  </r>
  <r>
    <s v="Informática"/>
    <n v="341"/>
    <s v="(341) PROCESO ** Implementación de EVOLUTION sistema de RRHH"/>
    <n v="247904"/>
    <s v="MIRNA LISSETTE ARRECIS ROSALES"/>
    <n v="28"/>
    <s v="20-ASIGNADO"/>
    <n v="312"/>
    <s v="Williams Galvan"/>
    <s v="x"/>
    <m/>
    <m/>
    <m/>
    <m/>
    <m/>
    <n v="1"/>
    <n v="1"/>
    <n v="1"/>
    <n v="1"/>
    <m/>
    <m/>
    <d v="2025-01-01T00:00:00"/>
    <d v="1899-12-31T00:00:00"/>
    <m/>
    <x v="11"/>
    <m/>
    <s v="&lt;p&gt;PROCESO ** Implementación de EVOLUTION sistema de RRHH&lt;/p&gt;"/>
    <x v="0"/>
    <x v="5"/>
    <n v="0"/>
    <n v="1"/>
    <x v="5"/>
  </r>
  <r>
    <s v="Informática"/>
    <n v="343"/>
    <s v="(343) PROCESO ** Implementación de SAP 10 para la Empresa Canella"/>
    <n v="247885"/>
    <s v="AMABILIA MARISOL RECINOS ARGUETA"/>
    <n v="28"/>
    <s v="20-ASIGNADO"/>
    <n v="312"/>
    <s v="Williams Galvan"/>
    <s v="x"/>
    <m/>
    <m/>
    <m/>
    <m/>
    <m/>
    <n v="1"/>
    <n v="1"/>
    <n v="1"/>
    <n v="1"/>
    <m/>
    <m/>
    <d v="2025-01-01T00:00:00"/>
    <d v="1899-12-31T00:00:00"/>
    <m/>
    <x v="12"/>
    <m/>
    <s v="&lt;p&gt;PROCESO ** Implementación de SAP 10 para la Empresa Canella&lt;/p&gt;"/>
    <x v="0"/>
    <x v="3"/>
    <n v="0"/>
    <n v="1"/>
    <x v="3"/>
  </r>
  <r>
    <s v="Informática"/>
    <n v="345"/>
    <s v="(345) PROCESO ** Seguimiento al Sistema SAP para mejorar la estabilidad, bloqueos y mejoras en redimiento. Identificar procesos clave y hacer un plan de trabajo"/>
    <n v="247885"/>
    <s v="AMABILIA MARISOL RECINOS ARGUETA"/>
    <n v="28"/>
    <s v="20-ASIGNADO"/>
    <n v="312"/>
    <s v="Williams Galvan"/>
    <s v="x"/>
    <m/>
    <m/>
    <m/>
    <m/>
    <m/>
    <n v="1"/>
    <n v="1"/>
    <n v="1"/>
    <n v="1"/>
    <m/>
    <m/>
    <d v="2025-01-01T00:00:00"/>
    <d v="1899-12-31T00:00:00"/>
    <m/>
    <x v="13"/>
    <m/>
    <s v="&lt;p&gt;PROCESO ** Seguimiento al Sistema SAP para mejorar la estabilidad, bloqueos y mejoras en redimiento. Identificar procesos clave y hacer un plan de trabajo&lt;/p&gt;"/>
    <x v="0"/>
    <x v="4"/>
    <n v="0"/>
    <n v="1"/>
    <x v="4"/>
  </r>
  <r>
    <s v="Informática"/>
    <n v="346"/>
    <s v="(346) PANTALLA  ** Creación de pantalla para cambiar códigos de artículos que tengan pase en el contrato, debido que a la hora de despachar no cuentan con el artículo.  "/>
    <n v="247828"/>
    <s v="DOUGLAS ALEJANDRO MALDONADO DUMAS"/>
    <n v="21"/>
    <s v="60-CERTIFICADO"/>
    <n v="3234"/>
    <s v="Jose Andres Chajon Cueto"/>
    <s v="x"/>
    <m/>
    <m/>
    <m/>
    <m/>
    <m/>
    <n v="1"/>
    <n v="1"/>
    <n v="1"/>
    <n v="1"/>
    <m/>
    <m/>
    <d v="2025-01-01T00:00:00"/>
    <d v="1899-12-31T00:00:00"/>
    <m/>
    <x v="0"/>
    <m/>
    <s v="&lt;p&gt;PANTALLA  ** Creación de pantalla para cambiar códigos de artículos que tengan pase en el contrato, debido que a la hora de despachar no cuentan con el artículo.  &lt;/p&gt;"/>
    <x v="0"/>
    <x v="0"/>
    <n v="0"/>
    <n v="1"/>
    <x v="0"/>
  </r>
  <r>
    <s v="Informática"/>
    <n v="347"/>
    <s v="(347) MODULO DE COMISIONES ** Creación de modulo de comisiones con las indicaciones de Auditoría y Gerencia"/>
    <n v="247857"/>
    <s v="ARNALDO RENE COTTO STREMS"/>
    <n v="28"/>
    <s v="20-ASIGNADO"/>
    <n v="3234"/>
    <s v="Jose Andres Chajon Cueto"/>
    <s v="x"/>
    <m/>
    <m/>
    <m/>
    <m/>
    <m/>
    <n v="3"/>
    <n v="3"/>
    <n v="1"/>
    <n v="1"/>
    <m/>
    <m/>
    <d v="2025-01-01T00:00:00"/>
    <d v="1899-12-31T00:00:00"/>
    <m/>
    <x v="4"/>
    <m/>
    <s v="&lt;p&gt;MODULO DE COMISIONES ** Creación de modulo de comisiones con las indicaciones de Auditoría y Gerencia&lt;/p&gt;"/>
    <x v="0"/>
    <x v="3"/>
    <n v="0"/>
    <n v="1"/>
    <x v="3"/>
  </r>
  <r>
    <s v="Informática"/>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s v="Jose Andres Chajon Cueto"/>
    <s v="x"/>
    <m/>
    <m/>
    <m/>
    <m/>
    <m/>
    <n v="1"/>
    <n v="1"/>
    <n v="1"/>
    <n v="1"/>
    <m/>
    <m/>
    <d v="2025-01-01T00:00:00"/>
    <d v="1899-12-31T00:00:00"/>
    <m/>
    <x v="0"/>
    <m/>
    <s v="&lt;p&gt;PROCESO ** Necesitamos realizar un desarrollo en SAP, practicamente es que cuando un cliente con facturas en mora se ponga al día, el sistema lo desbloquee en automático sin la intervención de Créditos. Edward Garcia fue el solicitante&lt;/p&gt;"/>
    <x v="0"/>
    <x v="0"/>
    <n v="0"/>
    <n v="1"/>
    <x v="0"/>
  </r>
  <r>
    <s v="Informática"/>
    <n v="349"/>
    <s v="(349) PROCESO  ** Implementación tarifario de mano de obra Isuzu (Esto está detenido por Douglas porque necesita un reporte de líneas de vehículo de José Roberto para depurar las líneas en SAP)"/>
    <n v="247828"/>
    <s v="DOUGLAS ALEJANDRO MALDONADO DUMAS"/>
    <n v="28"/>
    <s v="20-ASIGNADO"/>
    <n v="3234"/>
    <s v="Jose Andres Chajon Cueto"/>
    <s v="x"/>
    <m/>
    <m/>
    <m/>
    <m/>
    <m/>
    <n v="3"/>
    <n v="3"/>
    <n v="3"/>
    <n v="3"/>
    <m/>
    <m/>
    <d v="2025-01-01T00:00:00"/>
    <d v="1899-12-31T00:00:00"/>
    <m/>
    <x v="7"/>
    <m/>
    <s v="&lt;p&gt;PROCESO  ** Implementación tarifario de mano de obra Isuzu (Esto está detenido por Douglas porque necesita un reporte de líneas de vehículo de José Roberto para depurar las líneas en SAP)&lt;/p&gt;"/>
    <x v="0"/>
    <x v="2"/>
    <n v="0"/>
    <n v="1"/>
    <x v="2"/>
  </r>
  <r>
    <s v="Informática"/>
    <n v="350"/>
    <s v="(350) REPORTE ** Realizar un reporte de Inventario con las columnas indicadas por Rene Cotto"/>
    <n v="247857"/>
    <s v="ARNALDO RENE COTTO STREMS"/>
    <n v="28"/>
    <s v="20-ASIGNADO"/>
    <n v="3234"/>
    <s v="Jose Andres Chajon Cueto"/>
    <s v="x"/>
    <m/>
    <m/>
    <m/>
    <m/>
    <m/>
    <n v="1"/>
    <n v="1"/>
    <n v="1"/>
    <n v="1"/>
    <m/>
    <m/>
    <d v="2025-01-01T00:00:00"/>
    <d v="1899-12-31T00:00:00"/>
    <m/>
    <x v="14"/>
    <m/>
    <s v="&lt;p&gt;REPORTE ** Realizar un reporte de Inventario con las columnas indicadas por Rene Cotto&lt;/p&gt;"/>
    <x v="0"/>
    <x v="1"/>
    <n v="0"/>
    <n v="1"/>
    <x v="1"/>
  </r>
  <r>
    <s v="Informática"/>
    <n v="351"/>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s v="Jose Andres Chajon Cueto"/>
    <s v="x"/>
    <m/>
    <m/>
    <m/>
    <m/>
    <m/>
    <n v="3"/>
    <n v="3"/>
    <n v="1"/>
    <n v="1"/>
    <m/>
    <m/>
    <d v="2025-01-01T00:00:00"/>
    <d v="1899-12-31T00:00:00"/>
    <m/>
    <x v="8"/>
    <m/>
    <s v="&lt;p&gt;PROCESO  ** Cambio de códigos de mano de obra en el módulo de contratos de mantenimiento para salir en vivo con el tarifario de mano de obra isuzu (en espera de listado de códigos de parte de Douglas).&lt;/p&gt;"/>
    <x v="0"/>
    <x v="3"/>
    <n v="0"/>
    <n v="1"/>
    <x v="3"/>
  </r>
  <r>
    <s v="Informática"/>
    <n v="367"/>
    <s v="(367) Mejoras al sistema SQM y STOD en la parte de registro de Leas y Cotizaciones para que no exista doble digitación"/>
    <n v="247605"/>
    <s v="MANUEL RAMIRO LOPEZ PIEDRASANTA"/>
    <n v="29"/>
    <s v="10-COLA"/>
    <m/>
    <m/>
    <s v="x"/>
    <m/>
    <m/>
    <m/>
    <m/>
    <m/>
    <n v="2"/>
    <n v="2"/>
    <n v="2"/>
    <n v="2"/>
    <m/>
    <m/>
    <d v="2025-01-28T00:00:00"/>
    <d v="1899-12-31T00:00:00"/>
    <m/>
    <x v="15"/>
    <m/>
    <s v="&lt;p&gt;Mejoras al sistema SQM y STOD en la parte de registro de Leas y Cotizaciones para que no exista doble digitación&lt;/p&gt;"/>
    <x v="0"/>
    <x v="2"/>
    <n v="0"/>
    <n v="1"/>
    <x v="2"/>
  </r>
  <r>
    <s v="Informática"/>
    <n v="368"/>
    <s v="(368) Cerrar todas las ordenes abiertas de la División Soluciones de Oficina hasta el 30 de septiembre de 2024"/>
    <n v="247888"/>
    <s v="JUAN MANUEL SOTO GUTIERREZ"/>
    <n v="22"/>
    <s v="50-IMPLEMENTACION"/>
    <n v="3233"/>
    <s v="Carlos Rosales"/>
    <s v="x"/>
    <m/>
    <m/>
    <m/>
    <m/>
    <m/>
    <n v="1"/>
    <n v="1"/>
    <n v="1"/>
    <n v="1"/>
    <m/>
    <m/>
    <d v="2024-12-27T00:00:00"/>
    <d v="1899-12-31T00:00:00"/>
    <m/>
    <x v="16"/>
    <m/>
    <s v="&lt;p&gt;Cerrar todas las ordenes abiertas de la División Soluciones de Oficina hasta el 30 de septiembre de 2024,&lt;/p&gt;&lt;p&gt;En conjunto con Marvin Vargas se cerraron automáticamente las OC&lt;/p&gt;"/>
    <x v="0"/>
    <x v="1"/>
    <n v="0"/>
    <n v="1"/>
    <x v="1"/>
  </r>
  <r>
    <s v="Informática"/>
    <n v="372"/>
    <s v="(372) Se da soporte al proceso de confirmación de boletas en el caso donde se confirmo una boleta con banco incorrecto y en donde el detalle de montos"/>
    <n v="289036"/>
    <s v="MADELYN SUSANA BRAN OLIVAREZ"/>
    <n v="29"/>
    <s v="10-COLA"/>
    <n v="195"/>
    <s v="Daniel Castillo"/>
    <s v="x"/>
    <b v="1"/>
    <m/>
    <m/>
    <m/>
    <m/>
    <m/>
    <m/>
    <n v="1"/>
    <n v="1"/>
    <m/>
    <m/>
    <d v="2025-01-16T00:00:00"/>
    <d v="1899-12-31T00:00:00"/>
    <m/>
    <x v="17"/>
    <m/>
    <m/>
    <x v="0"/>
    <x v="0"/>
    <n v="0"/>
    <n v="1"/>
    <x v="0"/>
  </r>
  <r>
    <s v="Informática"/>
    <n v="0"/>
    <s v="(NT) Test 01 (CN006)"/>
    <m/>
    <m/>
    <n v="29"/>
    <s v="10-COLA"/>
    <n v="252"/>
    <s v="Julio de León"/>
    <s v="x"/>
    <m/>
    <n v="1"/>
    <s v="API"/>
    <m/>
    <m/>
    <m/>
    <m/>
    <m/>
    <m/>
    <m/>
    <m/>
    <m/>
    <m/>
    <m/>
    <x v="18"/>
    <m/>
    <m/>
    <x v="0"/>
    <x v="6"/>
    <n v="0"/>
    <n v="0"/>
    <x v="6"/>
  </r>
  <r>
    <s v="Informática"/>
    <n v="0"/>
    <s v="(NT) Test Williams Galván"/>
    <n v="247047"/>
    <s v="JULIO RENE PAIZ ANDRADE"/>
    <n v="29"/>
    <s v="10-COLA"/>
    <n v="312"/>
    <s v="Williams Galvan"/>
    <s v="x"/>
    <b v="1"/>
    <m/>
    <m/>
    <m/>
    <m/>
    <m/>
    <m/>
    <m/>
    <m/>
    <m/>
    <m/>
    <m/>
    <m/>
    <m/>
    <x v="18"/>
    <m/>
    <m/>
    <x v="0"/>
    <x v="6"/>
    <n v="0"/>
    <n v="0"/>
    <x v="6"/>
  </r>
  <r>
    <s v="Informática"/>
    <n v="296"/>
    <s v="ACTUALIZACION ESTADOS DE CUENTA DE BANCOS (CN006)"/>
    <m/>
    <m/>
    <n v="29"/>
    <s v="10-COLA"/>
    <n v="3202"/>
    <s v="Antonio Manuel Alejandro García González"/>
    <s v="x"/>
    <m/>
    <m/>
    <m/>
    <m/>
    <m/>
    <n v="3"/>
    <n v="3"/>
    <n v="1"/>
    <n v="1"/>
    <m/>
    <m/>
    <d v="2025-01-01T00:00:00"/>
    <d v="1899-12-31T00:00:00"/>
    <m/>
    <x v="4"/>
    <m/>
    <m/>
    <x v="0"/>
    <x v="3"/>
    <n v="0"/>
    <n v="1"/>
    <x v="3"/>
  </r>
  <r>
    <s v="Informática"/>
    <n v="362"/>
    <s v="Actualización Masiva de Asientos Contables (CN006)"/>
    <n v="247002"/>
    <s v="AMI PAOLA YOC LOPEZ"/>
    <n v="21"/>
    <s v="60-CERTIFICADO"/>
    <n v="3202"/>
    <s v="Antonio Manuel Alejandro García González"/>
    <s v="x"/>
    <b v="1"/>
    <m/>
    <m/>
    <m/>
    <m/>
    <n v="1"/>
    <n v="1"/>
    <n v="2"/>
    <n v="2"/>
    <m/>
    <m/>
    <d v="2025-01-20T00:00:00"/>
    <d v="1899-12-31T00:00:00"/>
    <m/>
    <x v="19"/>
    <d v="2025-03-01T00:00:00"/>
    <m/>
    <x v="0"/>
    <x v="0"/>
    <n v="0"/>
    <n v="1"/>
    <x v="0"/>
  </r>
  <r>
    <s v="Informática"/>
    <n v="298"/>
    <s v="Actualizar campos de usuario que indicará el estado del documento en la orden de compra. (CN006)"/>
    <n v="247002"/>
    <s v="AMI PAOLA YOC LOPEZ"/>
    <n v="22"/>
    <s v="50-IMPLEMENTACION"/>
    <n v="3202"/>
    <s v="Antonio Manuel Alejandro García González"/>
    <s v="x"/>
    <m/>
    <m/>
    <m/>
    <m/>
    <m/>
    <n v="1"/>
    <n v="1"/>
    <n v="1"/>
    <n v="1"/>
    <m/>
    <m/>
    <d v="2025-01-01T00:00:00"/>
    <d v="1899-12-31T00:00:00"/>
    <m/>
    <x v="0"/>
    <m/>
    <m/>
    <x v="0"/>
    <x v="0"/>
    <n v="0"/>
    <n v="1"/>
    <x v="0"/>
  </r>
  <r>
    <s v="Informática"/>
    <n v="0"/>
    <s v="Ajuste de reporte de STOD MOVIL"/>
    <n v="247857"/>
    <s v="ARNALDO RENE COTTO STREMS"/>
    <n v="29"/>
    <s v="10-COLA"/>
    <n v="252"/>
    <s v="Julio de León"/>
    <s v="x"/>
    <b v="1"/>
    <n v="3"/>
    <s v="REPORTE"/>
    <n v="2"/>
    <s v="MEDIA"/>
    <n v="2"/>
    <n v="2"/>
    <n v="2"/>
    <n v="2"/>
    <n v="1"/>
    <s v="PEQUEÑO"/>
    <d v="2025-02-11T00:00:00"/>
    <d v="2025-02-17T00:00:00"/>
    <m/>
    <x v="18"/>
    <m/>
    <m/>
    <x v="0"/>
    <x v="6"/>
    <n v="0"/>
    <n v="0"/>
    <x v="6"/>
  </r>
  <r>
    <s v="Informática"/>
    <n v="301"/>
    <s v="Ajustes a los libros fiscales en todos los SAP (CN006)"/>
    <m/>
    <m/>
    <n v="29"/>
    <s v="10-COLA"/>
    <n v="3202"/>
    <s v="Antonio Manuel Alejandro García González"/>
    <s v="x"/>
    <m/>
    <m/>
    <m/>
    <m/>
    <m/>
    <n v="3"/>
    <n v="3"/>
    <n v="3"/>
    <n v="3"/>
    <m/>
    <m/>
    <d v="2025-01-01T00:00:00"/>
    <d v="1899-12-31T00:00:00"/>
    <m/>
    <x v="6"/>
    <m/>
    <m/>
    <x v="0"/>
    <x v="4"/>
    <n v="0"/>
    <n v="1"/>
    <x v="4"/>
  </r>
  <r>
    <s v="Informática"/>
    <n v="0"/>
    <s v="Ajustes al reporte - REP - TableroDistribuicion Z13 - Entregas Pendientes (Caja)"/>
    <n v="289006"/>
    <s v="SULY DANIELA CHUN SANTOS de RIVERA"/>
    <n v="30"/>
    <s v="40-DESARROLLO"/>
    <n v="3202"/>
    <s v="Antonio Manuel Alejandro García González"/>
    <s v="x"/>
    <b v="1"/>
    <n v="4"/>
    <s v="SOPORTE/CAPACITACION"/>
    <n v="1"/>
    <s v="BAJA"/>
    <n v="2"/>
    <n v="2"/>
    <n v="2"/>
    <n v="2"/>
    <n v="1"/>
    <s v="PEQUEÑO"/>
    <d v="2025-02-06T00:00:00"/>
    <d v="2025-02-13T00:00:00"/>
    <m/>
    <x v="1"/>
    <m/>
    <m/>
    <x v="0"/>
    <x v="1"/>
    <n v="0"/>
    <n v="1"/>
    <x v="1"/>
  </r>
  <r>
    <s v="Informática"/>
    <n v="310"/>
    <s v="Ajustes de sistema estados de cuentas (CN006)"/>
    <m/>
    <m/>
    <n v="27"/>
    <s v="30-ANALISIS"/>
    <n v="3200"/>
    <s v="Carlos Eduardo Galindo Miranda"/>
    <s v="x"/>
    <m/>
    <m/>
    <m/>
    <m/>
    <m/>
    <n v="1"/>
    <n v="1"/>
    <n v="2"/>
    <n v="2"/>
    <m/>
    <m/>
    <d v="2025-01-01T00:00:00"/>
    <d v="1899-12-31T00:00:00"/>
    <m/>
    <x v="9"/>
    <m/>
    <s v="&lt;p&gt;Se necesita enviar un correo por el cual se avisara a los socios de negocio de distribución Yamaha que tiene un portal en el cual pueden ingresar para ver su estado de cuentas.&lt;/p&gt;"/>
    <x v="0"/>
    <x v="1"/>
    <n v="0"/>
    <n v="1"/>
    <x v="1"/>
  </r>
  <r>
    <s v="Informática"/>
    <n v="0"/>
    <s v="Autorización de facturas de Proveedores externos"/>
    <n v="247791"/>
    <s v="ASTRID VICTORIA PEÑA DIEGUEZ"/>
    <n v="29"/>
    <s v="10-COLA"/>
    <n v="3201"/>
    <s v="Olga María Hinestroza Lima"/>
    <s v="x"/>
    <m/>
    <n v="2"/>
    <s v="PROCESO"/>
    <n v="2"/>
    <s v="MEDIA"/>
    <n v="2"/>
    <n v="2"/>
    <n v="2"/>
    <n v="2"/>
    <n v="2"/>
    <s v="MEDIANO"/>
    <d v="2025-02-01T00:00:00"/>
    <m/>
    <m/>
    <x v="18"/>
    <m/>
    <m/>
    <x v="0"/>
    <x v="6"/>
    <n v="0"/>
    <n v="0"/>
    <x v="6"/>
  </r>
  <r>
    <s v="Informática"/>
    <n v="304"/>
    <s v="Consultas para reconciliaciones operados en Banco Industrial (CN006)"/>
    <n v="247795"/>
    <s v="SANDRA JUDITH LOARCA HERNANDEZ de PEREZ"/>
    <n v="21"/>
    <s v="60-CERTIFICADO"/>
    <n v="3202"/>
    <s v="Antonio Manuel Alejandro García González"/>
    <s v="x"/>
    <m/>
    <m/>
    <m/>
    <m/>
    <m/>
    <n v="1"/>
    <n v="1"/>
    <n v="3"/>
    <n v="3"/>
    <m/>
    <m/>
    <d v="2025-01-01T00:00:00"/>
    <d v="1899-12-31T00:00:00"/>
    <m/>
    <x v="6"/>
    <d v="2025-02-04T00:00:00"/>
    <m/>
    <x v="0"/>
    <x v="4"/>
    <n v="0"/>
    <n v="1"/>
    <x v="4"/>
  </r>
  <r>
    <s v="Informática"/>
    <n v="363"/>
    <s v="Corrección y Mejoras en el FEIC (CN006)"/>
    <n v="247651"/>
    <s v="LUIS FERNANDO BARRIOS MATIAS"/>
    <n v="28"/>
    <s v="20-ASIGNADO"/>
    <n v="3199"/>
    <s v="Erick Estuardo Hernandez Andrino"/>
    <s v="x"/>
    <m/>
    <m/>
    <m/>
    <m/>
    <m/>
    <n v="2"/>
    <n v="2"/>
    <n v="2"/>
    <n v="2"/>
    <m/>
    <m/>
    <d v="2025-01-22T00:00:00"/>
    <d v="1899-12-31T00:00:00"/>
    <m/>
    <x v="20"/>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0"/>
    <x v="1"/>
    <n v="0"/>
    <n v="1"/>
    <x v="1"/>
  </r>
  <r>
    <s v="Informática"/>
    <n v="321"/>
    <s v="Creditos y Cobros Fase 2 - Cobro a domiciliario"/>
    <m/>
    <m/>
    <n v="22"/>
    <s v="50-IMPLEMENTACION"/>
    <n v="2767"/>
    <s v="Gerson Castro"/>
    <s v="x"/>
    <m/>
    <m/>
    <m/>
    <m/>
    <m/>
    <n v="1"/>
    <n v="1"/>
    <n v="1"/>
    <n v="1"/>
    <m/>
    <m/>
    <d v="2025-01-01T00:00:00"/>
    <d v="1899-12-31T00:00:00"/>
    <m/>
    <x v="0"/>
    <m/>
    <s v="&lt;p&gt; ** PROCESO Implementación del sistema de cobro de calle en ODOO. Luis Polanco fue el solicitante **  ** &lt;/p&gt;"/>
    <x v="0"/>
    <x v="0"/>
    <n v="0"/>
    <n v="1"/>
    <x v="0"/>
  </r>
  <r>
    <s v="Informática"/>
    <n v="329"/>
    <s v="Cubos de BI sobre plataforma de Ucontact para análisis de datos (CN006)"/>
    <m/>
    <m/>
    <n v="29"/>
    <s v="10-COLA"/>
    <n v="3201"/>
    <s v="Olga María Hinestroza Lima"/>
    <s v="x"/>
    <m/>
    <m/>
    <m/>
    <m/>
    <m/>
    <n v="2"/>
    <n v="2"/>
    <n v="2"/>
    <n v="2"/>
    <m/>
    <m/>
    <d v="2025-01-01T00:00:00"/>
    <d v="1899-12-31T00:00:00"/>
    <m/>
    <x v="7"/>
    <m/>
    <m/>
    <x v="0"/>
    <x v="2"/>
    <n v="0"/>
    <n v="1"/>
    <x v="2"/>
  </r>
  <r>
    <s v="Informática"/>
    <n v="360"/>
    <s v="Digitalización y clasificación de DUCAS e IPrimas (CN006)"/>
    <n v="246895"/>
    <s v="CARLOS JOSE REMBERTO CONTRERAS FLORIAN"/>
    <n v="29"/>
    <s v="10-COLA"/>
    <n v="3201"/>
    <s v="Olga María Hinestroza Lima"/>
    <s v="x"/>
    <m/>
    <m/>
    <m/>
    <m/>
    <m/>
    <n v="1"/>
    <n v="1"/>
    <n v="2"/>
    <n v="2"/>
    <m/>
    <m/>
    <d v="2025-02-10T00:00:00"/>
    <d v="1899-12-31T00:00:00"/>
    <m/>
    <x v="21"/>
    <m/>
    <m/>
    <x v="0"/>
    <x v="2"/>
    <n v="0"/>
    <n v="1"/>
    <x v="2"/>
  </r>
  <r>
    <s v="Informática"/>
    <n v="0"/>
    <s v="Implementación de Sistema de Contraseñas de Proveedores Locales (copia)"/>
    <n v="254970"/>
    <s v="ROSA SOFIA PIRIR FERNANDEZ de SANCHEZ"/>
    <n v="21"/>
    <s v="60-CERTIFICADO"/>
    <n v="3204"/>
    <s v="Gerson Gabriel Flores Montúfar"/>
    <s v="x"/>
    <m/>
    <n v="4"/>
    <s v="SOPORTE/CAPACITACION"/>
    <n v="2"/>
    <s v="MEDIA"/>
    <n v="2"/>
    <n v="2"/>
    <n v="2"/>
    <n v="2"/>
    <n v="1"/>
    <s v="PEQUEÑO"/>
    <d v="2025-02-05T00:00:00"/>
    <d v="2025-02-05T00:00:00"/>
    <m/>
    <x v="18"/>
    <m/>
    <m/>
    <x v="0"/>
    <x v="6"/>
    <n v="0"/>
    <n v="0"/>
    <x v="6"/>
  </r>
  <r>
    <s v="Informática"/>
    <n v="340"/>
    <s v="MEJORAS Ajustes a eSFA para que se muestre la trazabilidad de tiempo de atención de visitas al cliente (CN006)"/>
    <m/>
    <m/>
    <n v="29"/>
    <s v="10-COLA"/>
    <n v="3204"/>
    <s v="Gerson Gabriel Flores Montúfar"/>
    <s v="x"/>
    <m/>
    <m/>
    <m/>
    <m/>
    <m/>
    <n v="1"/>
    <n v="1"/>
    <n v="1"/>
    <n v="1"/>
    <m/>
    <m/>
    <d v="2025-01-01T00:00:00"/>
    <d v="1899-12-31T00:00:00"/>
    <m/>
    <x v="1"/>
    <m/>
    <m/>
    <x v="0"/>
    <x v="1"/>
    <n v="0"/>
    <n v="1"/>
    <x v="1"/>
  </r>
  <r>
    <s v="Informática"/>
    <n v="279"/>
    <s v="Mejora interface API SCON WEB (CN006)"/>
    <m/>
    <m/>
    <n v="29"/>
    <s v="10-COLA"/>
    <n v="3198"/>
    <s v="Josue Eleazar Chet Cuellar"/>
    <s v="x"/>
    <m/>
    <m/>
    <m/>
    <m/>
    <m/>
    <n v="1"/>
    <n v="1"/>
    <n v="3"/>
    <n v="3"/>
    <m/>
    <m/>
    <d v="2025-01-01T00:00:00"/>
    <d v="1899-12-31T00:00:00"/>
    <m/>
    <x v="1"/>
    <m/>
    <m/>
    <x v="0"/>
    <x v="1"/>
    <n v="0"/>
    <n v="1"/>
    <x v="1"/>
  </r>
  <r>
    <s v="Informática"/>
    <n v="353"/>
    <s v="Obtención de Entrada de Mercancía y generación de factura (CN006)"/>
    <n v="247795"/>
    <s v="SANDRA JUDITH LOARCA HERNANDEZ de PEREZ"/>
    <n v="28"/>
    <s v="20-ASIGNADO"/>
    <n v="3201"/>
    <s v="Olga María Hinestroza Lima"/>
    <s v="x"/>
    <m/>
    <m/>
    <m/>
    <m/>
    <m/>
    <n v="1"/>
    <n v="1"/>
    <n v="1"/>
    <n v="1"/>
    <m/>
    <m/>
    <d v="2025-01-01T00:00:00"/>
    <d v="1899-12-31T00:00:00"/>
    <m/>
    <x v="0"/>
    <m/>
    <s v="&lt;p&gt; ** Obtención de Entrada de Mercancía, notificación automática a Proveedor para envío y validación de documentos, API para generación de factura desde SAP **  ** &lt;/p&gt;"/>
    <x v="0"/>
    <x v="0"/>
    <n v="0"/>
    <n v="1"/>
    <x v="0"/>
  </r>
  <r>
    <s v="Informática"/>
    <n v="344"/>
    <s v="PROCESO Automatización de carga extracto bancario de las cuentas BANRURAL para la empresa CANELLA - MT940(CN006)"/>
    <m/>
    <m/>
    <n v="30"/>
    <s v="40-DESARROLLO"/>
    <n v="3204"/>
    <s v="Gerson Gabriel Flores Montúfar"/>
    <s v="x"/>
    <m/>
    <m/>
    <m/>
    <m/>
    <m/>
    <n v="1"/>
    <n v="1"/>
    <n v="3"/>
    <n v="3"/>
    <m/>
    <m/>
    <d v="2025-01-01T00:00:00"/>
    <d v="1899-12-31T00:00:00"/>
    <m/>
    <x v="7"/>
    <m/>
    <m/>
    <x v="0"/>
    <x v="2"/>
    <n v="0"/>
    <n v="1"/>
    <x v="2"/>
  </r>
  <r>
    <s v="Informática"/>
    <n v="342"/>
    <s v="PROCESO Mejoras en los tiempos de impresión de facturas y certificación con Guatefacturas(CN006)"/>
    <m/>
    <m/>
    <n v="29"/>
    <s v="10-COLA"/>
    <n v="3204"/>
    <s v="Gerson Gabriel Flores Montúfar"/>
    <s v="x"/>
    <m/>
    <m/>
    <m/>
    <m/>
    <m/>
    <n v="1"/>
    <n v="1"/>
    <n v="3"/>
    <n v="3"/>
    <m/>
    <m/>
    <d v="2025-01-01T00:00:00"/>
    <d v="1899-12-31T00:00:00"/>
    <m/>
    <x v="2"/>
    <m/>
    <m/>
    <x v="0"/>
    <x v="2"/>
    <n v="0"/>
    <n v="1"/>
    <x v="2"/>
  </r>
  <r>
    <s v="Informática"/>
    <n v="330"/>
    <s v="PROCESO Plantilla para grabar extensiones e ISR(CN006)"/>
    <n v="246933"/>
    <s v="EDWARD ANTONY GARCIA ALVARADO"/>
    <n v="28"/>
    <s v="20-ASIGNADO"/>
    <n v="2767"/>
    <s v="Gerson Castro"/>
    <s v="x"/>
    <m/>
    <m/>
    <m/>
    <m/>
    <m/>
    <n v="1"/>
    <n v="1"/>
    <n v="2"/>
    <n v="2"/>
    <m/>
    <m/>
    <d v="2025-01-01T00:00:00"/>
    <d v="1899-12-31T00:00:00"/>
    <m/>
    <x v="2"/>
    <m/>
    <m/>
    <x v="0"/>
    <x v="2"/>
    <n v="0"/>
    <n v="1"/>
    <x v="2"/>
  </r>
  <r>
    <s v="Informática"/>
    <n v="328"/>
    <s v="PROCESO Robot que confirma boletas y valida duplicidad para Créditos y Cobros.  Edward Garcia fue el solicitante"/>
    <n v="247722"/>
    <s v="RICARDO ALFONSO ESCOBEDO DACARET"/>
    <n v="21"/>
    <s v="60-CERTIFICADO"/>
    <n v="195"/>
    <s v="Daniel Castillo"/>
    <s v="x"/>
    <m/>
    <m/>
    <m/>
    <m/>
    <m/>
    <n v="1"/>
    <n v="1"/>
    <n v="2"/>
    <n v="2"/>
    <m/>
    <m/>
    <d v="2025-01-01T00:00:00"/>
    <d v="1899-12-31T00:00:00"/>
    <m/>
    <x v="0"/>
    <m/>
    <m/>
    <x v="0"/>
    <x v="0"/>
    <n v="0"/>
    <n v="1"/>
    <x v="0"/>
  </r>
  <r>
    <s v="Informática"/>
    <n v="0"/>
    <s v="Pagos por anticipo ( medios de pago)."/>
    <n v="247884"/>
    <s v="ANA CAROLINA PALACIOS GONZALEZ de MENENDEZ"/>
    <n v="22"/>
    <s v="50-IMPLEMENTACION"/>
    <n v="3204"/>
    <s v="Gerson Gabriel Flores Montúfar"/>
    <s v="x"/>
    <m/>
    <n v="3"/>
    <s v="REPORTE"/>
    <m/>
    <m/>
    <m/>
    <m/>
    <m/>
    <m/>
    <m/>
    <m/>
    <d v="2025-02-13T00:00:00"/>
    <d v="2025-02-13T00:00:00"/>
    <m/>
    <x v="22"/>
    <d v="2025-02-13T00:00:00"/>
    <m/>
    <x v="0"/>
    <x v="1"/>
    <n v="0"/>
    <n v="1"/>
    <x v="1"/>
  </r>
  <r>
    <s v="Informática"/>
    <n v="302"/>
    <s v="Proceso para cargas masivas de medios de pago (CN006)"/>
    <m/>
    <m/>
    <n v="29"/>
    <s v="10-COLA"/>
    <n v="3202"/>
    <s v="Antonio Manuel Alejandro García González"/>
    <s v="x"/>
    <m/>
    <m/>
    <m/>
    <m/>
    <m/>
    <n v="3"/>
    <n v="3"/>
    <n v="1"/>
    <n v="1"/>
    <m/>
    <m/>
    <d v="2025-01-01T00:00:00"/>
    <d v="1899-12-31T00:00:00"/>
    <m/>
    <x v="7"/>
    <m/>
    <m/>
    <x v="0"/>
    <x v="2"/>
    <n v="0"/>
    <n v="1"/>
    <x v="2"/>
  </r>
  <r>
    <s v="Informática"/>
    <n v="373"/>
    <s v="RPA Mr Credit - Envío de facturas (CN006)"/>
    <m/>
    <m/>
    <n v="21"/>
    <s v="60-CERTIFICADO"/>
    <n v="195"/>
    <s v="Daniel Castillo"/>
    <s v="x"/>
    <b v="1"/>
    <m/>
    <m/>
    <m/>
    <m/>
    <m/>
    <m/>
    <n v="1"/>
    <n v="1"/>
    <m/>
    <m/>
    <d v="2025-01-01T00:00:00"/>
    <d v="1899-12-31T00:00:00"/>
    <m/>
    <x v="17"/>
    <m/>
    <m/>
    <x v="0"/>
    <x v="0"/>
    <n v="0"/>
    <n v="1"/>
    <x v="0"/>
  </r>
  <r>
    <s v="Informática"/>
    <n v="0"/>
    <s v="Reporte compras para Auditoria"/>
    <n v="247647"/>
    <s v="EMILIA LETICIA DIAZ MAZARIEGOS"/>
    <n v="22"/>
    <s v="50-IMPLEMENTACION"/>
    <n v="3233"/>
    <s v="Carlos Rosales"/>
    <s v="x"/>
    <b v="1"/>
    <n v="3"/>
    <s v="REPORTE"/>
    <n v="2"/>
    <s v="MEDIA"/>
    <n v="1"/>
    <n v="1"/>
    <n v="1"/>
    <n v="1"/>
    <n v="2"/>
    <s v="MEDIANO"/>
    <d v="2025-02-10T00:00:00"/>
    <d v="2025-02-11T00:00:00"/>
    <m/>
    <x v="18"/>
    <m/>
    <s v="&lt;p&gt;Reporte de facturas de compras por servicios en SAP Canella, Maquipos y VESA, según modelo enviado.&lt;/p&gt;"/>
    <x v="0"/>
    <x v="6"/>
    <n v="0"/>
    <n v="0"/>
    <x v="6"/>
  </r>
  <r>
    <s v="Informática"/>
    <n v="0"/>
    <s v="Reporte de interfaces"/>
    <n v="289030"/>
    <s v="WILLIAMS GIOVANNI GALVAN ESTRADA"/>
    <n v="29"/>
    <s v="10-COLA"/>
    <n v="3198"/>
    <s v="Josue Eleazar Chet Cuellar"/>
    <s v="x"/>
    <b v="1"/>
    <n v="3"/>
    <s v="REPORTE"/>
    <n v="1"/>
    <s v="BAJA"/>
    <n v="2"/>
    <n v="2"/>
    <n v="1"/>
    <n v="1"/>
    <n v="1"/>
    <s v="PEQUEÑO"/>
    <d v="2025-02-17T00:00:00"/>
    <d v="2025-02-17T00:00:00"/>
    <m/>
    <x v="18"/>
    <m/>
    <m/>
    <x v="0"/>
    <x v="6"/>
    <n v="0"/>
    <n v="0"/>
    <x v="6"/>
  </r>
  <r>
    <s v="Informática"/>
    <n v="277"/>
    <s v="Reporte de inventario Motul (CN006)"/>
    <n v="247857"/>
    <s v="ARNALDO RENE COTTO STREMS"/>
    <n v="21"/>
    <s v="60-CERTIFICADO"/>
    <n v="3198"/>
    <s v="Josue Eleazar Chet Cuellar"/>
    <s v="x"/>
    <m/>
    <m/>
    <m/>
    <m/>
    <m/>
    <n v="1"/>
    <n v="1"/>
    <n v="2"/>
    <n v="2"/>
    <m/>
    <m/>
    <d v="2025-01-01T00:00:00"/>
    <d v="1899-12-31T00:00:00"/>
    <m/>
    <x v="0"/>
    <m/>
    <s v="&lt;p&gt; ** INDICADORES Consulta de ventas, KPI, clientes para utliizar en el celular **  ** &lt;/p&gt;"/>
    <x v="0"/>
    <x v="0"/>
    <n v="0"/>
    <n v="1"/>
    <x v="0"/>
  </r>
  <r>
    <s v="Informática"/>
    <n v="0"/>
    <s v="Reporte del detalle de usuario en entregas SAP (CN006)"/>
    <m/>
    <m/>
    <n v="21"/>
    <s v="60-CERTIFICADO"/>
    <n v="3198"/>
    <s v="Josue Eleazar Chet Cuellar"/>
    <s v="x"/>
    <m/>
    <m/>
    <m/>
    <m/>
    <m/>
    <m/>
    <m/>
    <m/>
    <m/>
    <m/>
    <m/>
    <m/>
    <m/>
    <m/>
    <x v="18"/>
    <m/>
    <m/>
    <x v="0"/>
    <x v="6"/>
    <n v="0"/>
    <n v="0"/>
    <x v="6"/>
  </r>
  <r>
    <s v="Informática"/>
    <n v="359"/>
    <s v="Reporte facturas Admin Seguridad (CN006)"/>
    <m/>
    <m/>
    <n v="21"/>
    <s v="60-CERTIFICADO"/>
    <n v="3201"/>
    <s v="Olga María Hinestroza Lima"/>
    <s v="x"/>
    <b v="1"/>
    <m/>
    <m/>
    <m/>
    <m/>
    <n v="1"/>
    <n v="1"/>
    <n v="1"/>
    <n v="1"/>
    <m/>
    <m/>
    <d v="2025-01-20T00:00:00"/>
    <d v="1899-12-31T00:00:00"/>
    <m/>
    <x v="0"/>
    <m/>
    <m/>
    <x v="0"/>
    <x v="0"/>
    <n v="0"/>
    <n v="1"/>
    <x v="0"/>
  </r>
  <r>
    <s v="Informática"/>
    <n v="319"/>
    <s v="SEGUIMIENTO A PEDIDOS (TRACKING) - KRAS(CN006)"/>
    <n v="247857"/>
    <s v="ARNALDO RENE COTTO STREMS"/>
    <n v="28"/>
    <s v="20-ASIGNADO"/>
    <n v="2767"/>
    <s v="Gerson Castro"/>
    <s v="x"/>
    <m/>
    <m/>
    <m/>
    <m/>
    <m/>
    <n v="1"/>
    <n v="1"/>
    <n v="1"/>
    <n v="1"/>
    <m/>
    <m/>
    <d v="2025-01-01T00:00:00"/>
    <d v="1899-12-31T00:00:00"/>
    <m/>
    <x v="5"/>
    <m/>
    <s v="&lt;p&gt;En una aplicación web los clientes deben poder ver sus pedidos con su respectivo estatus Pedido, Oferta, Orden, Entrega, Facturado, etc. &lt;/p&gt;"/>
    <x v="0"/>
    <x v="3"/>
    <n v="0"/>
    <n v="1"/>
    <x v="3"/>
  </r>
  <r>
    <s v="Informática"/>
    <n v="0"/>
    <s v="Soporte (CN006)"/>
    <m/>
    <m/>
    <n v="28"/>
    <s v="20-ASIGNADO"/>
    <n v="3203"/>
    <s v="Jose Pablo Reyes Gonzalez"/>
    <s v="x"/>
    <m/>
    <m/>
    <m/>
    <m/>
    <m/>
    <m/>
    <m/>
    <m/>
    <m/>
    <m/>
    <m/>
    <d v="2025-02-03T00:00:00"/>
    <d v="2025-02-03T00:00:00"/>
    <m/>
    <x v="18"/>
    <m/>
    <m/>
    <x v="0"/>
    <x v="6"/>
    <n v="0"/>
    <n v="0"/>
    <x v="6"/>
  </r>
  <r>
    <s v="Informática"/>
    <n v="0"/>
    <s v="Soporte Carga de Excel a STOD (CN006)"/>
    <n v="247417"/>
    <s v="ALVARO LEONEL GUTIERREZ LOPEZ"/>
    <n v="21"/>
    <s v="60-CERTIFICADO"/>
    <n v="3202"/>
    <s v="Antonio Manuel Alejandro García González"/>
    <s v="x"/>
    <m/>
    <n v="4"/>
    <s v="SOPORTE/CAPACITACION"/>
    <n v="1"/>
    <s v="BAJA"/>
    <n v="1"/>
    <n v="1"/>
    <n v="2"/>
    <n v="2"/>
    <n v="1"/>
    <s v="PEQUEÑO"/>
    <d v="2025-02-04T00:00:00"/>
    <d v="2025-02-04T00:00:00"/>
    <m/>
    <x v="23"/>
    <d v="2025-02-05T00:00:00"/>
    <m/>
    <x v="0"/>
    <x v="1"/>
    <n v="0"/>
    <n v="1"/>
    <x v="1"/>
  </r>
  <r>
    <s v="Informática"/>
    <n v="0"/>
    <s v="Soporte Contabilidad Corte de Caja"/>
    <n v="247804"/>
    <s v="NANCY ELIZABETH ALVARADO TOLEDO"/>
    <n v="22"/>
    <s v="50-IMPLEMENTACION"/>
    <n v="3204"/>
    <s v="Gerson Gabriel Flores Montúfar"/>
    <s v="x"/>
    <m/>
    <m/>
    <m/>
    <m/>
    <m/>
    <m/>
    <m/>
    <m/>
    <m/>
    <m/>
    <m/>
    <d v="2025-02-10T00:00:00"/>
    <d v="2025-02-10T00:00:00"/>
    <m/>
    <x v="24"/>
    <d v="2025-02-10T00:00:00"/>
    <m/>
    <x v="0"/>
    <x v="1"/>
    <n v="0"/>
    <n v="1"/>
    <x v="1"/>
  </r>
  <r>
    <s v="Informática"/>
    <n v="0"/>
    <s v="Soporte en creación Recibos de Pago"/>
    <n v="247897"/>
    <s v="JOSE LUIS PRADO PORTILLO"/>
    <n v="21"/>
    <s v="60-CERTIFICADO"/>
    <n v="3202"/>
    <s v="Antonio Manuel Alejandro García González"/>
    <s v="x"/>
    <b v="1"/>
    <n v="4"/>
    <s v="SOPORTE/CAPACITACION"/>
    <n v="1"/>
    <s v="BAJA"/>
    <n v="2"/>
    <n v="2"/>
    <n v="2"/>
    <n v="2"/>
    <n v="1"/>
    <s v="PEQUEÑO"/>
    <d v="2025-02-13T00:00:00"/>
    <d v="2025-02-13T00:00:00"/>
    <m/>
    <x v="22"/>
    <d v="2025-02-13T00:00:00"/>
    <m/>
    <x v="0"/>
    <x v="1"/>
    <n v="0"/>
    <n v="1"/>
    <x v="1"/>
  </r>
  <r>
    <s v="Informática"/>
    <n v="0"/>
    <s v="Soporte enero (CN006)"/>
    <m/>
    <m/>
    <n v="21"/>
    <s v="60-CERTIFICADO"/>
    <n v="3201"/>
    <s v="Olga María Hinestroza Lima"/>
    <s v="x"/>
    <m/>
    <n v="4"/>
    <s v="SOPORTE/CAPACITACION"/>
    <n v="1"/>
    <s v="BAJA"/>
    <n v="2"/>
    <n v="2"/>
    <n v="3"/>
    <n v="3"/>
    <n v="2"/>
    <s v="MEDIANO"/>
    <d v="2025-01-01T00:00:00"/>
    <d v="2025-01-01T00:00:00"/>
    <m/>
    <x v="0"/>
    <d v="2025-01-31T00:00:00"/>
    <m/>
    <x v="0"/>
    <x v="0"/>
    <n v="0"/>
    <n v="1"/>
    <x v="0"/>
  </r>
  <r>
    <s v="Informática"/>
    <n v="0"/>
    <s v="Soporte febrero (CN006)"/>
    <m/>
    <m/>
    <n v="22"/>
    <s v="50-IMPLEMENTACION"/>
    <n v="3201"/>
    <s v="Olga María Hinestroza Lima"/>
    <s v="x"/>
    <m/>
    <n v="4"/>
    <s v="SOPORTE/CAPACITACION"/>
    <n v="1"/>
    <s v="BAJA"/>
    <n v="2"/>
    <n v="2"/>
    <n v="3"/>
    <n v="3"/>
    <n v="1"/>
    <s v="PEQUEÑO"/>
    <d v="2025-02-01T00:00:00"/>
    <d v="2025-02-01T00:00:00"/>
    <m/>
    <x v="1"/>
    <m/>
    <m/>
    <x v="0"/>
    <x v="1"/>
    <n v="0"/>
    <n v="1"/>
    <x v="1"/>
  </r>
  <r>
    <s v="Informática"/>
    <n v="0"/>
    <s v="Soporte query saldo de cuenta"/>
    <n v="246832"/>
    <s v="KAREN SELENA MENDIZABAL LOPEZ"/>
    <n v="22"/>
    <s v="50-IMPLEMENTACION"/>
    <n v="3204"/>
    <s v="Gerson Gabriel Flores Montúfar"/>
    <s v="x"/>
    <m/>
    <n v="4"/>
    <s v="SOPORTE/CAPACITACION"/>
    <m/>
    <m/>
    <m/>
    <m/>
    <m/>
    <m/>
    <m/>
    <m/>
    <d v="2025-02-12T00:00:00"/>
    <d v="2025-02-12T00:00:00"/>
    <m/>
    <x v="25"/>
    <d v="2025-02-12T00:00:00"/>
    <m/>
    <x v="0"/>
    <x v="1"/>
    <n v="0"/>
    <n v="1"/>
    <x v="1"/>
  </r>
  <r>
    <s v="Informática"/>
    <n v="0"/>
    <s v="Soporte y documentación de proyectos (CN006)"/>
    <m/>
    <m/>
    <n v="30"/>
    <s v="40-DESARROLLO"/>
    <n v="195"/>
    <s v="Daniel Castillo"/>
    <s v="x"/>
    <m/>
    <m/>
    <m/>
    <m/>
    <m/>
    <m/>
    <m/>
    <m/>
    <m/>
    <m/>
    <m/>
    <m/>
    <m/>
    <m/>
    <x v="18"/>
    <m/>
    <m/>
    <x v="0"/>
    <x v="6"/>
    <n v="0"/>
    <n v="0"/>
    <x v="6"/>
  </r>
  <r>
    <s v="Informática"/>
    <n v="354"/>
    <s v="Subdistribuidores Isuzu (CN006)"/>
    <n v="247791"/>
    <s v="ASTRID VICTORIA PEÑA DIEGUEZ"/>
    <n v="27"/>
    <s v="30-ANALISIS"/>
    <n v="3201"/>
    <s v="Olga María Hinestroza Lima"/>
    <s v="x"/>
    <m/>
    <m/>
    <m/>
    <m/>
    <m/>
    <n v="1"/>
    <n v="1"/>
    <n v="1"/>
    <n v="1"/>
    <m/>
    <m/>
    <d v="2025-01-01T00:00:00"/>
    <d v="1899-12-31T00:00:00"/>
    <m/>
    <x v="21"/>
    <m/>
    <m/>
    <x v="0"/>
    <x v="2"/>
    <n v="0"/>
    <n v="1"/>
    <x v="2"/>
  </r>
  <r>
    <s v="Informática"/>
    <n v="297"/>
    <s v="Traslado de"/>
    <n v="289006"/>
    <s v="SULY DANIELA CHUN SANTOS de RIVERA"/>
    <n v="30"/>
    <s v="40-DESARROLLO"/>
    <n v="195"/>
    <s v="Daniel Castillo"/>
    <s v="x"/>
    <m/>
    <m/>
    <m/>
    <m/>
    <m/>
    <n v="1"/>
    <n v="1"/>
    <n v="1"/>
    <n v="1"/>
    <m/>
    <m/>
    <d v="2025-01-01T00:00:00"/>
    <d v="1899-12-31T00:00:00"/>
    <m/>
    <x v="14"/>
    <m/>
    <m/>
    <x v="0"/>
    <x v="1"/>
    <n v="0"/>
    <n v="1"/>
    <x v="1"/>
  </r>
  <r>
    <s v="Informática"/>
    <n v="0"/>
    <s v="Traslado de sitio web Dashboard MOTUL"/>
    <n v="247857"/>
    <s v="ARNALDO RENE COTTO STREMS"/>
    <n v="22"/>
    <s v="50-IMPLEMENTACION"/>
    <n v="195"/>
    <s v="Daniel Castillo"/>
    <s v="x"/>
    <b v="1"/>
    <n v="2"/>
    <s v="PROCESO"/>
    <n v="2"/>
    <s v="MEDIA"/>
    <n v="2"/>
    <n v="2"/>
    <n v="2"/>
    <n v="2"/>
    <n v="2"/>
    <s v="MEDIANO"/>
    <d v="2025-02-01T00:00:00"/>
    <d v="2025-02-01T00:00:00"/>
    <m/>
    <x v="14"/>
    <m/>
    <s v="&lt;p&gt;Se solicita trasladar el sitio web que contiene el Dashboard de ventas MOTUL ya que este no se encuentra operando actualmente.&lt;/p&gt;"/>
    <x v="0"/>
    <x v="1"/>
    <n v="0"/>
    <n v="1"/>
    <x v="1"/>
  </r>
  <r>
    <s v="Informática"/>
    <n v="299"/>
    <s v="Agregar la opción &quot;Depósitos Mixtos&quot; al módulo de Recibos de Caja (CN006)"/>
    <m/>
    <m/>
    <n v="22"/>
    <s v="50-IMPLEMENTACION"/>
    <n v="3202"/>
    <s v="Antonio Manuel Alejandro García González"/>
    <s v="x"/>
    <m/>
    <m/>
    <m/>
    <m/>
    <m/>
    <n v="1"/>
    <n v="1"/>
    <n v="1"/>
    <n v="1"/>
    <m/>
    <m/>
    <d v="2025-01-01T00:00:00"/>
    <d v="1899-12-31T00:00:00"/>
    <m/>
    <x v="14"/>
    <m/>
    <m/>
    <x v="0"/>
    <x v="1"/>
    <n v="0"/>
    <n v="1"/>
    <x v="1"/>
  </r>
  <r>
    <s v="Informática"/>
    <n v="370"/>
    <s v="Corrección de pantalla de gestión de correos de contratos de mantenimiento"/>
    <n v="247614"/>
    <s v="LEIDI PAOLA ESQUIVEL RAMIREZ"/>
    <n v="21"/>
    <s v="60-CERTIFICADO"/>
    <n v="195"/>
    <s v="Daniel Castillo"/>
    <s v="x"/>
    <b v="1"/>
    <m/>
    <m/>
    <m/>
    <m/>
    <m/>
    <m/>
    <n v="2"/>
    <n v="2"/>
    <m/>
    <m/>
    <d v="2025-01-21T00:00:00"/>
    <d v="1899-12-31T00:00:00"/>
    <m/>
    <x v="0"/>
    <d v="2025-02-07T00:00:00"/>
    <m/>
    <x v="0"/>
    <x v="0"/>
    <n v="0"/>
    <n v="1"/>
    <x v="0"/>
  </r>
  <r>
    <s v="Informática"/>
    <n v="303"/>
    <s v="Desarrollo de modulo de lavado de vehículos"/>
    <n v="247614"/>
    <s v="LEIDI PAOLA ESQUIVEL RAMIREZ"/>
    <n v="30"/>
    <s v="40-DESARROLLO"/>
    <n v="195"/>
    <s v="Daniel Castillo"/>
    <s v="x"/>
    <m/>
    <m/>
    <m/>
    <m/>
    <m/>
    <n v="1"/>
    <n v="1"/>
    <n v="1"/>
    <n v="1"/>
    <m/>
    <m/>
    <d v="2025-01-01T00:00:00"/>
    <d v="1899-12-31T00:00:00"/>
    <m/>
    <x v="5"/>
    <m/>
    <m/>
    <x v="0"/>
    <x v="3"/>
    <n v="0"/>
    <n v="1"/>
    <x v="3"/>
  </r>
  <r>
    <s v="Informática"/>
    <n v="327"/>
    <s v="Implementación de Sistema de Contraseñas de Proveedores Locales"/>
    <n v="247795"/>
    <s v="SANDRA JUDITH LOARCA HERNANDEZ de PEREZ"/>
    <n v="22"/>
    <s v="50-IMPLEMENTACION"/>
    <n v="3201"/>
    <s v="Olga María Hinestroza Lima"/>
    <s v="x"/>
    <m/>
    <m/>
    <m/>
    <m/>
    <m/>
    <n v="1"/>
    <n v="1"/>
    <n v="1"/>
    <n v="1"/>
    <m/>
    <m/>
    <d v="2025-01-01T00:00:00"/>
    <d v="1899-12-31T00:00:00"/>
    <m/>
    <x v="14"/>
    <m/>
    <s v="&lt;p&gt; ** Implementación del Sistema de Contraseñas de Proveedores Locales SAP/LASERFICHE **  ** &lt;/p&gt;"/>
    <x v="0"/>
    <x v="1"/>
    <n v="0"/>
    <n v="1"/>
    <x v="1"/>
  </r>
  <r>
    <s v="Informática"/>
    <n v="361"/>
    <s v="Optimización de creación y actualización de Proveedores (CN006)"/>
    <n v="247556"/>
    <s v="DOUGLAS MONTOYA MONTAVES"/>
    <n v="27"/>
    <s v="30-ANALISIS"/>
    <n v="3201"/>
    <s v="Olga María Hinestroza Lima"/>
    <s v="x"/>
    <m/>
    <m/>
    <m/>
    <m/>
    <m/>
    <n v="1"/>
    <n v="1"/>
    <n v="1"/>
    <n v="1"/>
    <m/>
    <m/>
    <d v="2025-01-30T00:00:00"/>
    <d v="1899-12-31T00:00:00"/>
    <m/>
    <x v="3"/>
    <m/>
    <s v="&lt;p&gt; ** Proceso para creación proveedores con generación automática de código en SAP, alertas para actualización de datos y documentos, validación interna, almacenamiento y clasificación de expediente de proveedor. **  ** &lt;/p&gt;"/>
    <x v="0"/>
    <x v="3"/>
    <n v="0"/>
    <n v="1"/>
    <x v="3"/>
  </r>
  <r>
    <s v="Informática"/>
    <n v="352"/>
    <s v="Placas Yamaha (CN006)"/>
    <m/>
    <m/>
    <n v="21"/>
    <s v="60-CERTIFICADO"/>
    <n v="3201"/>
    <s v="Olga María Hinestroza Lima"/>
    <s v="x"/>
    <m/>
    <m/>
    <m/>
    <m/>
    <m/>
    <n v="1"/>
    <n v="1"/>
    <n v="1"/>
    <n v="1"/>
    <m/>
    <m/>
    <d v="2025-01-01T00:00:00"/>
    <d v="1899-12-31T00:00:00"/>
    <m/>
    <x v="0"/>
    <m/>
    <m/>
    <x v="0"/>
    <x v="0"/>
    <n v="0"/>
    <n v="1"/>
    <x v="0"/>
  </r>
  <r>
    <s v="Informática"/>
    <n v="338"/>
    <s v="Reporte de Geolocalizacion interstate"/>
    <n v="247857"/>
    <s v="ARNALDO RENE COTTO STREMS"/>
    <n v="21"/>
    <s v="60-CERTIFICADO"/>
    <n v="3204"/>
    <s v="Gerson Gabriel Flores Montúfar"/>
    <s v="x"/>
    <m/>
    <m/>
    <m/>
    <m/>
    <m/>
    <n v="1"/>
    <n v="1"/>
    <n v="1"/>
    <n v="1"/>
    <m/>
    <m/>
    <d v="2025-01-01T00:00:00"/>
    <d v="1899-12-31T00:00:00"/>
    <m/>
    <x v="0"/>
    <m/>
    <m/>
    <x v="0"/>
    <x v="0"/>
    <n v="0"/>
    <n v="1"/>
    <x v="0"/>
  </r>
  <r>
    <s v="Informática"/>
    <n v="369"/>
    <s v="Reporte de SAP sobre las cajas de repuestos"/>
    <n v="289006"/>
    <s v="SULY DANIELA CHUN SANTOS de RIVERA"/>
    <n v="21"/>
    <s v="60-CERTIFICADO"/>
    <n v="3200"/>
    <s v="Carlos Eduardo Galindo Miranda"/>
    <s v="x"/>
    <m/>
    <m/>
    <m/>
    <m/>
    <m/>
    <n v="2"/>
    <n v="2"/>
    <n v="2"/>
    <n v="2"/>
    <m/>
    <m/>
    <d v="2025-01-28T00:00:00"/>
    <d v="1899-12-31T00:00:00"/>
    <m/>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0"/>
    <x v="1"/>
    <n v="0"/>
    <n v="1"/>
    <x v="1"/>
  </r>
  <r>
    <s v="Informática"/>
    <n v="0"/>
    <s v="Reserva de vehículo - Isuzu Subdistribuidor"/>
    <n v="247791"/>
    <s v="ASTRID VICTORIA PEÑA DIEGUEZ"/>
    <n v="28"/>
    <s v="20-ASIGNADO"/>
    <n v="3201"/>
    <s v="Olga María Hinestroza Lima"/>
    <s v="x"/>
    <m/>
    <n v="2"/>
    <s v="PROCESO"/>
    <n v="2"/>
    <s v="MEDIA"/>
    <n v="2"/>
    <n v="2"/>
    <n v="2"/>
    <n v="2"/>
    <n v="1"/>
    <s v="PEQUEÑO"/>
    <d v="2025-02-17T00:00:00"/>
    <m/>
    <m/>
    <x v="18"/>
    <m/>
    <m/>
    <x v="0"/>
    <x v="6"/>
    <n v="0"/>
    <n v="0"/>
    <x v="6"/>
  </r>
  <r>
    <s v="Informática"/>
    <n v="325"/>
    <s v="Soporte Creditos y Cobros General"/>
    <m/>
    <m/>
    <n v="22"/>
    <s v="50-IMPLEMENTACION"/>
    <n v="2767"/>
    <s v="Gerson Castro"/>
    <s v="x"/>
    <b v="1"/>
    <m/>
    <m/>
    <m/>
    <m/>
    <n v="1"/>
    <n v="1"/>
    <n v="1"/>
    <n v="1"/>
    <m/>
    <m/>
    <d v="2025-01-01T00:00:00"/>
    <d v="1899-12-31T00:00:00"/>
    <m/>
    <x v="8"/>
    <m/>
    <s v="&lt;p&gt; ** SEGUIMIENTO Soporte al Sistema de Cobranza en ODOO. Edward Garcia fue el solicitante **  ** &lt;/p&gt;"/>
    <x v="0"/>
    <x v="3"/>
    <n v="0"/>
    <n v="1"/>
    <x v="3"/>
  </r>
  <r>
    <s v="Informática"/>
    <n v="0"/>
    <s v="Soporte PINPAD"/>
    <n v="289006"/>
    <s v="SULY DANIELA CHUN SANTOS de RIVERA"/>
    <n v="22"/>
    <s v="50-IMPLEMENTACION"/>
    <n v="3204"/>
    <s v="Gerson Gabriel Flores Montúfar"/>
    <s v="x"/>
    <m/>
    <m/>
    <m/>
    <m/>
    <m/>
    <m/>
    <m/>
    <m/>
    <m/>
    <m/>
    <m/>
    <d v="2025-02-12T00:00:00"/>
    <d v="2025-02-12T00:00:00"/>
    <m/>
    <x v="25"/>
    <d v="2025-02-12T00:00:00"/>
    <m/>
    <x v="0"/>
    <x v="1"/>
    <n v="0"/>
    <n v="1"/>
    <x v="1"/>
  </r>
  <r>
    <s v="Informática"/>
    <n v="335"/>
    <s v="Conciliación bancaria MT940BI(CN006)"/>
    <n v="247417"/>
    <s v="ALVARO LEONEL GUTIERREZ LOPEZ"/>
    <n v="21"/>
    <s v="60-CERTIFICADO"/>
    <n v="3204"/>
    <s v="Gerson Gabriel Flores Montúfar"/>
    <s v="x"/>
    <m/>
    <m/>
    <m/>
    <m/>
    <m/>
    <n v="1"/>
    <n v="1"/>
    <n v="1"/>
    <n v="1"/>
    <m/>
    <m/>
    <d v="2025-01-01T00:00:00"/>
    <d v="1899-12-31T00:00:00"/>
    <m/>
    <x v="0"/>
    <m/>
    <s v="&lt;p&gt;Carga de estado de cuenta MT940 banco industrial hacia SAP Canella&lt;/p&gt;"/>
    <x v="0"/>
    <x v="0"/>
    <n v="0"/>
    <n v="1"/>
    <x v="0"/>
  </r>
  <r>
    <s v="Informática"/>
    <n v="366"/>
    <s v="Desarrollo de reporte de personal 2024 de Taller Isuzu (CN006)"/>
    <m/>
    <m/>
    <n v="22"/>
    <s v="50-IMPLEMENTACION"/>
    <n v="195"/>
    <s v="Daniel Castillo"/>
    <s v="x"/>
    <b v="1"/>
    <m/>
    <m/>
    <m/>
    <m/>
    <m/>
    <m/>
    <n v="1"/>
    <n v="1"/>
    <m/>
    <m/>
    <d v="2025-01-01T00:00:00"/>
    <d v="1899-12-31T00:00:00"/>
    <m/>
    <x v="0"/>
    <m/>
    <m/>
    <x v="0"/>
    <x v="0"/>
    <n v="0"/>
    <n v="1"/>
    <x v="0"/>
  </r>
  <r>
    <s v="Informática"/>
    <n v="333"/>
    <s v="Implementación de WMS en Elizur (CN006)"/>
    <m/>
    <m/>
    <n v="21"/>
    <s v="60-CERTIFICADO"/>
    <n v="3203"/>
    <s v="Jose Pablo Reyes Gonzalez"/>
    <s v="x"/>
    <m/>
    <m/>
    <m/>
    <m/>
    <m/>
    <n v="1"/>
    <n v="1"/>
    <n v="2"/>
    <n v="2"/>
    <m/>
    <m/>
    <d v="2025-01-01T00:00:00"/>
    <d v="1899-12-31T00:00:00"/>
    <m/>
    <x v="0"/>
    <m/>
    <m/>
    <x v="0"/>
    <x v="0"/>
    <n v="0"/>
    <n v="1"/>
    <x v="0"/>
  </r>
  <r>
    <s v="Informática"/>
    <n v="276"/>
    <s v="Proyecto GESCON (CN006)"/>
    <n v="247888"/>
    <s v="JUAN MANUEL SOTO GUTIERREZ"/>
    <n v="30"/>
    <s v="40-DESARROLLO"/>
    <n v="3198"/>
    <s v="Josue Eleazar Chet Cuellar"/>
    <s v="x"/>
    <m/>
    <m/>
    <m/>
    <m/>
    <m/>
    <n v="1"/>
    <n v="1"/>
    <n v="1"/>
    <n v="1"/>
    <m/>
    <m/>
    <d v="2025-01-01T00:00:00"/>
    <d v="1899-12-31T00:00:00"/>
    <m/>
    <x v="26"/>
    <m/>
    <s v="&lt;p&gt; ** PROCESO Implementación y Renovación del nuevo Sistema de Contratos de Arrendamiento a una tecnología actualizada, revisión&amp;nbsp;y mejoras en los procesos, se agregara KPI y Gestión de las Cotizaciones, se cambiara nombre a la herramienta a GESCON **  ** &lt;/p&gt;"/>
    <x v="0"/>
    <x v="7"/>
    <n v="0"/>
    <n v="1"/>
    <x v="7"/>
  </r>
  <r>
    <s v="Informática"/>
    <n v="332"/>
    <s v="RPA de confirmación de boletas bancarias Créditos y Cobros"/>
    <n v="247722"/>
    <s v="RICARDO ALFONSO ESCOBEDO DACARET"/>
    <n v="30"/>
    <s v="40-DESARROLLO"/>
    <n v="195"/>
    <s v="Daniel Castillo"/>
    <s v="x"/>
    <m/>
    <m/>
    <m/>
    <m/>
    <m/>
    <n v="1"/>
    <n v="1"/>
    <n v="2"/>
    <n v="2"/>
    <m/>
    <m/>
    <d v="2025-01-01T00:00:00"/>
    <d v="1899-12-31T00:00:00"/>
    <m/>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0"/>
    <x v="2"/>
    <n v="0"/>
    <n v="1"/>
    <x v="2"/>
  </r>
  <r>
    <s v="Informática"/>
    <n v="292"/>
    <s v="Sistema de encuestas Taller Isuzu (CN006)"/>
    <m/>
    <m/>
    <n v="21"/>
    <s v="60-CERTIFICADO"/>
    <n v="195"/>
    <s v="Daniel Castillo"/>
    <s v="x"/>
    <m/>
    <m/>
    <m/>
    <m/>
    <m/>
    <n v="1"/>
    <n v="1"/>
    <n v="2"/>
    <n v="2"/>
    <m/>
    <m/>
    <d v="2025-01-01T00:00:00"/>
    <d v="1899-12-31T00:00:00"/>
    <m/>
    <x v="0"/>
    <m/>
    <m/>
    <x v="0"/>
    <x v="0"/>
    <n v="0"/>
    <n v="1"/>
    <x v="0"/>
  </r>
  <r>
    <s v="Informática"/>
    <n v="0"/>
    <s v="Soporte Carga masiva Contabilidad TC Credomatic"/>
    <n v="289036"/>
    <s v="MADELYN SUSANA BRAN OLIVAREZ"/>
    <n v="22"/>
    <s v="50-IMPLEMENTACION"/>
    <n v="3204"/>
    <s v="Gerson Gabriel Flores Montúfar"/>
    <s v="x"/>
    <m/>
    <n v="4"/>
    <s v="SOPORTE/CAPACITACION"/>
    <n v="1"/>
    <s v="BAJA"/>
    <n v="2"/>
    <n v="2"/>
    <n v="2"/>
    <n v="2"/>
    <n v="1"/>
    <s v="PEQUEÑO"/>
    <d v="2025-02-11T00:00:00"/>
    <d v="2025-02-11T00:00:00"/>
    <m/>
    <x v="27"/>
    <d v="2025-02-11T00:00:00"/>
    <m/>
    <x v="0"/>
    <x v="1"/>
    <n v="0"/>
    <n v="1"/>
    <x v="1"/>
  </r>
  <r>
    <s v="Informática"/>
    <n v="0"/>
    <s v="Soporte RPA - Boletas"/>
    <m/>
    <m/>
    <n v="22"/>
    <s v="50-IMPLEMENTACION"/>
    <n v="2767"/>
    <s v="Gerson Castro"/>
    <s v="x"/>
    <m/>
    <m/>
    <m/>
    <m/>
    <m/>
    <m/>
    <m/>
    <m/>
    <m/>
    <m/>
    <m/>
    <d v="2025-02-06T00:00:00"/>
    <m/>
    <m/>
    <x v="1"/>
    <m/>
    <s v="&lt;p&gt;Seguimiento con problemas con las boletas de los bancos, problemas de estados de cuentas, cheques etc.&lt;/p&gt;"/>
    <x v="0"/>
    <x v="1"/>
    <n v="0"/>
    <n v="1"/>
    <x v="1"/>
  </r>
  <r>
    <s v="Informática"/>
    <n v="374"/>
    <s v="Soporte impresión Yamaha (CN006)"/>
    <n v="247807"/>
    <s v="EDUARDO JACOBO ARA GÓMEZ"/>
    <n v="22"/>
    <s v="50-IMPLEMENTACION"/>
    <n v="3201"/>
    <s v="Olga María Hinestroza Lima"/>
    <s v="x"/>
    <m/>
    <m/>
    <m/>
    <m/>
    <m/>
    <n v="3"/>
    <n v="3"/>
    <n v="2"/>
    <n v="2"/>
    <m/>
    <m/>
    <d v="2025-01-31T00:00:00"/>
    <d v="1899-12-31T00:00:00"/>
    <m/>
    <x v="1"/>
    <m/>
    <s v="&lt;p&gt;Pruebas de impresión de lote de expedientes con personal del departamento de Placas ubicados en Yamaha Liberación, validando orden, expedientes completos, reimpresión y bitácora de estado de expedientes.&lt;/p&gt;"/>
    <x v="0"/>
    <x v="1"/>
    <n v="0"/>
    <n v="1"/>
    <x v="1"/>
  </r>
  <r>
    <s v="Informática"/>
    <n v="317"/>
    <s v="Creditos y Cobros Fase 2 - Cobro a domiciliario"/>
    <m/>
    <m/>
    <n v="22"/>
    <s v="50-IMPLEMENTACION"/>
    <n v="2767"/>
    <s v="Gerson Castro"/>
    <s v="x"/>
    <m/>
    <m/>
    <m/>
    <m/>
    <m/>
    <n v="1"/>
    <n v="1"/>
    <n v="1"/>
    <n v="1"/>
    <m/>
    <m/>
    <d v="2025-01-01T00:00:00"/>
    <d v="1899-12-31T00:00:00"/>
    <m/>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0"/>
    <x v="1"/>
    <n v="0"/>
    <n v="1"/>
    <x v="1"/>
  </r>
  <r>
    <s v="Informática"/>
    <n v="334"/>
    <s v="Optimizacion de Llamadas de Servicio (CN006)"/>
    <m/>
    <m/>
    <n v="21"/>
    <s v="60-CERTIFICADO"/>
    <n v="3203"/>
    <s v="Jose Pablo Reyes Gonzalez"/>
    <s v="x"/>
    <b v="1"/>
    <m/>
    <m/>
    <m/>
    <m/>
    <n v="1"/>
    <n v="1"/>
    <n v="3"/>
    <n v="3"/>
    <m/>
    <m/>
    <d v="2025-01-01T00:00:00"/>
    <d v="1899-12-31T00:00:00"/>
    <m/>
    <x v="21"/>
    <m/>
    <m/>
    <x v="0"/>
    <x v="2"/>
    <n v="0"/>
    <n v="1"/>
    <x v="2"/>
  </r>
  <r>
    <s v="Informática"/>
    <n v="0"/>
    <s v="Soporte MT940 GYT"/>
    <n v="247417"/>
    <s v="ALVARO LEONEL GUTIERREZ LOPEZ"/>
    <n v="22"/>
    <s v="50-IMPLEMENTACION"/>
    <n v="3204"/>
    <s v="Gerson Gabriel Flores Montúfar"/>
    <s v="x"/>
    <m/>
    <n v="4"/>
    <s v="SOPORTE/CAPACITACION"/>
    <m/>
    <m/>
    <m/>
    <m/>
    <m/>
    <m/>
    <m/>
    <m/>
    <d v="2025-02-12T00:00:00"/>
    <d v="2025-02-12T00:00:00"/>
    <m/>
    <x v="25"/>
    <d v="2025-02-12T00:00:00"/>
    <m/>
    <x v="0"/>
    <x v="1"/>
    <n v="0"/>
    <n v="1"/>
    <x v="1"/>
  </r>
  <r>
    <s v="Informática"/>
    <n v="295"/>
    <s v="Soporte de confirmación de boletas Enero (CN006)"/>
    <n v="293171"/>
    <s v="GABRIEL EFRAIN MELENDEZ MARROQUIN"/>
    <n v="21"/>
    <s v="60-CERTIFICADO"/>
    <n v="195"/>
    <s v="Daniel Castillo"/>
    <s v="x"/>
    <b v="1"/>
    <m/>
    <m/>
    <m/>
    <m/>
    <n v="1"/>
    <n v="1"/>
    <n v="1"/>
    <n v="1"/>
    <m/>
    <m/>
    <d v="2025-01-01T00:00:00"/>
    <d v="1899-12-31T00:00:00"/>
    <m/>
    <x v="14"/>
    <d v="2025-02-12T00:00:00"/>
    <s v="&lt;p&gt; ** MEJORAS Traslado del módulo de pases de salida de SAP a STOD **  ** &lt;/p&gt;"/>
    <x v="0"/>
    <x v="1"/>
    <n v="0"/>
    <n v="1"/>
    <x v="1"/>
  </r>
  <r>
    <s v="Informática"/>
    <n v="308"/>
    <s v="Carga masiva de Activo Fijo (CN006)"/>
    <n v="247795"/>
    <s v="SANDRA JUDITH LOARCA HERNANDEZ de PEREZ"/>
    <n v="30"/>
    <s v="40-DESARROLLO"/>
    <n v="3200"/>
    <s v="Carlos Eduardo Galindo Miranda"/>
    <s v="x"/>
    <m/>
    <m/>
    <m/>
    <m/>
    <m/>
    <n v="1"/>
    <n v="1"/>
    <n v="3"/>
    <n v="3"/>
    <m/>
    <m/>
    <d v="2025-01-01T00:00:00"/>
    <d v="1899-12-31T00:00:00"/>
    <m/>
    <x v="7"/>
    <m/>
    <s v="&lt;p&gt; ** PROCESO Crear códigos de activos fijos por medio de un archivo Excel.&lt;/p&gt;"/>
    <x v="0"/>
    <x v="2"/>
    <n v="0"/>
    <n v="1"/>
    <x v="2"/>
  </r>
  <r>
    <s v="Informática"/>
    <n v="290"/>
    <s v="Módulo de RECALL taller ISUZU (CN006)"/>
    <n v="247828"/>
    <s v="DOUGLAS ALEJANDRO MALDONADO DUMAS"/>
    <n v="21"/>
    <s v="60-CERTIFICADO"/>
    <n v="195"/>
    <s v="Daniel Castillo"/>
    <s v="x"/>
    <m/>
    <m/>
    <m/>
    <m/>
    <m/>
    <n v="1"/>
    <n v="1"/>
    <n v="1"/>
    <n v="1"/>
    <m/>
    <m/>
    <d v="2025-01-01T00:00:00"/>
    <d v="1899-12-31T00:00:00"/>
    <m/>
    <x v="0"/>
    <m/>
    <s v="&lt;p&gt; ** Ajustes al modulo de Recall con las indicaciones de Taller Automotriz **  ** &lt;/p&gt;"/>
    <x v="0"/>
    <x v="0"/>
    <n v="0"/>
    <n v="1"/>
    <x v="0"/>
  </r>
  <r>
    <s v="Informática"/>
    <n v="339"/>
    <s v="Sistema de Cubos ABC (CN006)"/>
    <m/>
    <m/>
    <n v="28"/>
    <s v="20-ASIGNADO"/>
    <n v="3203"/>
    <s v="Jose Pablo Reyes Gonzalez"/>
    <s v="x"/>
    <m/>
    <m/>
    <m/>
    <m/>
    <m/>
    <n v="1"/>
    <n v="1"/>
    <n v="2"/>
    <n v="2"/>
    <m/>
    <m/>
    <d v="2025-01-01T00:00:00"/>
    <d v="1899-12-31T00:00:00"/>
    <m/>
    <x v="1"/>
    <m/>
    <m/>
    <x v="0"/>
    <x v="1"/>
    <n v="0"/>
    <n v="1"/>
    <x v="1"/>
  </r>
  <r>
    <s v="Informática"/>
    <n v="307"/>
    <s v="Envío de correo en creación Pago Recibido en SAP (CN006)"/>
    <n v="247722"/>
    <s v="RICARDO ALFONSO ESCOBEDO DACARET"/>
    <n v="30"/>
    <s v="40-DESARROLLO"/>
    <n v="3202"/>
    <s v="Antonio Manuel Alejandro García González"/>
    <s v="x"/>
    <b v="1"/>
    <m/>
    <m/>
    <m/>
    <m/>
    <n v="1"/>
    <n v="1"/>
    <n v="2"/>
    <n v="2"/>
    <m/>
    <m/>
    <d v="2025-01-01T00:00:00"/>
    <d v="1899-12-31T00:00:00"/>
    <m/>
    <x v="5"/>
    <m/>
    <s v="&lt;p&gt;Se debe enviar un correo a Edward Garcia notificando y adjuntando el PDF del pago recibido&amp;nbsp;cuando se crea en SAP Canella.&lt;/p&gt;"/>
    <x v="0"/>
    <x v="3"/>
    <n v="0"/>
    <n v="1"/>
    <x v="3"/>
  </r>
  <r>
    <s v="Informática"/>
    <n v="336"/>
    <s v="Mejoras a SAP"/>
    <m/>
    <m/>
    <n v="30"/>
    <s v="40-DESARROLLO"/>
    <n v="3203"/>
    <s v="Jose Pablo Reyes Gonzalez"/>
    <s v="x"/>
    <m/>
    <m/>
    <m/>
    <m/>
    <m/>
    <n v="3"/>
    <n v="3"/>
    <n v="2"/>
    <n v="2"/>
    <m/>
    <m/>
    <d v="2025-01-01T00:00:00"/>
    <d v="1899-12-31T00:00:00"/>
    <m/>
    <x v="1"/>
    <m/>
    <m/>
    <x v="0"/>
    <x v="1"/>
    <n v="0"/>
    <n v="1"/>
    <x v="1"/>
  </r>
  <r>
    <s v="Informática"/>
    <n v="371"/>
    <s v="Soporte de ingreso de datos para presupuestos de pintura (CN006)"/>
    <m/>
    <m/>
    <n v="21"/>
    <s v="60-CERTIFICADO"/>
    <n v="195"/>
    <s v="Daniel Castillo"/>
    <s v="x"/>
    <b v="1"/>
    <m/>
    <m/>
    <m/>
    <m/>
    <m/>
    <m/>
    <n v="1"/>
    <n v="1"/>
    <m/>
    <m/>
    <d v="2025-01-06T00:00:00"/>
    <d v="1899-12-31T00:00:00"/>
    <m/>
    <x v="0"/>
    <m/>
    <m/>
    <x v="0"/>
    <x v="0"/>
    <n v="0"/>
    <n v="1"/>
    <x v="0"/>
  </r>
  <r>
    <s v="Gerencia"/>
    <n v="275"/>
    <s v="(275) PROCESO  ** Cambios para grabar presupuestos pintura en SAP, reporte y validaciones"/>
    <n v="247828"/>
    <s v="DOUGLAS ALEJANDRO MALDONADO DUMAS"/>
    <n v="30"/>
    <s v="40-DESARROLLO"/>
    <n v="3233"/>
    <s v="Carlos Rosales"/>
    <s v="x"/>
    <m/>
    <m/>
    <m/>
    <m/>
    <m/>
    <n v="1"/>
    <n v="1"/>
    <n v="1"/>
    <n v="1"/>
    <m/>
    <m/>
    <m/>
    <m/>
    <d v="2025-01-31T00:00:00"/>
    <x v="18"/>
    <m/>
    <s v="&lt;p&gt;PROCESO  ** Cambios para grabar presupuestos pintura en SAP, reporte y validaciones&lt;/p&gt;"/>
    <x v="1"/>
    <x v="6"/>
    <n v="1"/>
    <n v="0"/>
    <x v="0"/>
  </r>
  <r>
    <s v="Gerencia"/>
    <n v="278"/>
    <s v="(278) BI  ** Configuración de puerta de enlace para Power BI para Douglas Maldonado"/>
    <n v="247828"/>
    <s v="DOUGLAS ALEJANDRO MALDONADO DUMAS"/>
    <n v="30"/>
    <s v="40-DESARROLLO"/>
    <n v="3233"/>
    <s v="Carlos Rosales"/>
    <s v="x"/>
    <b v="1"/>
    <m/>
    <m/>
    <m/>
    <m/>
    <n v="1"/>
    <n v="1"/>
    <n v="3"/>
    <n v="3"/>
    <m/>
    <m/>
    <m/>
    <m/>
    <d v="2025-01-28T00:00:00"/>
    <x v="18"/>
    <m/>
    <s v="&lt;p&gt;BI  ** Configuración de puerta de enlace para Power BI para Douglas Maldonado&lt;/p&gt;"/>
    <x v="1"/>
    <x v="6"/>
    <n v="1"/>
    <n v="0"/>
    <x v="0"/>
  </r>
  <r>
    <s v="Gerencia"/>
    <n v="280"/>
    <s v="(280) SOPORTE Soporte y Capacitación de plantilla con Framework REACT/C Sharp para implementarlo en el sistema de SCONWEB del Departamento de Servicio Técnico"/>
    <n v="247541"/>
    <s v="ALEJANDRO ALBERTO GARCIA ARRECIS"/>
    <n v="28"/>
    <s v="20-ASIGNADO"/>
    <n v="3198"/>
    <s v="Josue Eleazar Chet Cuellar"/>
    <s v="x"/>
    <m/>
    <m/>
    <m/>
    <m/>
    <m/>
    <n v="3"/>
    <n v="3"/>
    <n v="3"/>
    <n v="3"/>
    <m/>
    <m/>
    <m/>
    <m/>
    <d v="2025-03-28T00:00:00"/>
    <x v="18"/>
    <m/>
    <s v="&lt;p&gt;SOPORTE Soporte y Capacitación de plantilla con Framework REACT/C Sharp para implementarlo en el sistema de SCONWEB del Departamento de Servicio Técnico&lt;/p&gt;"/>
    <x v="2"/>
    <x v="6"/>
    <n v="1"/>
    <n v="0"/>
    <x v="2"/>
  </r>
  <r>
    <s v="Gerencia"/>
    <n v="281"/>
    <s v="(281) PROCESO ** Implementación de Contabilidad NIIF"/>
    <n v="247795"/>
    <s v="SANDRA JUDITH LOARCA HERNANDEZ de PEREZ"/>
    <n v="28"/>
    <s v="20-ASIGNADO"/>
    <n v="3233"/>
    <s v="Carlos Rosales"/>
    <s v="x"/>
    <m/>
    <m/>
    <m/>
    <m/>
    <m/>
    <n v="1"/>
    <n v="1"/>
    <n v="1"/>
    <n v="1"/>
    <m/>
    <m/>
    <m/>
    <m/>
    <d v="2025-03-28T00:00:00"/>
    <x v="18"/>
    <m/>
    <s v="&lt;p&gt;PROCESO ** Implementación de Contabilidad NIIF&lt;/p&gt;"/>
    <x v="2"/>
    <x v="6"/>
    <n v="1"/>
    <n v="0"/>
    <x v="2"/>
  </r>
  <r>
    <s v="Gerencia"/>
    <n v="282"/>
    <s v="(282) MEJORAS  ** Mejoras al proceso de órdenes de entrega para sótano deben agregarse los campos indicados por Douglas Montoya"/>
    <n v="247556"/>
    <s v="DOUGLAS MONTOYA MONTAVES"/>
    <n v="28"/>
    <s v="20-ASIGNADO"/>
    <n v="3233"/>
    <s v="Carlos Rosales"/>
    <s v="x"/>
    <m/>
    <m/>
    <m/>
    <m/>
    <m/>
    <n v="1"/>
    <n v="1"/>
    <n v="3"/>
    <n v="3"/>
    <m/>
    <m/>
    <m/>
    <m/>
    <d v="2025-02-28T00:00:00"/>
    <x v="18"/>
    <m/>
    <s v="&lt;p&gt;MEJORAS  ** Mejoras al proceso de órdenes de entrega para sótano deben agregarse los campos indicados por Douglas Montoya&lt;/p&gt;"/>
    <x v="3"/>
    <x v="6"/>
    <n v="1"/>
    <n v="0"/>
    <x v="1"/>
  </r>
  <r>
    <s v="Gerencia"/>
    <n v="283"/>
    <s v="(283) CARGA DE DATOS ** Clasificación de clientes para carga masiva de SAP solicitada por Rene Cotto"/>
    <n v="247857"/>
    <s v="ARNALDO RENE COTTO STREMS"/>
    <n v="28"/>
    <s v="20-ASIGNADO"/>
    <m/>
    <m/>
    <s v="x"/>
    <m/>
    <m/>
    <m/>
    <m/>
    <m/>
    <n v="1"/>
    <n v="1"/>
    <n v="2"/>
    <n v="2"/>
    <m/>
    <m/>
    <m/>
    <m/>
    <d v="2025-01-31T00:00:00"/>
    <x v="18"/>
    <m/>
    <s v="&lt;p&gt;CARGA DE DATOS ** Clasificación de clientes para carga masiva de SAP solicitada por Rene Cotto&lt;/p&gt;&lt;p&gt;PENDIENTE ASIGNAR LUIS GONZALEZ&lt;/p&gt;"/>
    <x v="1"/>
    <x v="6"/>
    <n v="1"/>
    <n v="0"/>
    <x v="0"/>
  </r>
  <r>
    <s v="Gerencia"/>
    <n v="284"/>
    <s v="(284) PROCESO ** Actualizacion de tablas de catálogos de SAP de acuerdo con 24 puntos que contiene el archivo enviado a Marisol Recinos"/>
    <n v="247885"/>
    <s v="AMABILIA MARISOL RECINOS ARGUETA"/>
    <n v="28"/>
    <s v="20-ASIGNADO"/>
    <n v="3233"/>
    <s v="Carlos Rosales"/>
    <s v="x"/>
    <m/>
    <m/>
    <m/>
    <m/>
    <m/>
    <n v="1"/>
    <n v="1"/>
    <n v="1"/>
    <n v="1"/>
    <m/>
    <m/>
    <m/>
    <m/>
    <d v="2025-04-30T00:00:00"/>
    <x v="18"/>
    <m/>
    <s v="&lt;p&gt;PROCESO ** Actualizacion de tablas de catálogos de SAP de acuerdo con 24 puntos que contiene el archivo enviado a Marisol Recinos&lt;/p&gt;"/>
    <x v="4"/>
    <x v="6"/>
    <n v="1"/>
    <n v="0"/>
    <x v="3"/>
  </r>
  <r>
    <s v="Gerencia"/>
    <n v="285"/>
    <s v="(285) PROCESO ** Cubo para analisis de personal activo y retirado, para realizar un kpi de rotación de personal"/>
    <n v="247277"/>
    <s v="JOSE ROBERTO AGUIRRE CANELLA"/>
    <n v="21"/>
    <s v="60-CERTIFICADO"/>
    <n v="3233"/>
    <s v="Carlos Rosales"/>
    <s v="x"/>
    <m/>
    <m/>
    <m/>
    <m/>
    <m/>
    <n v="1"/>
    <n v="1"/>
    <n v="1"/>
    <n v="1"/>
    <m/>
    <m/>
    <m/>
    <m/>
    <d v="2025-01-31T00:00:00"/>
    <x v="18"/>
    <m/>
    <s v="&lt;p&gt;PROCESO ** Cubo para analisis de personal activo y retirado, para realizar un kpi de rotación de personal&lt;/p&gt;"/>
    <x v="1"/>
    <x v="6"/>
    <n v="1"/>
    <n v="0"/>
    <x v="0"/>
  </r>
  <r>
    <s v="Gerencia"/>
    <n v="286"/>
    <s v="(286) PROCESO ** Seguimiento a Cuadtratica para Vesa"/>
    <n v="247795"/>
    <s v="SANDRA JUDITH LOARCA HERNANDEZ de PEREZ"/>
    <n v="28"/>
    <s v="20-ASIGNADO"/>
    <m/>
    <m/>
    <s v="x"/>
    <m/>
    <m/>
    <m/>
    <m/>
    <m/>
    <n v="2"/>
    <n v="2"/>
    <n v="2"/>
    <n v="2"/>
    <m/>
    <m/>
    <m/>
    <m/>
    <d v="2025-02-28T00:00:00"/>
    <x v="18"/>
    <m/>
    <s v="&lt;p&gt;PROCESO ** Seguimiento a Cuadtratica para Vesa&lt;/p&gt;&lt;p&gt;PENDIENTE DE ASIGNAR LUIS GONZALEZ&lt;/p&gt;"/>
    <x v="3"/>
    <x v="6"/>
    <n v="1"/>
    <n v="0"/>
    <x v="1"/>
  </r>
  <r>
    <s v="Gerencia"/>
    <n v="287"/>
    <s v="(287) MEJORAS  ** Procesos de anulación en medios de pago SAP"/>
    <n v="289004"/>
    <s v="DOUGLAS MONTOYA MONTAVES"/>
    <n v="28"/>
    <s v="20-ASIGNADO"/>
    <m/>
    <m/>
    <s v="x"/>
    <m/>
    <m/>
    <m/>
    <m/>
    <m/>
    <n v="2"/>
    <n v="2"/>
    <n v="2"/>
    <n v="2"/>
    <m/>
    <m/>
    <m/>
    <m/>
    <d v="2025-02-28T00:00:00"/>
    <x v="18"/>
    <m/>
    <s v="&lt;p&gt;MEJORAS  ** Procesos de anulación en medios de pago SAP&lt;/p&gt;&lt;p&gt;PENDIENTE DE ASIGNAR LUIS GONZALEZ&lt;/p&gt;"/>
    <x v="3"/>
    <x v="6"/>
    <n v="1"/>
    <n v="0"/>
    <x v="1"/>
  </r>
  <r>
    <s v="Gerencia"/>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s v="50-IMPLEMENTACION"/>
    <n v="195"/>
    <s v="Daniel Castillo"/>
    <s v="x"/>
    <b v="1"/>
    <m/>
    <m/>
    <m/>
    <m/>
    <n v="1"/>
    <n v="1"/>
    <n v="1"/>
    <n v="1"/>
    <m/>
    <m/>
    <m/>
    <m/>
    <d v="2025-01-31T00:00:00"/>
    <x v="18"/>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x v="1"/>
    <x v="6"/>
    <n v="1"/>
    <n v="0"/>
    <x v="0"/>
  </r>
  <r>
    <s v="Gerencia"/>
    <n v="289"/>
    <s v="(289) MEJORAS ** Implementacion de Combos en GrafiPronto"/>
    <n v="247729"/>
    <s v="OLGA MARIA DE LA CRUZ VALLADARES GUILLEN de OVALLE"/>
    <n v="28"/>
    <s v="20-ASIGNADO"/>
    <m/>
    <m/>
    <s v="x"/>
    <m/>
    <m/>
    <m/>
    <m/>
    <m/>
    <n v="3"/>
    <n v="3"/>
    <n v="3"/>
    <n v="3"/>
    <m/>
    <m/>
    <m/>
    <m/>
    <d v="2025-03-28T00:00:00"/>
    <x v="18"/>
    <m/>
    <s v="&lt;p&gt;MEJORAS ** Implementacion de Combos en GrafiPronto&lt;/p&gt;&lt;p&gt;PENDIENTE DE ASIGNAR LUIS GONZALEZ&lt;/p&gt;"/>
    <x v="2"/>
    <x v="6"/>
    <n v="1"/>
    <n v="0"/>
    <x v="2"/>
  </r>
  <r>
    <s v="Gerencia"/>
    <n v="291"/>
    <s v="(291) PROCESO ** Estandarización de las instancias SAP MAQUIPOS Y VESA"/>
    <n v="247393"/>
    <s v="MIGUEL EDUARDO PEREZ LOPEZ"/>
    <n v="28"/>
    <s v="20-ASIGNADO"/>
    <m/>
    <m/>
    <s v="x"/>
    <m/>
    <m/>
    <m/>
    <m/>
    <m/>
    <n v="3"/>
    <n v="3"/>
    <n v="3"/>
    <n v="3"/>
    <m/>
    <m/>
    <m/>
    <m/>
    <d v="2025-04-14T00:00:00"/>
    <x v="18"/>
    <m/>
    <s v="&lt;p&gt;PROCESO ** Estandarización de las instancias SAP MAQUIPOS Y VESA&lt;/p&gt;&lt;p&gt;PENDIENTE DE ASIGNAR LUIS GONZALEZ&lt;/p&gt;"/>
    <x v="4"/>
    <x v="6"/>
    <n v="1"/>
    <n v="0"/>
    <x v="3"/>
  </r>
  <r>
    <s v="Gerencia"/>
    <n v="293"/>
    <s v="(293) PROCESO ** Seguimiento a Cuadtratica para Canella ** "/>
    <n v="247795"/>
    <s v="SANDRA JUDITH LOARCA HERNANDEZ de PEREZ"/>
    <n v="28"/>
    <s v="20-ASIGNADO"/>
    <m/>
    <m/>
    <s v="x"/>
    <m/>
    <m/>
    <m/>
    <m/>
    <m/>
    <n v="2"/>
    <n v="2"/>
    <n v="2"/>
    <n v="2"/>
    <m/>
    <m/>
    <m/>
    <m/>
    <d v="2025-03-28T00:00:00"/>
    <x v="18"/>
    <m/>
    <s v="&lt;p&gt;PROCESO ** Seguimiento a Cuadtratica para Canella&lt;/p&gt;&lt;p&gt;PENNDIENTE DE ASIGNAR LUIS GONZALEZ&lt;/p&gt;"/>
    <x v="2"/>
    <x v="6"/>
    <n v="1"/>
    <n v="0"/>
    <x v="2"/>
  </r>
  <r>
    <s v="Gerencia"/>
    <n v="294"/>
    <s v="(294) PROCESO ** Implementación del Sistema de Inventario en tránsito VESA Y MAQUIPOS"/>
    <n v="247795"/>
    <s v="SANDRA JUDITH LOARCA HERNANDEZ de PEREZ"/>
    <n v="28"/>
    <s v="20-ASIGNADO"/>
    <m/>
    <m/>
    <s v="x"/>
    <m/>
    <m/>
    <m/>
    <m/>
    <m/>
    <n v="1"/>
    <n v="1"/>
    <n v="2"/>
    <n v="2"/>
    <m/>
    <m/>
    <m/>
    <m/>
    <d v="2025-04-14T00:00:00"/>
    <x v="18"/>
    <m/>
    <s v="&lt;p&gt;PROCESO ** Implementación del Sistema de Inventario en tránsito VESA Y MAQUIPOS&lt;/p&gt;&lt;p&gt;PENDIENTE DE ASIGNAR LUIS GONNZALEZ&lt;/p&gt;"/>
    <x v="4"/>
    <x v="6"/>
    <n v="1"/>
    <n v="0"/>
    <x v="3"/>
  </r>
  <r>
    <s v="Gerencia"/>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s v="60-CERTIFICADO"/>
    <n v="195"/>
    <s v="Daniel Castillo"/>
    <s v="x"/>
    <b v="1"/>
    <m/>
    <m/>
    <m/>
    <m/>
    <n v="1"/>
    <n v="1"/>
    <n v="2"/>
    <n v="2"/>
    <m/>
    <m/>
    <m/>
    <m/>
    <d v="2025-03-10T00:00:00"/>
    <x v="18"/>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x v="2"/>
    <x v="6"/>
    <n v="1"/>
    <n v="0"/>
    <x v="2"/>
  </r>
  <r>
    <s v="Gerencia"/>
    <n v="305"/>
    <s v="(305) PROCESO ** Implementación de RPA para confirmación de boletas de deposito"/>
    <n v="247795"/>
    <s v="SANDRA JUDITH LOARCA HERNANDEZ de PEREZ"/>
    <n v="28"/>
    <s v="20-ASIGNADO"/>
    <n v="195"/>
    <s v="Daniel Castillo"/>
    <s v="x"/>
    <m/>
    <m/>
    <m/>
    <m/>
    <m/>
    <n v="1"/>
    <n v="1"/>
    <n v="1"/>
    <n v="1"/>
    <m/>
    <m/>
    <m/>
    <m/>
    <d v="2025-03-10T00:00:00"/>
    <x v="18"/>
    <m/>
    <s v="&lt;p&gt;PROCESO ** Implementación de RPA para confirmación de boletas de deposito&lt;/p&gt;&lt;p&gt;&lt;br&gt;&lt;/p&gt;"/>
    <x v="2"/>
    <x v="6"/>
    <n v="1"/>
    <n v="0"/>
    <x v="2"/>
  </r>
  <r>
    <s v="Gerencia"/>
    <n v="309"/>
    <s v="(309) PROCESO  ** Implementación del Sistema de PinPads para el manejo de Cajas en Facturación Fase 1"/>
    <n v="247795"/>
    <s v="SANDRA JUDITH LOARCA HERNANDEZ de PEREZ"/>
    <n v="21"/>
    <s v="60-CERTIFICADO"/>
    <m/>
    <m/>
    <s v="x"/>
    <m/>
    <m/>
    <m/>
    <m/>
    <m/>
    <n v="1"/>
    <n v="1"/>
    <n v="1"/>
    <n v="1"/>
    <m/>
    <m/>
    <m/>
    <m/>
    <d v="2025-01-31T00:00:00"/>
    <x v="18"/>
    <m/>
    <s v="&lt;p&gt;PROCESO  ** Implementación del Sistema de PinPads para el manejo de Cajas en Facturación Fase 1&lt;/p&gt;&lt;p&gt;PENDIENTE DE ASIGNAR MARVIN VARGAS&lt;/p&gt;"/>
    <x v="1"/>
    <x v="6"/>
    <n v="1"/>
    <n v="0"/>
    <x v="0"/>
  </r>
  <r>
    <s v="Gerencia"/>
    <n v="312"/>
    <s v="(312) PROCESO ** Conexión a SAP para  consultas de CQM Yamaha"/>
    <n v="247807"/>
    <s v="EDUARDO JACOBO ARA GÓMEZ"/>
    <n v="28"/>
    <s v="20-ASIGNADO"/>
    <m/>
    <m/>
    <s v="x"/>
    <b v="1"/>
    <m/>
    <m/>
    <m/>
    <m/>
    <n v="2"/>
    <n v="2"/>
    <n v="2"/>
    <n v="2"/>
    <m/>
    <m/>
    <m/>
    <m/>
    <d v="2025-01-31T00:00:00"/>
    <x v="18"/>
    <m/>
    <s v="&lt;p&gt;PROCESO ** Conexión a SAP para  consultas de CQM Yamaha&lt;/p&gt;&lt;p&gt;PENDIENTE DE ASIGNAR MARVIN VARGAS&lt;/p&gt;"/>
    <x v="1"/>
    <x v="6"/>
    <n v="1"/>
    <n v="0"/>
    <x v="0"/>
  </r>
  <r>
    <s v="Gerencia"/>
    <n v="313"/>
    <s v="(313) Información sobre la data del FEIC distribuidores para que se ingresen en un sitio web"/>
    <m/>
    <m/>
    <n v="28"/>
    <s v="20-ASIGNADO"/>
    <n v="3199"/>
    <s v="Erick Estuardo Hernandez Andrino"/>
    <s v="x"/>
    <m/>
    <m/>
    <m/>
    <m/>
    <m/>
    <n v="1"/>
    <n v="1"/>
    <n v="1"/>
    <n v="1"/>
    <m/>
    <m/>
    <m/>
    <m/>
    <d v="2025-02-21T00:00:00"/>
    <x v="18"/>
    <m/>
    <m/>
    <x v="3"/>
    <x v="6"/>
    <n v="1"/>
    <n v="0"/>
    <x v="1"/>
  </r>
  <r>
    <s v="Gerencia"/>
    <n v="314"/>
    <s v="(314) PROCESO ** Tiendas en línea Motul-Interstate - Ipone, desarrollo de webservices con SAP"/>
    <n v="247857"/>
    <s v="ARNALDO RENE COTTO STREMS"/>
    <n v="28"/>
    <s v="20-ASIGNADO"/>
    <m/>
    <m/>
    <s v="x"/>
    <m/>
    <m/>
    <m/>
    <m/>
    <m/>
    <n v="2"/>
    <n v="2"/>
    <n v="2"/>
    <n v="2"/>
    <m/>
    <m/>
    <m/>
    <m/>
    <d v="2025-02-14T00:00:00"/>
    <x v="18"/>
    <m/>
    <s v="&lt;p&gt;PROCESO ** Tiendas en línea Motul-Interstate - Ipone, desarrollo de webservices con SAP&lt;/p&gt;&lt;p&gt;PENDIENTE DE ASIGNAR MARVINN VARGAS&lt;/p&gt;"/>
    <x v="3"/>
    <x v="6"/>
    <n v="1"/>
    <n v="0"/>
    <x v="1"/>
  </r>
  <r>
    <s v="Gerencia"/>
    <n v="315"/>
    <s v="(315) PROCESO ** Modificación al reporte de la IVE y el nombre del reporte IVE-INF-05, Carlos Rosales hizo los ultimos ajustes por la auditoria de la IVE.  Luis enviara un correo detallando los ajustes a realizar"/>
    <n v="247651"/>
    <s v="LUIS FERNANDO BARRIOS MATIAS"/>
    <n v="21"/>
    <s v="60-CERTIFICADO"/>
    <n v="3199"/>
    <s v="Erick Estuardo Hernandez Andrino"/>
    <s v="x"/>
    <m/>
    <m/>
    <m/>
    <m/>
    <m/>
    <n v="1"/>
    <n v="1"/>
    <n v="3"/>
    <n v="3"/>
    <m/>
    <m/>
    <m/>
    <m/>
    <d v="2025-02-28T00:00:00"/>
    <x v="18"/>
    <m/>
    <s v="&lt;p&gt;PROCESO ** Modificación al reporte de la IVE y el nombre del reporte IVE-INF-05, Carlos Rosales hizo los ultimos ajustes por la auditoria de la IVE.  Luis enviara un correo detallando los ajustes a realizar&lt;/p&gt;"/>
    <x v="3"/>
    <x v="6"/>
    <n v="1"/>
    <n v="0"/>
    <x v="1"/>
  </r>
  <r>
    <s v="Gerencia"/>
    <n v="316"/>
    <s v="(316) PROCESO ** Conexión a página web de distribuidores Canon y tienda en línea para interfaces con SAP"/>
    <n v="247770"/>
    <s v="JORGE LUIS MURALLES PAPPA"/>
    <n v="28"/>
    <s v="20-ASIGNADO"/>
    <m/>
    <m/>
    <s v="x"/>
    <m/>
    <m/>
    <m/>
    <m/>
    <m/>
    <n v="2"/>
    <n v="2"/>
    <n v="2"/>
    <n v="2"/>
    <m/>
    <m/>
    <m/>
    <m/>
    <d v="2025-02-14T00:00:00"/>
    <x v="18"/>
    <m/>
    <s v="&lt;p&gt;PROCESO ** Conexión a página web de distribuidores Canon y tienda en línea para interfaces con SAP&lt;/p&gt;&lt;p&gt;PENDIENTE DE ASIGNAR MARVIN VARGAS&lt;/p&gt;"/>
    <x v="3"/>
    <x v="6"/>
    <n v="1"/>
    <n v="0"/>
    <x v="1"/>
  </r>
  <r>
    <s v="Gerencia"/>
    <n v="318"/>
    <s v="(318) PROCESO ** Seguimiento al proceso cotización de equipos y respuetos de Maquinaria, realizar webservices con SAP"/>
    <n v="247068"/>
    <s v="YESVI AVIGAIL ELIAS ORIZABAL"/>
    <n v="28"/>
    <s v="20-ASIGNADO"/>
    <m/>
    <m/>
    <s v="x"/>
    <m/>
    <m/>
    <m/>
    <m/>
    <m/>
    <n v="2"/>
    <n v="2"/>
    <n v="2"/>
    <n v="2"/>
    <m/>
    <m/>
    <m/>
    <m/>
    <d v="2025-02-24T00:00:00"/>
    <x v="18"/>
    <m/>
    <s v="&lt;p&gt;PROCESO ** Seguimiento al proceso cotización de equipos y respuetos de Maquinaria, realizar webservices con SAP&lt;/p&gt;&lt;p&gt;PENDIENTE DE ASIGNAR MARVIN VARGAS&lt;/p&gt;"/>
    <x v="3"/>
    <x v="6"/>
    <n v="1"/>
    <n v="0"/>
    <x v="1"/>
  </r>
  <r>
    <s v="Gerencia"/>
    <n v="320"/>
    <s v="(320) MEJORAS ** 2da fase de tablero de atención al clientes para cajas del departamento de Repuestos"/>
    <n v="247556"/>
    <s v="DOUGLAS MONTOYA MONTAVES"/>
    <n v="28"/>
    <s v="20-ASIGNADO"/>
    <m/>
    <m/>
    <s v="x"/>
    <m/>
    <m/>
    <m/>
    <m/>
    <m/>
    <n v="3"/>
    <n v="3"/>
    <n v="3"/>
    <n v="3"/>
    <m/>
    <m/>
    <m/>
    <m/>
    <d v="2025-04-14T00:00:00"/>
    <x v="18"/>
    <m/>
    <s v="&lt;p&gt;MEJORAS ** 2da fase de tablero de atención al clientes para cajas del departamento de Repuestos&lt;/p&gt;&lt;p&gt;PENDIENTE DE ASIGNAR MARVIN VARGAS&lt;/p&gt;"/>
    <x v="4"/>
    <x v="6"/>
    <n v="1"/>
    <n v="0"/>
    <x v="3"/>
  </r>
  <r>
    <s v="Gerencia"/>
    <n v="322"/>
    <s v="(322) CONSULTA EN SISTEMA DE PEDIDOS DISTRIBUIDORES - KRAS ** Consulta de estados de cuenta por el cliente en la web. Desde la página de pedidos del distribuidor se podrá accesar a la página de estados de cuenta"/>
    <n v="247857"/>
    <s v="ARNALDO RENE COTTO STREMS"/>
    <n v="28"/>
    <s v="20-ASIGNADO"/>
    <m/>
    <m/>
    <s v="x"/>
    <m/>
    <m/>
    <m/>
    <m/>
    <m/>
    <n v="3"/>
    <n v="3"/>
    <n v="1"/>
    <n v="1"/>
    <m/>
    <m/>
    <m/>
    <m/>
    <d v="2025-04-14T00:00:00"/>
    <x v="18"/>
    <m/>
    <s v="&lt;p&gt;CONSULTA EN SISTEMA DE PEDIDOS DISTRIBUIDORES - KRAS ** Consulta de estados de cuenta por el cliente en la web. Desde la página de pedidos del distribuidor se podrá accesar a la página de estados de cuenta&lt;/p&gt;&lt;p&gt;PENDIENTE DE ASIGNAR MARVIN VARGAS&lt;/p&gt;"/>
    <x v="4"/>
    <x v="6"/>
    <n v="1"/>
    <n v="0"/>
    <x v="3"/>
  </r>
  <r>
    <s v="Gerencia"/>
    <n v="323"/>
    <s v="(323) PROCESO ** KPIS de rendimiento para personal de créditos y cobros"/>
    <n v="247722"/>
    <s v="RICARDO ALFONSO ESCOBEDO DACARET"/>
    <n v="28"/>
    <s v="20-ASIGNADO"/>
    <n v="2767"/>
    <s v="Gerson Castro"/>
    <s v="x"/>
    <m/>
    <m/>
    <m/>
    <m/>
    <m/>
    <n v="1"/>
    <n v="1"/>
    <n v="3"/>
    <n v="3"/>
    <m/>
    <m/>
    <m/>
    <m/>
    <d v="2025-03-28T00:00:00"/>
    <x v="18"/>
    <m/>
    <s v="&lt;p&gt;PROCESO ** KPIS de rendimiento para personal de créditos y cobros&lt;/p&gt;"/>
    <x v="2"/>
    <x v="6"/>
    <n v="1"/>
    <n v="0"/>
    <x v="2"/>
  </r>
  <r>
    <s v="Gerencia"/>
    <n v="324"/>
    <s v="(324) PROCESO ** Seguimiento al proceso de entrega y preparación de vehículos, realizar webservices con SAP"/>
    <n v="247374"/>
    <s v="LUIS PEDRO LOPEZ RODAS"/>
    <n v="28"/>
    <s v="20-ASIGNADO"/>
    <m/>
    <m/>
    <s v="x"/>
    <m/>
    <m/>
    <m/>
    <m/>
    <m/>
    <n v="2"/>
    <n v="2"/>
    <n v="2"/>
    <n v="2"/>
    <m/>
    <m/>
    <m/>
    <m/>
    <d v="2025-03-28T00:00:00"/>
    <x v="18"/>
    <m/>
    <s v="&lt;p&gt;PROCESO ** Seguimiento al proceso de entrega y preparación de vehículos, realizar webservices con SAP&lt;/p&gt;&lt;p&gt;PENDIENTE DE ASIGNAR MARVIN VARGAS&lt;/p&gt;"/>
    <x v="2"/>
    <x v="6"/>
    <n v="1"/>
    <n v="0"/>
    <x v="2"/>
  </r>
  <r>
    <s v="Gerencia"/>
    <n v="326"/>
    <s v="(326) PROCESO ** Conexión a SAP para retroalimentación de etapas de reparación de un vehículo"/>
    <n v="247828"/>
    <s v="DOUGLAS ALEJANDRO MALDONADO DUMAS"/>
    <n v="28"/>
    <s v="20-ASIGNADO"/>
    <m/>
    <m/>
    <s v="x"/>
    <m/>
    <m/>
    <m/>
    <m/>
    <m/>
    <n v="2"/>
    <n v="2"/>
    <n v="2"/>
    <n v="2"/>
    <m/>
    <m/>
    <m/>
    <m/>
    <d v="2025-03-28T00:00:00"/>
    <x v="18"/>
    <m/>
    <s v="&lt;p&gt;PROCESO ** Conexión a SAP para retroalimentación de etapas de reparación de un vehículo&lt;/p&gt;&lt;p&gt;PENDIENTE DE ASIGNAR MARVIN VARGAS&lt;/p&gt;"/>
    <x v="2"/>
    <x v="6"/>
    <n v="1"/>
    <n v="0"/>
    <x v="2"/>
  </r>
  <r>
    <s v="Gerencia"/>
    <n v="331"/>
    <s v="(331) WMS  ** Implementación de WMS en Elisur. Las otras bodegas serán tickets adicionales (Bodega zona4, Taller Automotriz, Bodega Hyundai)"/>
    <n v="289092"/>
    <s v="CESAR ORLANDO MARTINEZ ABAL"/>
    <n v="21"/>
    <s v="60-CERTIFICADO"/>
    <n v="3203"/>
    <s v="Jose Pablo Reyes Gonzalez"/>
    <s v="x"/>
    <b v="1"/>
    <m/>
    <m/>
    <m/>
    <m/>
    <n v="1"/>
    <n v="1"/>
    <n v="1"/>
    <n v="1"/>
    <m/>
    <m/>
    <m/>
    <m/>
    <d v="2025-01-31T00:00:00"/>
    <x v="18"/>
    <m/>
    <s v="&lt;p&gt;WMS  ** Implementación de WMS en Elisur. Las otras bodegas serán tickets adicionales (Bodega zona4, Taller Automotriz, Bodega Hyundai)&lt;/p&gt;"/>
    <x v="1"/>
    <x v="6"/>
    <n v="1"/>
    <n v="0"/>
    <x v="0"/>
  </r>
  <r>
    <s v="Gerencia"/>
    <n v="337"/>
    <s v="(337) ENSAMBLE DE MOTOS   - KRAS ** Implementación del Módulo de Ensamble de Motocicletas en Elizur Fase 1"/>
    <n v="289092"/>
    <s v="CESAR ORLANDO MARTINEZ ABAL"/>
    <n v="21"/>
    <s v="60-CERTIFICADO"/>
    <n v="3203"/>
    <s v="Jose Pablo Reyes Gonzalez"/>
    <s v="x"/>
    <b v="1"/>
    <m/>
    <m/>
    <m/>
    <m/>
    <n v="1"/>
    <n v="1"/>
    <n v="1"/>
    <n v="1"/>
    <m/>
    <m/>
    <m/>
    <m/>
    <d v="2025-01-24T00:00:00"/>
    <x v="18"/>
    <m/>
    <s v="&lt;p&gt;ENSAMBLE DE MOTOS   - KRAS ** Implementación del Módulo de Ensamble de Motocicletas en Elizur Fase 1&lt;/p&gt;"/>
    <x v="1"/>
    <x v="6"/>
    <n v="1"/>
    <n v="0"/>
    <x v="0"/>
  </r>
  <r>
    <s v="Gerencia"/>
    <n v="341"/>
    <s v="(341) PROCESO ** Implementación de EVOLUTION sistema de RRHH"/>
    <n v="247904"/>
    <s v="MIRNA LISSETTE ARRECIS ROSALES"/>
    <n v="28"/>
    <s v="20-ASIGNADO"/>
    <n v="312"/>
    <s v="Williams Galvan"/>
    <s v="x"/>
    <m/>
    <m/>
    <m/>
    <m/>
    <m/>
    <n v="1"/>
    <n v="1"/>
    <n v="1"/>
    <n v="1"/>
    <m/>
    <m/>
    <m/>
    <m/>
    <d v="2025-07-31T00:00:00"/>
    <x v="18"/>
    <m/>
    <s v="&lt;p&gt;PROCESO ** Implementación de EVOLUTION sistema de RRHH&lt;/p&gt;"/>
    <x v="5"/>
    <x v="6"/>
    <n v="1"/>
    <n v="0"/>
    <x v="5"/>
  </r>
  <r>
    <s v="Gerencia"/>
    <n v="343"/>
    <s v="(343) PROCESO ** Implementación de SAP 10 para la Empresa Canella"/>
    <n v="247885"/>
    <s v="AMABILIA MARISOL RECINOS ARGUETA"/>
    <n v="28"/>
    <s v="20-ASIGNADO"/>
    <n v="312"/>
    <s v="Williams Galvan"/>
    <s v="x"/>
    <m/>
    <m/>
    <m/>
    <m/>
    <m/>
    <n v="1"/>
    <n v="1"/>
    <n v="1"/>
    <n v="1"/>
    <m/>
    <m/>
    <m/>
    <m/>
    <d v="2025-04-13T00:00:00"/>
    <x v="18"/>
    <m/>
    <s v="&lt;p&gt;PROCESO ** Implementación de SAP 10 para la Empresa Canella&lt;/p&gt;"/>
    <x v="4"/>
    <x v="6"/>
    <n v="1"/>
    <n v="0"/>
    <x v="3"/>
  </r>
  <r>
    <s v="Gerencia"/>
    <n v="345"/>
    <s v="(345) PROCESO ** Seguimiento al Sistema SAP para mejorar la estabilidad, bloqueos y mejoras en redimiento. Identificar procesos clave y hacer un plan de trabajo"/>
    <n v="247885"/>
    <s v="AMABILIA MARISOL RECINOS ARGUETA"/>
    <n v="28"/>
    <s v="20-ASIGNADO"/>
    <n v="312"/>
    <s v="Williams Galvan"/>
    <s v="x"/>
    <m/>
    <m/>
    <m/>
    <m/>
    <m/>
    <n v="1"/>
    <n v="1"/>
    <n v="1"/>
    <n v="1"/>
    <m/>
    <m/>
    <m/>
    <m/>
    <d v="2025-04-13T00:00:00"/>
    <x v="18"/>
    <m/>
    <s v="&lt;p&gt;PROCESO ** Seguimiento al Sistema SAP para mejorar la estabilidad, bloqueos y mejoras en redimiento. Identificar procesos clave y hacer un plan de trabajo&lt;/p&gt;"/>
    <x v="4"/>
    <x v="6"/>
    <n v="1"/>
    <n v="0"/>
    <x v="3"/>
  </r>
  <r>
    <s v="Gerencia"/>
    <n v="346"/>
    <s v="(346) PANTALLA  ** Creación de pantalla para cambiar códigos de artículos que tengan pase en el contrato, debido que a la hora de despachar no cuentan con el artículo.  "/>
    <n v="247828"/>
    <s v="DOUGLAS ALEJANDRO MALDONADO DUMAS"/>
    <n v="21"/>
    <s v="60-CERTIFICADO"/>
    <n v="3234"/>
    <s v="Jose Andres Chajon Cueto"/>
    <s v="x"/>
    <m/>
    <m/>
    <m/>
    <m/>
    <m/>
    <n v="1"/>
    <n v="1"/>
    <n v="1"/>
    <n v="1"/>
    <m/>
    <m/>
    <m/>
    <m/>
    <d v="2025-01-31T00:00:00"/>
    <x v="18"/>
    <m/>
    <s v="&lt;p&gt;PANTALLA  ** Creación de pantalla para cambiar códigos de artículos que tengan pase en el contrato, debido que a la hora de despachar no cuentan con el artículo.  &lt;/p&gt;"/>
    <x v="1"/>
    <x v="6"/>
    <n v="1"/>
    <n v="0"/>
    <x v="0"/>
  </r>
  <r>
    <s v="Gerencia"/>
    <n v="347"/>
    <s v="(347) MODULO DE COMISIONES ** Creación de modulo de comisiones con las indicaciones de Auditoría y Gerencia"/>
    <n v="247857"/>
    <s v="ARNALDO RENE COTTO STREMS"/>
    <n v="28"/>
    <s v="20-ASIGNADO"/>
    <n v="3234"/>
    <s v="Jose Andres Chajon Cueto"/>
    <s v="x"/>
    <m/>
    <m/>
    <m/>
    <m/>
    <m/>
    <n v="3"/>
    <n v="3"/>
    <n v="1"/>
    <n v="1"/>
    <m/>
    <m/>
    <m/>
    <m/>
    <d v="2025-02-28T00:00:00"/>
    <x v="18"/>
    <m/>
    <s v="&lt;p&gt;MODULO DE COMISIONES ** Creación de modulo de comisiones con las indicaciones de Auditoría y Gerencia&lt;/p&gt;"/>
    <x v="3"/>
    <x v="6"/>
    <n v="1"/>
    <n v="0"/>
    <x v="1"/>
  </r>
  <r>
    <s v="Gerencia"/>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s v="60-CERTIFICADO"/>
    <n v="3234"/>
    <s v="Jose Andres Chajon Cueto"/>
    <s v="x"/>
    <m/>
    <m/>
    <m/>
    <m/>
    <m/>
    <n v="1"/>
    <n v="1"/>
    <n v="1"/>
    <n v="1"/>
    <m/>
    <m/>
    <m/>
    <m/>
    <d v="2025-01-31T00:00:00"/>
    <x v="18"/>
    <m/>
    <s v="&lt;p&gt;PROCESO ** Necesitamos realizar un desarrollo en SAP, practicamente es que cuando un cliente con facturas en mora se ponga al día, el sistema lo desbloquee en automático sin la intervención de Créditos. Edward Garcia fue el solicitante&lt;/p&gt;"/>
    <x v="1"/>
    <x v="6"/>
    <n v="1"/>
    <n v="0"/>
    <x v="0"/>
  </r>
  <r>
    <s v="Gerencia"/>
    <n v="349"/>
    <s v="(349) PROCESO  ** Implementación tarifario de mano de obra Isuzu (Esto está detenido por Douglas porque necesita un reporte de líneas de vehículo de José Roberto para depurar las líneas en SAP)"/>
    <n v="247828"/>
    <s v="DOUGLAS ALEJANDRO MALDONADO DUMAS"/>
    <n v="28"/>
    <s v="20-ASIGNADO"/>
    <n v="3234"/>
    <s v="Jose Andres Chajon Cueto"/>
    <s v="x"/>
    <m/>
    <m/>
    <m/>
    <m/>
    <m/>
    <n v="3"/>
    <n v="3"/>
    <n v="3"/>
    <n v="3"/>
    <m/>
    <m/>
    <m/>
    <m/>
    <d v="2025-03-10T00:00:00"/>
    <x v="18"/>
    <m/>
    <s v="&lt;p&gt;PROCESO  ** Implementación tarifario de mano de obra Isuzu (Esto está detenido por Douglas porque necesita un reporte de líneas de vehículo de José Roberto para depurar las líneas en SAP)&lt;/p&gt;"/>
    <x v="2"/>
    <x v="6"/>
    <n v="1"/>
    <n v="0"/>
    <x v="2"/>
  </r>
  <r>
    <s v="Gerencia"/>
    <n v="350"/>
    <s v="(350) REPORTE ** Realizar un reporte de Inventario con las columnas indicadas por Rene Cotto"/>
    <n v="247857"/>
    <s v="ARNALDO RENE COTTO STREMS"/>
    <n v="28"/>
    <s v="20-ASIGNADO"/>
    <n v="3234"/>
    <s v="Jose Andres Chajon Cueto"/>
    <s v="x"/>
    <m/>
    <m/>
    <m/>
    <m/>
    <m/>
    <n v="1"/>
    <n v="1"/>
    <n v="1"/>
    <n v="1"/>
    <m/>
    <m/>
    <m/>
    <m/>
    <d v="2025-02-14T00:00:00"/>
    <x v="18"/>
    <m/>
    <s v="&lt;p&gt;REPORTE ** Realizar un reporte de Inventario con las columnas indicadas por Rene Cotto&lt;/p&gt;"/>
    <x v="3"/>
    <x v="6"/>
    <n v="1"/>
    <n v="0"/>
    <x v="1"/>
  </r>
  <r>
    <s v="Gerencia"/>
    <n v="351"/>
    <s v="(351) PROCESO  ** Cambio de códigos de mano de obra en el módulo de contratos de mantenimiento para salir en vivo con el tarifario de mano de obra isuzu (en espera de listado de códigos de parte de Douglas)."/>
    <n v="247828"/>
    <s v="DOUGLAS ALEJANDRO MALDONADO DUMAS"/>
    <n v="28"/>
    <s v="20-ASIGNADO"/>
    <n v="3234"/>
    <s v="Jose Andres Chajon Cueto"/>
    <s v="x"/>
    <m/>
    <m/>
    <m/>
    <m/>
    <m/>
    <n v="3"/>
    <n v="3"/>
    <n v="1"/>
    <n v="1"/>
    <m/>
    <m/>
    <m/>
    <m/>
    <d v="2025-02-28T00:00:00"/>
    <x v="18"/>
    <m/>
    <s v="&lt;p&gt;PROCESO  ** Cambio de códigos de mano de obra en el módulo de contratos de mantenimiento para salir en vivo con el tarifario de mano de obra isuzu (en espera de listado de códigos de parte de Douglas).&lt;/p&gt;"/>
    <x v="3"/>
    <x v="6"/>
    <n v="1"/>
    <n v="0"/>
    <x v="1"/>
  </r>
  <r>
    <s v="Gerencia"/>
    <n v="367"/>
    <s v="(367) Mejoras al sistema SQM y STOD en la parte de registro de Leas y Cotizaciones para que no exista doble digitación"/>
    <n v="247605"/>
    <s v="MANUEL RAMIRO LOPEZ PIEDRASANTA"/>
    <n v="29"/>
    <s v="10-COLA"/>
    <m/>
    <m/>
    <s v="x"/>
    <m/>
    <m/>
    <m/>
    <m/>
    <m/>
    <n v="2"/>
    <n v="2"/>
    <n v="2"/>
    <n v="2"/>
    <m/>
    <m/>
    <m/>
    <m/>
    <d v="2025-02-28T00:00:00"/>
    <x v="18"/>
    <m/>
    <s v="&lt;p&gt;Mejoras al sistema SQM y STOD en la parte de registro de Leas y Cotizaciones para que no exista doble digitación&lt;/p&gt;"/>
    <x v="3"/>
    <x v="6"/>
    <n v="1"/>
    <n v="0"/>
    <x v="1"/>
  </r>
  <r>
    <s v="Gerencia"/>
    <n v="368"/>
    <s v="(368) Cerrar todas las ordenes abiertas de la División Soluciones de Oficina hasta el 30 de septiembre de 2024"/>
    <n v="247888"/>
    <s v="JUAN MANUEL SOTO GUTIERREZ"/>
    <n v="22"/>
    <s v="50-IMPLEMENTACION"/>
    <n v="3233"/>
    <s v="Carlos Rosales"/>
    <s v="x"/>
    <m/>
    <m/>
    <m/>
    <m/>
    <m/>
    <n v="1"/>
    <n v="1"/>
    <n v="1"/>
    <n v="1"/>
    <m/>
    <m/>
    <m/>
    <m/>
    <d v="2025-02-07T00:00:00"/>
    <x v="18"/>
    <m/>
    <s v="&lt;p&gt;Cerrar todas las ordenes abiertas de la División Soluciones de Oficina hasta el 30 de septiembre de 2024,&lt;/p&gt;&lt;p&gt;En conjunto con Marvin Vargas se cerraron automáticamente las OC&lt;/p&gt;"/>
    <x v="3"/>
    <x v="6"/>
    <n v="1"/>
    <n v="0"/>
    <x v="1"/>
  </r>
  <r>
    <s v="Gerencia"/>
    <n v="372"/>
    <s v="(372) Se da soporte al proceso de confirmación de boletas en el caso donde se confirmo una boleta con banco incorrecto y en donde el detalle de montos"/>
    <n v="289036"/>
    <s v="MADELYN SUSANA BRAN OLIVAREZ"/>
    <n v="29"/>
    <s v="10-COLA"/>
    <n v="195"/>
    <s v="Daniel Castillo"/>
    <s v="x"/>
    <b v="1"/>
    <m/>
    <m/>
    <m/>
    <m/>
    <m/>
    <m/>
    <n v="1"/>
    <n v="1"/>
    <m/>
    <m/>
    <m/>
    <m/>
    <d v="2025-01-18T00:00:00"/>
    <x v="18"/>
    <m/>
    <m/>
    <x v="1"/>
    <x v="6"/>
    <n v="1"/>
    <n v="0"/>
    <x v="0"/>
  </r>
  <r>
    <s v="Gerencia"/>
    <n v="0"/>
    <s v="(NT) Test 01 (CN006)"/>
    <m/>
    <m/>
    <n v="29"/>
    <s v="10-COLA"/>
    <n v="252"/>
    <s v="Julio de León"/>
    <s v="x"/>
    <m/>
    <n v="1"/>
    <s v="API"/>
    <m/>
    <m/>
    <m/>
    <m/>
    <m/>
    <m/>
    <m/>
    <m/>
    <m/>
    <m/>
    <m/>
    <x v="18"/>
    <m/>
    <m/>
    <x v="0"/>
    <x v="6"/>
    <n v="0"/>
    <n v="0"/>
    <x v="6"/>
  </r>
  <r>
    <s v="Gerencia"/>
    <n v="0"/>
    <s v="(NT) Test Williams Galván"/>
    <n v="247047"/>
    <s v="JULIO RENE PAIZ ANDRADE"/>
    <n v="29"/>
    <s v="10-COLA"/>
    <n v="312"/>
    <s v="Williams Galvan"/>
    <s v="x"/>
    <b v="1"/>
    <m/>
    <m/>
    <m/>
    <m/>
    <m/>
    <m/>
    <m/>
    <m/>
    <m/>
    <m/>
    <m/>
    <m/>
    <m/>
    <x v="18"/>
    <m/>
    <m/>
    <x v="0"/>
    <x v="6"/>
    <n v="0"/>
    <n v="0"/>
    <x v="6"/>
  </r>
  <r>
    <s v="Gerencia"/>
    <n v="296"/>
    <s v="ACTUALIZACION ESTADOS DE CUENTA DE BANCOS (CN006)"/>
    <m/>
    <m/>
    <n v="29"/>
    <s v="10-COLA"/>
    <n v="3202"/>
    <s v="Antonio Manuel Alejandro García González"/>
    <s v="x"/>
    <m/>
    <m/>
    <m/>
    <m/>
    <m/>
    <n v="3"/>
    <n v="3"/>
    <n v="1"/>
    <n v="1"/>
    <m/>
    <m/>
    <d v="2025-01-01T00:00:00"/>
    <d v="1899-12-31T00:00:00"/>
    <d v="2025-03-14T00:00:00"/>
    <x v="18"/>
    <m/>
    <m/>
    <x v="2"/>
    <x v="6"/>
    <n v="1"/>
    <n v="0"/>
    <x v="2"/>
  </r>
  <r>
    <s v="Gerencia"/>
    <n v="362"/>
    <s v="Actualización Masiva de Asientos Contables (CN006)"/>
    <n v="247002"/>
    <s v="AMI PAOLA YOC LOPEZ"/>
    <n v="21"/>
    <s v="60-CERTIFICADO"/>
    <n v="3202"/>
    <s v="Antonio Manuel Alejandro García González"/>
    <s v="x"/>
    <b v="1"/>
    <m/>
    <m/>
    <m/>
    <m/>
    <n v="1"/>
    <n v="1"/>
    <n v="2"/>
    <n v="2"/>
    <m/>
    <m/>
    <d v="2025-01-20T00:00:00"/>
    <d v="1899-12-31T00:00:00"/>
    <d v="2025-01-24T00:00:00"/>
    <x v="18"/>
    <d v="2025-03-01T00:00:00"/>
    <m/>
    <x v="1"/>
    <x v="6"/>
    <n v="1"/>
    <n v="0"/>
    <x v="0"/>
  </r>
  <r>
    <s v="Gerencia"/>
    <n v="298"/>
    <s v="Actualizar campos de usuario que indicará el estado del documento en la orden de compra. (CN006)"/>
    <n v="247002"/>
    <s v="AMI PAOLA YOC LOPEZ"/>
    <n v="22"/>
    <s v="50-IMPLEMENTACION"/>
    <n v="3202"/>
    <s v="Antonio Manuel Alejandro García González"/>
    <s v="x"/>
    <m/>
    <m/>
    <m/>
    <m/>
    <m/>
    <n v="1"/>
    <n v="1"/>
    <n v="1"/>
    <n v="1"/>
    <m/>
    <m/>
    <d v="2025-01-01T00:00:00"/>
    <d v="1899-12-31T00:00:00"/>
    <d v="2025-02-03T00:00:00"/>
    <x v="18"/>
    <m/>
    <m/>
    <x v="3"/>
    <x v="6"/>
    <n v="1"/>
    <n v="0"/>
    <x v="1"/>
  </r>
  <r>
    <s v="Gerencia"/>
    <n v="0"/>
    <s v="Ajuste de reporte de STOD MOVIL"/>
    <n v="247857"/>
    <s v="ARNALDO RENE COTTO STREMS"/>
    <n v="29"/>
    <s v="10-COLA"/>
    <n v="252"/>
    <s v="Julio de León"/>
    <s v="x"/>
    <b v="1"/>
    <n v="3"/>
    <s v="REPORTE"/>
    <n v="2"/>
    <s v="MEDIA"/>
    <n v="2"/>
    <n v="2"/>
    <n v="2"/>
    <n v="2"/>
    <n v="1"/>
    <s v="PEQUEÑO"/>
    <d v="2025-02-11T00:00:00"/>
    <d v="2025-02-17T00:00:00"/>
    <m/>
    <x v="18"/>
    <m/>
    <m/>
    <x v="0"/>
    <x v="6"/>
    <n v="0"/>
    <n v="0"/>
    <x v="6"/>
  </r>
  <r>
    <s v="Gerencia"/>
    <n v="301"/>
    <s v="Ajustes a los libros fiscales en todos los SAP (CN006)"/>
    <m/>
    <m/>
    <n v="29"/>
    <s v="10-COLA"/>
    <n v="3202"/>
    <s v="Antonio Manuel Alejandro García González"/>
    <s v="x"/>
    <m/>
    <m/>
    <m/>
    <m/>
    <m/>
    <n v="3"/>
    <n v="3"/>
    <n v="3"/>
    <n v="3"/>
    <m/>
    <m/>
    <d v="2025-01-01T00:00:00"/>
    <d v="1899-12-31T00:00:00"/>
    <d v="2025-03-28T00:00:00"/>
    <x v="18"/>
    <m/>
    <m/>
    <x v="2"/>
    <x v="6"/>
    <n v="1"/>
    <n v="0"/>
    <x v="2"/>
  </r>
  <r>
    <s v="Gerencia"/>
    <n v="0"/>
    <s v="Ajustes al reporte - REP - TableroDistribuicion Z13 - Entregas Pendientes (Caja)"/>
    <n v="289006"/>
    <s v="SULY DANIELA CHUN SANTOS de RIVERA"/>
    <n v="30"/>
    <s v="40-DESARROLLO"/>
    <n v="3202"/>
    <s v="Antonio Manuel Alejandro García González"/>
    <s v="x"/>
    <b v="1"/>
    <n v="4"/>
    <s v="SOPORTE/CAPACITACION"/>
    <n v="1"/>
    <s v="BAJA"/>
    <n v="2"/>
    <n v="2"/>
    <n v="2"/>
    <n v="2"/>
    <n v="1"/>
    <s v="PEQUEÑO"/>
    <d v="2025-02-06T00:00:00"/>
    <d v="2025-02-13T00:00:00"/>
    <d v="2025-02-28T00:00:00"/>
    <x v="18"/>
    <m/>
    <m/>
    <x v="3"/>
    <x v="6"/>
    <n v="1"/>
    <n v="0"/>
    <x v="1"/>
  </r>
  <r>
    <s v="Gerencia"/>
    <n v="310"/>
    <s v="Ajustes de sistema estados de cuentas (CN006)"/>
    <m/>
    <m/>
    <n v="27"/>
    <s v="30-ANALISIS"/>
    <n v="3200"/>
    <s v="Carlos Eduardo Galindo Miranda"/>
    <s v="x"/>
    <m/>
    <m/>
    <m/>
    <m/>
    <m/>
    <n v="1"/>
    <n v="1"/>
    <n v="2"/>
    <n v="2"/>
    <m/>
    <m/>
    <d v="2025-01-01T00:00:00"/>
    <d v="1899-12-31T00:00:00"/>
    <d v="2025-02-24T00:00:00"/>
    <x v="18"/>
    <m/>
    <s v="&lt;p&gt;Se necesita enviar un correo por el cual se avisara a los socios de negocio de distribución Yamaha que tiene un portal en el cual pueden ingresar para ver su estado de cuentas.&lt;/p&gt;"/>
    <x v="3"/>
    <x v="6"/>
    <n v="1"/>
    <n v="0"/>
    <x v="1"/>
  </r>
  <r>
    <s v="Gerencia"/>
    <n v="0"/>
    <s v="Autorización de facturas de Proveedores externos"/>
    <n v="247791"/>
    <s v="ASTRID VICTORIA PEÑA DIEGUEZ"/>
    <n v="29"/>
    <s v="10-COLA"/>
    <n v="3201"/>
    <s v="Olga María Hinestroza Lima"/>
    <s v="x"/>
    <m/>
    <n v="2"/>
    <s v="PROCESO"/>
    <n v="2"/>
    <s v="MEDIA"/>
    <n v="2"/>
    <n v="2"/>
    <n v="2"/>
    <n v="2"/>
    <n v="2"/>
    <s v="MEDIANO"/>
    <d v="2025-02-01T00:00:00"/>
    <m/>
    <m/>
    <x v="18"/>
    <m/>
    <m/>
    <x v="0"/>
    <x v="6"/>
    <n v="0"/>
    <n v="0"/>
    <x v="6"/>
  </r>
  <r>
    <s v="Gerencia"/>
    <n v="304"/>
    <s v="Consultas para reconciliaciones operados en Banco Industrial (CN006)"/>
    <n v="247795"/>
    <s v="SANDRA JUDITH LOARCA HERNANDEZ de PEREZ"/>
    <n v="21"/>
    <s v="60-CERTIFICADO"/>
    <n v="3202"/>
    <s v="Antonio Manuel Alejandro García González"/>
    <s v="x"/>
    <m/>
    <m/>
    <m/>
    <m/>
    <m/>
    <n v="1"/>
    <n v="1"/>
    <n v="3"/>
    <n v="3"/>
    <m/>
    <m/>
    <d v="2025-01-01T00:00:00"/>
    <d v="1899-12-31T00:00:00"/>
    <d v="2025-02-14T00:00:00"/>
    <x v="18"/>
    <d v="2025-02-04T00:00:00"/>
    <m/>
    <x v="3"/>
    <x v="6"/>
    <n v="1"/>
    <n v="0"/>
    <x v="1"/>
  </r>
  <r>
    <s v="Gerencia"/>
    <n v="363"/>
    <s v="Corrección y Mejoras en el FEIC (CN006)"/>
    <n v="247651"/>
    <s v="LUIS FERNANDO BARRIOS MATIAS"/>
    <n v="28"/>
    <s v="20-ASIGNADO"/>
    <n v="3199"/>
    <s v="Erick Estuardo Hernandez Andrino"/>
    <s v="x"/>
    <m/>
    <m/>
    <m/>
    <m/>
    <m/>
    <n v="2"/>
    <n v="2"/>
    <n v="2"/>
    <n v="2"/>
    <m/>
    <m/>
    <d v="2025-01-22T00:00:00"/>
    <d v="1899-12-31T00:00:00"/>
    <d v="2025-02-05T00:00:00"/>
    <x v="18"/>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x v="3"/>
    <x v="6"/>
    <n v="1"/>
    <n v="0"/>
    <x v="1"/>
  </r>
  <r>
    <s v="Gerencia"/>
    <n v="321"/>
    <s v="Creditos y Cobros Fase 2 - Cobro a domiciliario"/>
    <m/>
    <m/>
    <n v="22"/>
    <s v="50-IMPLEMENTACION"/>
    <n v="2767"/>
    <s v="Gerson Castro"/>
    <s v="x"/>
    <m/>
    <m/>
    <m/>
    <m/>
    <m/>
    <n v="1"/>
    <n v="1"/>
    <n v="1"/>
    <n v="1"/>
    <m/>
    <m/>
    <d v="2025-01-01T00:00:00"/>
    <d v="1899-12-31T00:00:00"/>
    <d v="2025-01-31T00:00:00"/>
    <x v="18"/>
    <m/>
    <s v="&lt;p&gt; ** PROCESO Implementación del sistema de cobro de calle en ODOO. Luis Polanco fue el solicitante **  ** &lt;/p&gt;"/>
    <x v="1"/>
    <x v="6"/>
    <n v="1"/>
    <n v="0"/>
    <x v="0"/>
  </r>
  <r>
    <s v="Gerencia"/>
    <n v="329"/>
    <s v="Cubos de BI sobre plataforma de Ucontact para análisis de datos (CN006)"/>
    <m/>
    <m/>
    <n v="29"/>
    <s v="10-COLA"/>
    <n v="3201"/>
    <s v="Olga María Hinestroza Lima"/>
    <s v="x"/>
    <m/>
    <m/>
    <m/>
    <m/>
    <m/>
    <n v="2"/>
    <n v="2"/>
    <n v="2"/>
    <n v="2"/>
    <m/>
    <m/>
    <d v="2025-01-01T00:00:00"/>
    <d v="1899-12-31T00:00:00"/>
    <d v="2025-02-14T00:00:00"/>
    <x v="18"/>
    <m/>
    <m/>
    <x v="3"/>
    <x v="6"/>
    <n v="1"/>
    <n v="0"/>
    <x v="1"/>
  </r>
  <r>
    <s v="Gerencia"/>
    <n v="360"/>
    <s v="Digitalización y clasificación de DUCAS e IPrimas (CN006)"/>
    <n v="246895"/>
    <s v="CARLOS JOSE REMBERTO CONTRERAS FLORIAN"/>
    <n v="29"/>
    <s v="10-COLA"/>
    <n v="3201"/>
    <s v="Olga María Hinestroza Lima"/>
    <s v="x"/>
    <m/>
    <m/>
    <m/>
    <m/>
    <m/>
    <n v="1"/>
    <n v="1"/>
    <n v="2"/>
    <n v="2"/>
    <m/>
    <m/>
    <d v="2025-02-10T00:00:00"/>
    <d v="1899-12-31T00:00:00"/>
    <d v="2025-03-31T00:00:00"/>
    <x v="18"/>
    <m/>
    <m/>
    <x v="2"/>
    <x v="6"/>
    <n v="1"/>
    <n v="0"/>
    <x v="2"/>
  </r>
  <r>
    <s v="Gerencia"/>
    <n v="0"/>
    <s v="Implementación de Sistema de Contraseñas de Proveedores Locales (copia)"/>
    <n v="254970"/>
    <s v="ROSA SOFIA PIRIR FERNANDEZ de SANCHEZ"/>
    <n v="21"/>
    <s v="60-CERTIFICADO"/>
    <n v="3204"/>
    <s v="Gerson Gabriel Flores Montúfar"/>
    <s v="x"/>
    <m/>
    <n v="4"/>
    <s v="SOPORTE/CAPACITACION"/>
    <n v="2"/>
    <s v="MEDIA"/>
    <n v="2"/>
    <n v="2"/>
    <n v="2"/>
    <n v="2"/>
    <n v="1"/>
    <s v="PEQUEÑO"/>
    <d v="2025-02-05T00:00:00"/>
    <d v="2025-02-05T00:00:00"/>
    <m/>
    <x v="18"/>
    <m/>
    <m/>
    <x v="0"/>
    <x v="6"/>
    <n v="0"/>
    <n v="0"/>
    <x v="6"/>
  </r>
  <r>
    <s v="Gerencia"/>
    <n v="340"/>
    <s v="MEJORAS Ajustes a eSFA para que se muestre la trazabilidad de tiempo de atención de visitas al cliente (CN006)"/>
    <m/>
    <m/>
    <n v="29"/>
    <s v="10-COLA"/>
    <n v="3204"/>
    <s v="Gerson Gabriel Flores Montúfar"/>
    <s v="x"/>
    <m/>
    <m/>
    <m/>
    <m/>
    <m/>
    <n v="1"/>
    <n v="1"/>
    <n v="1"/>
    <n v="1"/>
    <m/>
    <m/>
    <d v="2025-01-01T00:00:00"/>
    <d v="1899-12-31T00:00:00"/>
    <d v="2025-02-28T00:00:00"/>
    <x v="18"/>
    <m/>
    <m/>
    <x v="3"/>
    <x v="6"/>
    <n v="1"/>
    <n v="0"/>
    <x v="1"/>
  </r>
  <r>
    <s v="Gerencia"/>
    <n v="279"/>
    <s v="Mejora interface API SCON WEB (CN006)"/>
    <m/>
    <m/>
    <n v="29"/>
    <s v="10-COLA"/>
    <n v="3198"/>
    <s v="Josue Eleazar Chet Cuellar"/>
    <s v="x"/>
    <m/>
    <m/>
    <m/>
    <m/>
    <m/>
    <n v="1"/>
    <n v="1"/>
    <n v="3"/>
    <n v="3"/>
    <m/>
    <m/>
    <d v="2025-01-01T00:00:00"/>
    <d v="1899-12-31T00:00:00"/>
    <d v="2025-02-28T00:00:00"/>
    <x v="18"/>
    <m/>
    <m/>
    <x v="3"/>
    <x v="6"/>
    <n v="1"/>
    <n v="0"/>
    <x v="1"/>
  </r>
  <r>
    <s v="Gerencia"/>
    <n v="353"/>
    <s v="Obtención de Entrada de Mercancía y generación de factura (CN006)"/>
    <n v="247795"/>
    <s v="SANDRA JUDITH LOARCA HERNANDEZ de PEREZ"/>
    <n v="28"/>
    <s v="20-ASIGNADO"/>
    <n v="3201"/>
    <s v="Olga María Hinestroza Lima"/>
    <s v="x"/>
    <m/>
    <m/>
    <m/>
    <m/>
    <m/>
    <n v="1"/>
    <n v="1"/>
    <n v="1"/>
    <n v="1"/>
    <m/>
    <m/>
    <d v="2025-01-01T00:00:00"/>
    <d v="1899-12-31T00:00:00"/>
    <d v="2025-01-31T00:00:00"/>
    <x v="18"/>
    <m/>
    <s v="&lt;p&gt; ** Obtención de Entrada de Mercancía, notificación automática a Proveedor para envío y validación de documentos, API para generación de factura desde SAP **  ** &lt;/p&gt;"/>
    <x v="1"/>
    <x v="6"/>
    <n v="1"/>
    <n v="0"/>
    <x v="0"/>
  </r>
  <r>
    <s v="Gerencia"/>
    <n v="344"/>
    <s v="PROCESO Automatización de carga extracto bancario de las cuentas BANRURAL para la empresa CANELLA - MT940(CN006)"/>
    <m/>
    <m/>
    <n v="30"/>
    <s v="40-DESARROLLO"/>
    <n v="3204"/>
    <s v="Gerson Gabriel Flores Montúfar"/>
    <s v="x"/>
    <m/>
    <m/>
    <m/>
    <m/>
    <m/>
    <n v="1"/>
    <n v="1"/>
    <n v="3"/>
    <n v="3"/>
    <m/>
    <m/>
    <d v="2025-01-01T00:00:00"/>
    <d v="1899-12-31T00:00:00"/>
    <d v="2025-02-28T00:00:00"/>
    <x v="18"/>
    <m/>
    <m/>
    <x v="3"/>
    <x v="6"/>
    <n v="1"/>
    <n v="0"/>
    <x v="1"/>
  </r>
  <r>
    <s v="Gerencia"/>
    <n v="342"/>
    <s v="PROCESO Mejoras en los tiempos de impresión de facturas y certificación con Guatefacturas(CN006)"/>
    <m/>
    <m/>
    <n v="29"/>
    <s v="10-COLA"/>
    <n v="3204"/>
    <s v="Gerson Gabriel Flores Montúfar"/>
    <s v="x"/>
    <m/>
    <m/>
    <m/>
    <m/>
    <m/>
    <n v="1"/>
    <n v="1"/>
    <n v="3"/>
    <n v="3"/>
    <m/>
    <m/>
    <d v="2025-01-01T00:00:00"/>
    <d v="1899-12-31T00:00:00"/>
    <d v="2025-03-28T00:00:00"/>
    <x v="18"/>
    <m/>
    <m/>
    <x v="2"/>
    <x v="6"/>
    <n v="1"/>
    <n v="0"/>
    <x v="2"/>
  </r>
  <r>
    <s v="Gerencia"/>
    <n v="330"/>
    <s v="PROCESO Plantilla para grabar extensiones e ISR(CN006)"/>
    <n v="246933"/>
    <s v="EDWARD ANTONY GARCIA ALVARADO"/>
    <n v="28"/>
    <s v="20-ASIGNADO"/>
    <n v="2767"/>
    <s v="Gerson Castro"/>
    <s v="x"/>
    <m/>
    <m/>
    <m/>
    <m/>
    <m/>
    <n v="1"/>
    <n v="1"/>
    <n v="2"/>
    <n v="2"/>
    <m/>
    <m/>
    <d v="2025-01-01T00:00:00"/>
    <d v="1899-12-31T00:00:00"/>
    <d v="2025-03-28T00:00:00"/>
    <x v="18"/>
    <m/>
    <m/>
    <x v="2"/>
    <x v="6"/>
    <n v="1"/>
    <n v="0"/>
    <x v="2"/>
  </r>
  <r>
    <s v="Gerencia"/>
    <n v="328"/>
    <s v="PROCESO Robot que confirma boletas y valida duplicidad para Créditos y Cobros.  Edward Garcia fue el solicitante"/>
    <n v="247722"/>
    <s v="RICARDO ALFONSO ESCOBEDO DACARET"/>
    <n v="21"/>
    <s v="60-CERTIFICADO"/>
    <n v="195"/>
    <s v="Daniel Castillo"/>
    <s v="x"/>
    <m/>
    <m/>
    <m/>
    <m/>
    <m/>
    <n v="1"/>
    <n v="1"/>
    <n v="2"/>
    <n v="2"/>
    <m/>
    <m/>
    <d v="2025-01-01T00:00:00"/>
    <d v="1899-12-31T00:00:00"/>
    <d v="2025-01-31T00:00:00"/>
    <x v="18"/>
    <m/>
    <m/>
    <x v="1"/>
    <x v="6"/>
    <n v="1"/>
    <n v="0"/>
    <x v="0"/>
  </r>
  <r>
    <s v="Gerencia"/>
    <n v="0"/>
    <s v="Pagos por anticipo ( medios de pago)."/>
    <n v="247884"/>
    <s v="ANA CAROLINA PALACIOS GONZALEZ de MENENDEZ"/>
    <n v="22"/>
    <s v="50-IMPLEMENTACION"/>
    <n v="3204"/>
    <s v="Gerson Gabriel Flores Montúfar"/>
    <s v="x"/>
    <m/>
    <n v="3"/>
    <s v="REPORTE"/>
    <m/>
    <m/>
    <m/>
    <m/>
    <m/>
    <m/>
    <m/>
    <m/>
    <d v="2025-02-13T00:00:00"/>
    <d v="2025-02-13T00:00:00"/>
    <d v="2025-02-13T00:00:00"/>
    <x v="18"/>
    <d v="2025-02-13T00:00:00"/>
    <m/>
    <x v="3"/>
    <x v="6"/>
    <n v="1"/>
    <n v="0"/>
    <x v="1"/>
  </r>
  <r>
    <s v="Gerencia"/>
    <n v="302"/>
    <s v="Proceso para cargas masivas de medios de pago (CN006)"/>
    <m/>
    <m/>
    <n v="29"/>
    <s v="10-COLA"/>
    <n v="3202"/>
    <s v="Antonio Manuel Alejandro García González"/>
    <s v="x"/>
    <m/>
    <m/>
    <m/>
    <m/>
    <m/>
    <n v="3"/>
    <n v="3"/>
    <n v="1"/>
    <n v="1"/>
    <m/>
    <m/>
    <d v="2025-01-01T00:00:00"/>
    <d v="1899-12-31T00:00:00"/>
    <d v="2025-02-28T00:00:00"/>
    <x v="18"/>
    <m/>
    <m/>
    <x v="3"/>
    <x v="6"/>
    <n v="1"/>
    <n v="0"/>
    <x v="1"/>
  </r>
  <r>
    <s v="Gerencia"/>
    <n v="373"/>
    <s v="RPA Mr Credit - Envío de facturas (CN006)"/>
    <m/>
    <m/>
    <n v="21"/>
    <s v="60-CERTIFICADO"/>
    <n v="195"/>
    <s v="Daniel Castillo"/>
    <s v="x"/>
    <b v="1"/>
    <m/>
    <m/>
    <m/>
    <m/>
    <m/>
    <m/>
    <n v="1"/>
    <n v="1"/>
    <m/>
    <m/>
    <d v="2025-01-01T00:00:00"/>
    <d v="1899-12-31T00:00:00"/>
    <d v="2025-01-15T00:00:00"/>
    <x v="18"/>
    <m/>
    <m/>
    <x v="1"/>
    <x v="6"/>
    <n v="1"/>
    <n v="0"/>
    <x v="0"/>
  </r>
  <r>
    <s v="Gerencia"/>
    <n v="0"/>
    <s v="Reporte compras para Auditoria"/>
    <n v="247647"/>
    <s v="EMILIA LETICIA DIAZ MAZARIEGOS"/>
    <n v="22"/>
    <s v="50-IMPLEMENTACION"/>
    <n v="3233"/>
    <s v="Carlos Rosales"/>
    <s v="x"/>
    <b v="1"/>
    <n v="3"/>
    <s v="REPORTE"/>
    <n v="2"/>
    <s v="MEDIA"/>
    <n v="1"/>
    <n v="1"/>
    <n v="1"/>
    <n v="1"/>
    <n v="2"/>
    <s v="MEDIANO"/>
    <d v="2025-02-10T00:00:00"/>
    <d v="2025-02-11T00:00:00"/>
    <d v="2025-02-18T00:00:00"/>
    <x v="18"/>
    <m/>
    <s v="&lt;p&gt;Reporte de facturas de compras por servicios en SAP Canella, Maquipos y VESA, según modelo enviado.&lt;/p&gt;"/>
    <x v="3"/>
    <x v="6"/>
    <n v="1"/>
    <n v="0"/>
    <x v="1"/>
  </r>
  <r>
    <s v="Gerencia"/>
    <n v="0"/>
    <s v="Reporte de interfaces"/>
    <n v="289030"/>
    <s v="WILLIAMS GIOVANNI GALVAN ESTRADA"/>
    <n v="29"/>
    <s v="10-COLA"/>
    <n v="3198"/>
    <s v="Josue Eleazar Chet Cuellar"/>
    <s v="x"/>
    <b v="1"/>
    <n v="3"/>
    <s v="REPORTE"/>
    <n v="1"/>
    <s v="BAJA"/>
    <n v="2"/>
    <n v="2"/>
    <n v="1"/>
    <n v="1"/>
    <n v="1"/>
    <s v="PEQUEÑO"/>
    <d v="2025-02-17T00:00:00"/>
    <d v="2025-02-17T00:00:00"/>
    <d v="2025-02-17T00:00:00"/>
    <x v="18"/>
    <m/>
    <m/>
    <x v="3"/>
    <x v="6"/>
    <n v="1"/>
    <n v="0"/>
    <x v="1"/>
  </r>
  <r>
    <s v="Gerencia"/>
    <n v="277"/>
    <s v="Reporte de inventario Motul (CN006)"/>
    <n v="247857"/>
    <s v="ARNALDO RENE COTTO STREMS"/>
    <n v="21"/>
    <s v="60-CERTIFICADO"/>
    <n v="3198"/>
    <s v="Josue Eleazar Chet Cuellar"/>
    <s v="x"/>
    <m/>
    <m/>
    <m/>
    <m/>
    <m/>
    <n v="1"/>
    <n v="1"/>
    <n v="2"/>
    <n v="2"/>
    <m/>
    <m/>
    <d v="2025-01-01T00:00:00"/>
    <d v="1899-12-31T00:00:00"/>
    <d v="2025-01-31T00:00:00"/>
    <x v="18"/>
    <m/>
    <s v="&lt;p&gt; ** INDICADORES Consulta de ventas, KPI, clientes para utliizar en el celular **  ** &lt;/p&gt;"/>
    <x v="1"/>
    <x v="6"/>
    <n v="1"/>
    <n v="0"/>
    <x v="0"/>
  </r>
  <r>
    <s v="Gerencia"/>
    <n v="0"/>
    <s v="Reporte del detalle de usuario en entregas SAP (CN006)"/>
    <m/>
    <m/>
    <n v="21"/>
    <s v="60-CERTIFICADO"/>
    <n v="3198"/>
    <s v="Josue Eleazar Chet Cuellar"/>
    <s v="x"/>
    <m/>
    <m/>
    <m/>
    <m/>
    <m/>
    <m/>
    <m/>
    <m/>
    <m/>
    <m/>
    <m/>
    <m/>
    <m/>
    <m/>
    <x v="18"/>
    <m/>
    <m/>
    <x v="0"/>
    <x v="6"/>
    <n v="0"/>
    <n v="0"/>
    <x v="6"/>
  </r>
  <r>
    <s v="Gerencia"/>
    <n v="359"/>
    <s v="Reporte facturas Admin Seguridad (CN006)"/>
    <m/>
    <m/>
    <n v="21"/>
    <s v="60-CERTIFICADO"/>
    <n v="3201"/>
    <s v="Olga María Hinestroza Lima"/>
    <s v="x"/>
    <b v="1"/>
    <m/>
    <m/>
    <m/>
    <m/>
    <n v="1"/>
    <n v="1"/>
    <n v="1"/>
    <n v="1"/>
    <m/>
    <m/>
    <d v="2025-01-20T00:00:00"/>
    <d v="1899-12-31T00:00:00"/>
    <d v="2025-01-31T00:00:00"/>
    <x v="18"/>
    <m/>
    <m/>
    <x v="1"/>
    <x v="6"/>
    <n v="1"/>
    <n v="0"/>
    <x v="0"/>
  </r>
  <r>
    <s v="Gerencia"/>
    <n v="319"/>
    <s v="SEGUIMIENTO A PEDIDOS (TRACKING) - KRAS(CN006)"/>
    <n v="247857"/>
    <s v="ARNALDO RENE COTTO STREMS"/>
    <n v="28"/>
    <s v="20-ASIGNADO"/>
    <n v="2767"/>
    <s v="Gerson Castro"/>
    <s v="x"/>
    <m/>
    <m/>
    <m/>
    <m/>
    <m/>
    <n v="1"/>
    <n v="1"/>
    <n v="1"/>
    <n v="1"/>
    <m/>
    <m/>
    <d v="2025-01-01T00:00:00"/>
    <d v="1899-12-31T00:00:00"/>
    <d v="2025-03-28T00:00:00"/>
    <x v="18"/>
    <m/>
    <s v="&lt;p&gt;En una aplicación web los clientes deben poder ver sus pedidos con su respectivo estatus Pedido, Oferta, Orden, Entrega, Facturado, etc. &lt;/p&gt;"/>
    <x v="2"/>
    <x v="6"/>
    <n v="1"/>
    <n v="0"/>
    <x v="2"/>
  </r>
  <r>
    <s v="Gerencia"/>
    <n v="0"/>
    <s v="Soporte (CN006)"/>
    <m/>
    <m/>
    <n v="28"/>
    <s v="20-ASIGNADO"/>
    <n v="3203"/>
    <s v="Jose Pablo Reyes Gonzalez"/>
    <s v="x"/>
    <m/>
    <m/>
    <m/>
    <m/>
    <m/>
    <m/>
    <m/>
    <m/>
    <m/>
    <m/>
    <m/>
    <d v="2025-02-03T00:00:00"/>
    <d v="2025-02-03T00:00:00"/>
    <m/>
    <x v="18"/>
    <m/>
    <m/>
    <x v="0"/>
    <x v="6"/>
    <n v="0"/>
    <n v="0"/>
    <x v="6"/>
  </r>
  <r>
    <s v="Gerencia"/>
    <n v="0"/>
    <s v="Soporte Carga de Excel a STOD (CN006)"/>
    <n v="247417"/>
    <s v="ALVARO LEONEL GUTIERREZ LOPEZ"/>
    <n v="21"/>
    <s v="60-CERTIFICADO"/>
    <n v="3202"/>
    <s v="Antonio Manuel Alejandro García González"/>
    <s v="x"/>
    <m/>
    <n v="4"/>
    <s v="SOPORTE/CAPACITACION"/>
    <n v="1"/>
    <s v="BAJA"/>
    <n v="1"/>
    <n v="1"/>
    <n v="2"/>
    <n v="2"/>
    <n v="1"/>
    <s v="PEQUEÑO"/>
    <d v="2025-02-04T00:00:00"/>
    <d v="2025-02-04T00:00:00"/>
    <d v="2025-02-05T00:00:00"/>
    <x v="18"/>
    <d v="2025-02-05T00:00:00"/>
    <m/>
    <x v="3"/>
    <x v="6"/>
    <n v="1"/>
    <n v="0"/>
    <x v="1"/>
  </r>
  <r>
    <s v="Gerencia"/>
    <n v="0"/>
    <s v="Soporte Contabilidad Corte de Caja"/>
    <n v="247804"/>
    <s v="NANCY ELIZABETH ALVARADO TOLEDO"/>
    <n v="22"/>
    <s v="50-IMPLEMENTACION"/>
    <n v="3204"/>
    <s v="Gerson Gabriel Flores Montúfar"/>
    <s v="x"/>
    <m/>
    <m/>
    <m/>
    <m/>
    <m/>
    <m/>
    <m/>
    <m/>
    <m/>
    <m/>
    <m/>
    <d v="2025-02-10T00:00:00"/>
    <d v="2025-02-10T00:00:00"/>
    <d v="2025-02-10T00:00:00"/>
    <x v="18"/>
    <d v="2025-02-10T00:00:00"/>
    <m/>
    <x v="3"/>
    <x v="6"/>
    <n v="1"/>
    <n v="0"/>
    <x v="1"/>
  </r>
  <r>
    <s v="Gerencia"/>
    <n v="0"/>
    <s v="Soporte en creación Recibos de Pago"/>
    <n v="247897"/>
    <s v="JOSE LUIS PRADO PORTILLO"/>
    <n v="21"/>
    <s v="60-CERTIFICADO"/>
    <n v="3202"/>
    <s v="Antonio Manuel Alejandro García González"/>
    <s v="x"/>
    <b v="1"/>
    <n v="4"/>
    <s v="SOPORTE/CAPACITACION"/>
    <n v="1"/>
    <s v="BAJA"/>
    <n v="2"/>
    <n v="2"/>
    <n v="2"/>
    <n v="2"/>
    <n v="1"/>
    <s v="PEQUEÑO"/>
    <d v="2025-02-13T00:00:00"/>
    <d v="2025-02-13T00:00:00"/>
    <d v="2025-02-13T00:00:00"/>
    <x v="18"/>
    <d v="2025-02-13T00:00:00"/>
    <m/>
    <x v="3"/>
    <x v="6"/>
    <n v="1"/>
    <n v="0"/>
    <x v="1"/>
  </r>
  <r>
    <s v="Gerencia"/>
    <n v="0"/>
    <s v="Soporte enero (CN006)"/>
    <m/>
    <m/>
    <n v="21"/>
    <s v="60-CERTIFICADO"/>
    <n v="3201"/>
    <s v="Olga María Hinestroza Lima"/>
    <s v="x"/>
    <m/>
    <n v="4"/>
    <s v="SOPORTE/CAPACITACION"/>
    <n v="1"/>
    <s v="BAJA"/>
    <n v="2"/>
    <n v="2"/>
    <n v="3"/>
    <n v="3"/>
    <n v="2"/>
    <s v="MEDIANO"/>
    <d v="2025-01-01T00:00:00"/>
    <d v="2025-01-01T00:00:00"/>
    <d v="2025-01-31T00:00:00"/>
    <x v="18"/>
    <d v="2025-01-31T00:00:00"/>
    <m/>
    <x v="1"/>
    <x v="6"/>
    <n v="1"/>
    <n v="0"/>
    <x v="0"/>
  </r>
  <r>
    <s v="Gerencia"/>
    <n v="0"/>
    <s v="Soporte febrero (CN006)"/>
    <m/>
    <m/>
    <n v="22"/>
    <s v="50-IMPLEMENTACION"/>
    <n v="3201"/>
    <s v="Olga María Hinestroza Lima"/>
    <s v="x"/>
    <m/>
    <n v="4"/>
    <s v="SOPORTE/CAPACITACION"/>
    <n v="1"/>
    <s v="BAJA"/>
    <n v="2"/>
    <n v="2"/>
    <n v="3"/>
    <n v="3"/>
    <n v="1"/>
    <s v="PEQUEÑO"/>
    <d v="2025-02-01T00:00:00"/>
    <d v="2025-02-01T00:00:00"/>
    <d v="2025-02-28T00:00:00"/>
    <x v="18"/>
    <m/>
    <m/>
    <x v="3"/>
    <x v="6"/>
    <n v="1"/>
    <n v="0"/>
    <x v="1"/>
  </r>
  <r>
    <s v="Gerencia"/>
    <n v="0"/>
    <s v="Soporte query saldo de cuenta"/>
    <n v="246832"/>
    <s v="KAREN SELENA MENDIZABAL LOPEZ"/>
    <n v="22"/>
    <s v="50-IMPLEMENTACION"/>
    <n v="3204"/>
    <s v="Gerson Gabriel Flores Montúfar"/>
    <s v="x"/>
    <m/>
    <n v="4"/>
    <s v="SOPORTE/CAPACITACION"/>
    <m/>
    <m/>
    <m/>
    <m/>
    <m/>
    <m/>
    <m/>
    <m/>
    <d v="2025-02-12T00:00:00"/>
    <d v="2025-02-12T00:00:00"/>
    <d v="2025-02-12T00:00:00"/>
    <x v="18"/>
    <d v="2025-02-12T00:00:00"/>
    <m/>
    <x v="3"/>
    <x v="6"/>
    <n v="1"/>
    <n v="0"/>
    <x v="1"/>
  </r>
  <r>
    <s v="Gerencia"/>
    <n v="0"/>
    <s v="Soporte y documentación de proyectos (CN006)"/>
    <m/>
    <m/>
    <n v="30"/>
    <s v="40-DESARROLLO"/>
    <n v="195"/>
    <s v="Daniel Castillo"/>
    <s v="x"/>
    <m/>
    <m/>
    <m/>
    <m/>
    <m/>
    <m/>
    <m/>
    <m/>
    <m/>
    <m/>
    <m/>
    <m/>
    <m/>
    <m/>
    <x v="18"/>
    <m/>
    <m/>
    <x v="0"/>
    <x v="6"/>
    <n v="0"/>
    <n v="0"/>
    <x v="6"/>
  </r>
  <r>
    <s v="Gerencia"/>
    <n v="354"/>
    <s v="Subdistribuidores Isuzu (CN006)"/>
    <n v="247791"/>
    <s v="ASTRID VICTORIA PEÑA DIEGUEZ"/>
    <n v="27"/>
    <s v="30-ANALISIS"/>
    <n v="3201"/>
    <s v="Olga María Hinestroza Lima"/>
    <s v="x"/>
    <m/>
    <m/>
    <m/>
    <m/>
    <m/>
    <n v="1"/>
    <n v="1"/>
    <n v="1"/>
    <n v="1"/>
    <m/>
    <m/>
    <d v="2025-01-01T00:00:00"/>
    <d v="1899-12-31T00:00:00"/>
    <d v="2025-03-31T00:00:00"/>
    <x v="18"/>
    <m/>
    <m/>
    <x v="2"/>
    <x v="6"/>
    <n v="1"/>
    <n v="0"/>
    <x v="2"/>
  </r>
  <r>
    <s v="Gerencia"/>
    <n v="297"/>
    <s v="Traslado de"/>
    <n v="289006"/>
    <s v="SULY DANIELA CHUN SANTOS de RIVERA"/>
    <n v="30"/>
    <s v="40-DESARROLLO"/>
    <n v="195"/>
    <s v="Daniel Castillo"/>
    <s v="x"/>
    <m/>
    <m/>
    <m/>
    <m/>
    <m/>
    <n v="1"/>
    <n v="1"/>
    <n v="1"/>
    <n v="1"/>
    <m/>
    <m/>
    <d v="2025-01-01T00:00:00"/>
    <d v="1899-12-31T00:00:00"/>
    <d v="2025-02-14T00:00:00"/>
    <x v="18"/>
    <m/>
    <m/>
    <x v="3"/>
    <x v="6"/>
    <n v="1"/>
    <n v="0"/>
    <x v="1"/>
  </r>
  <r>
    <s v="Gerencia"/>
    <n v="0"/>
    <s v="Traslado de sitio web Dashboard MOTUL"/>
    <n v="247857"/>
    <s v="ARNALDO RENE COTTO STREMS"/>
    <n v="22"/>
    <s v="50-IMPLEMENTACION"/>
    <n v="195"/>
    <s v="Daniel Castillo"/>
    <s v="x"/>
    <b v="1"/>
    <n v="2"/>
    <s v="PROCESO"/>
    <n v="2"/>
    <s v="MEDIA"/>
    <n v="2"/>
    <n v="2"/>
    <n v="2"/>
    <n v="2"/>
    <n v="2"/>
    <s v="MEDIANO"/>
    <d v="2025-02-01T00:00:00"/>
    <d v="2025-02-01T00:00:00"/>
    <d v="2025-02-14T00:00:00"/>
    <x v="18"/>
    <m/>
    <s v="&lt;p&gt;Se solicita trasladar el sitio web que contiene el Dashboard de ventas MOTUL ya que este no se encuentra operando actualmente.&lt;/p&gt;"/>
    <x v="3"/>
    <x v="6"/>
    <n v="1"/>
    <n v="0"/>
    <x v="1"/>
  </r>
  <r>
    <s v="Gerencia"/>
    <n v="299"/>
    <s v="Agregar la opción &quot;Depósitos Mixtos&quot; al módulo de Recibos de Caja (CN006)"/>
    <m/>
    <m/>
    <n v="22"/>
    <s v="50-IMPLEMENTACION"/>
    <n v="3202"/>
    <s v="Antonio Manuel Alejandro García González"/>
    <s v="x"/>
    <m/>
    <m/>
    <m/>
    <m/>
    <m/>
    <n v="1"/>
    <n v="1"/>
    <n v="1"/>
    <n v="1"/>
    <m/>
    <m/>
    <d v="2025-01-01T00:00:00"/>
    <d v="1899-12-31T00:00:00"/>
    <d v="2025-02-14T00:00:00"/>
    <x v="18"/>
    <m/>
    <m/>
    <x v="3"/>
    <x v="6"/>
    <n v="1"/>
    <n v="0"/>
    <x v="1"/>
  </r>
  <r>
    <s v="Gerencia"/>
    <n v="370"/>
    <s v="Corrección de pantalla de gestión de correos de contratos de mantenimiento"/>
    <n v="247614"/>
    <s v="LEIDI PAOLA ESQUIVEL RAMIREZ"/>
    <n v="21"/>
    <s v="60-CERTIFICADO"/>
    <n v="195"/>
    <s v="Daniel Castillo"/>
    <s v="x"/>
    <b v="1"/>
    <m/>
    <m/>
    <m/>
    <m/>
    <m/>
    <m/>
    <n v="2"/>
    <n v="2"/>
    <m/>
    <m/>
    <d v="2025-01-21T00:00:00"/>
    <d v="1899-12-31T00:00:00"/>
    <d v="2025-01-21T00:00:00"/>
    <x v="18"/>
    <d v="2025-02-07T00:00:00"/>
    <m/>
    <x v="1"/>
    <x v="6"/>
    <n v="1"/>
    <n v="0"/>
    <x v="0"/>
  </r>
  <r>
    <s v="Gerencia"/>
    <n v="303"/>
    <s v="Desarrollo de modulo de lavado de vehículos"/>
    <n v="247614"/>
    <s v="LEIDI PAOLA ESQUIVEL RAMIREZ"/>
    <n v="30"/>
    <s v="40-DESARROLLO"/>
    <n v="195"/>
    <s v="Daniel Castillo"/>
    <s v="x"/>
    <m/>
    <m/>
    <m/>
    <m/>
    <m/>
    <n v="1"/>
    <n v="1"/>
    <n v="1"/>
    <n v="1"/>
    <m/>
    <m/>
    <d v="2025-01-01T00:00:00"/>
    <d v="1899-12-31T00:00:00"/>
    <d v="2025-02-28T00:00:00"/>
    <x v="18"/>
    <m/>
    <m/>
    <x v="3"/>
    <x v="6"/>
    <n v="1"/>
    <n v="0"/>
    <x v="1"/>
  </r>
  <r>
    <s v="Gerencia"/>
    <n v="327"/>
    <s v="Implementación de Sistema de Contraseñas de Proveedores Locales"/>
    <n v="247795"/>
    <s v="SANDRA JUDITH LOARCA HERNANDEZ de PEREZ"/>
    <n v="22"/>
    <s v="50-IMPLEMENTACION"/>
    <n v="3201"/>
    <s v="Olga María Hinestroza Lima"/>
    <s v="x"/>
    <m/>
    <m/>
    <m/>
    <m/>
    <m/>
    <n v="1"/>
    <n v="1"/>
    <n v="1"/>
    <n v="1"/>
    <m/>
    <m/>
    <d v="2025-01-01T00:00:00"/>
    <d v="1899-12-31T00:00:00"/>
    <d v="2025-02-14T00:00:00"/>
    <x v="18"/>
    <m/>
    <s v="&lt;p&gt; ** Implementación del Sistema de Contraseñas de Proveedores Locales SAP/LASERFICHE **  ** &lt;/p&gt;"/>
    <x v="3"/>
    <x v="6"/>
    <n v="1"/>
    <n v="0"/>
    <x v="1"/>
  </r>
  <r>
    <s v="Gerencia"/>
    <n v="361"/>
    <s v="Optimización de creación y actualización de Proveedores (CN006)"/>
    <n v="247556"/>
    <s v="DOUGLAS MONTOYA MONTAVES"/>
    <n v="27"/>
    <s v="30-ANALISIS"/>
    <n v="3201"/>
    <s v="Olga María Hinestroza Lima"/>
    <s v="x"/>
    <m/>
    <m/>
    <m/>
    <m/>
    <m/>
    <n v="1"/>
    <n v="1"/>
    <n v="1"/>
    <n v="1"/>
    <m/>
    <m/>
    <d v="2025-01-30T00:00:00"/>
    <d v="1899-12-31T00:00:00"/>
    <d v="2025-04-30T00:00:00"/>
    <x v="18"/>
    <m/>
    <s v="&lt;p&gt; ** Proceso para creación proveedores con generación automática de código en SAP, alertas para actualización de datos y documentos, validación interna, almacenamiento y clasificación de expediente de proveedor. **  ** &lt;/p&gt;"/>
    <x v="4"/>
    <x v="6"/>
    <n v="1"/>
    <n v="0"/>
    <x v="3"/>
  </r>
  <r>
    <s v="Gerencia"/>
    <n v="352"/>
    <s v="Placas Yamaha (CN006)"/>
    <m/>
    <m/>
    <n v="21"/>
    <s v="60-CERTIFICADO"/>
    <n v="3201"/>
    <s v="Olga María Hinestroza Lima"/>
    <s v="x"/>
    <m/>
    <m/>
    <m/>
    <m/>
    <m/>
    <n v="1"/>
    <n v="1"/>
    <n v="1"/>
    <n v="1"/>
    <m/>
    <m/>
    <d v="2025-01-01T00:00:00"/>
    <d v="1899-12-31T00:00:00"/>
    <d v="2025-01-31T00:00:00"/>
    <x v="18"/>
    <m/>
    <m/>
    <x v="1"/>
    <x v="6"/>
    <n v="1"/>
    <n v="0"/>
    <x v="0"/>
  </r>
  <r>
    <s v="Gerencia"/>
    <n v="338"/>
    <s v="Reporte de Geolocalizacion interstate"/>
    <n v="247857"/>
    <s v="ARNALDO RENE COTTO STREMS"/>
    <n v="21"/>
    <s v="60-CERTIFICADO"/>
    <n v="3204"/>
    <s v="Gerson Gabriel Flores Montúfar"/>
    <s v="x"/>
    <m/>
    <m/>
    <m/>
    <m/>
    <m/>
    <n v="1"/>
    <n v="1"/>
    <n v="1"/>
    <n v="1"/>
    <m/>
    <m/>
    <d v="2025-01-01T00:00:00"/>
    <d v="1899-12-31T00:00:00"/>
    <d v="2025-01-31T00:00:00"/>
    <x v="18"/>
    <m/>
    <m/>
    <x v="1"/>
    <x v="6"/>
    <n v="1"/>
    <n v="0"/>
    <x v="0"/>
  </r>
  <r>
    <s v="Gerencia"/>
    <n v="369"/>
    <s v="Reporte de SAP sobre las cajas de repuestos"/>
    <n v="289006"/>
    <s v="SULY DANIELA CHUN SANTOS de RIVERA"/>
    <n v="21"/>
    <s v="60-CERTIFICADO"/>
    <n v="3200"/>
    <s v="Carlos Eduardo Galindo Miranda"/>
    <s v="x"/>
    <m/>
    <m/>
    <m/>
    <m/>
    <m/>
    <n v="2"/>
    <n v="2"/>
    <n v="2"/>
    <n v="2"/>
    <m/>
    <m/>
    <d v="2025-01-28T00:00:00"/>
    <d v="1899-12-31T00:00:00"/>
    <d v="2025-02-12T00:00:00"/>
    <x v="18"/>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x v="3"/>
    <x v="6"/>
    <n v="1"/>
    <n v="0"/>
    <x v="1"/>
  </r>
  <r>
    <s v="Gerencia"/>
    <n v="0"/>
    <s v="Reserva de vehículo - Isuzu Subdistribuidor"/>
    <n v="247791"/>
    <s v="ASTRID VICTORIA PEÑA DIEGUEZ"/>
    <n v="28"/>
    <s v="20-ASIGNADO"/>
    <n v="3201"/>
    <s v="Olga María Hinestroza Lima"/>
    <s v="x"/>
    <m/>
    <n v="2"/>
    <s v="PROCESO"/>
    <n v="2"/>
    <s v="MEDIA"/>
    <n v="2"/>
    <n v="2"/>
    <n v="2"/>
    <n v="2"/>
    <n v="1"/>
    <s v="PEQUEÑO"/>
    <d v="2025-02-17T00:00:00"/>
    <m/>
    <m/>
    <x v="18"/>
    <m/>
    <m/>
    <x v="0"/>
    <x v="6"/>
    <n v="0"/>
    <n v="0"/>
    <x v="6"/>
  </r>
  <r>
    <s v="Gerencia"/>
    <n v="325"/>
    <s v="Soporte Creditos y Cobros General"/>
    <m/>
    <m/>
    <n v="22"/>
    <s v="50-IMPLEMENTACION"/>
    <n v="2767"/>
    <s v="Gerson Castro"/>
    <s v="x"/>
    <b v="1"/>
    <m/>
    <m/>
    <m/>
    <m/>
    <n v="1"/>
    <n v="1"/>
    <n v="1"/>
    <n v="1"/>
    <m/>
    <m/>
    <d v="2025-01-01T00:00:00"/>
    <d v="1899-12-31T00:00:00"/>
    <d v="2025-01-31T00:00:00"/>
    <x v="18"/>
    <m/>
    <s v="&lt;p&gt; ** SEGUIMIENTO Soporte al Sistema de Cobranza en ODOO. Edward Garcia fue el solicitante **  ** &lt;/p&gt;"/>
    <x v="1"/>
    <x v="6"/>
    <n v="1"/>
    <n v="0"/>
    <x v="0"/>
  </r>
  <r>
    <s v="Gerencia"/>
    <n v="0"/>
    <s v="Soporte PINPAD"/>
    <n v="289006"/>
    <s v="SULY DANIELA CHUN SANTOS de RIVERA"/>
    <n v="22"/>
    <s v="50-IMPLEMENTACION"/>
    <n v="3204"/>
    <s v="Gerson Gabriel Flores Montúfar"/>
    <s v="x"/>
    <m/>
    <m/>
    <m/>
    <m/>
    <m/>
    <m/>
    <m/>
    <m/>
    <m/>
    <m/>
    <m/>
    <d v="2025-02-12T00:00:00"/>
    <d v="2025-02-12T00:00:00"/>
    <d v="2025-02-12T00:00:00"/>
    <x v="18"/>
    <d v="2025-02-12T00:00:00"/>
    <m/>
    <x v="3"/>
    <x v="6"/>
    <n v="1"/>
    <n v="0"/>
    <x v="1"/>
  </r>
  <r>
    <s v="Gerencia"/>
    <n v="335"/>
    <s v="Conciliación bancaria MT940BI(CN006)"/>
    <n v="247417"/>
    <s v="ALVARO LEONEL GUTIERREZ LOPEZ"/>
    <n v="21"/>
    <s v="60-CERTIFICADO"/>
    <n v="3204"/>
    <s v="Gerson Gabriel Flores Montúfar"/>
    <s v="x"/>
    <m/>
    <m/>
    <m/>
    <m/>
    <m/>
    <n v="1"/>
    <n v="1"/>
    <n v="1"/>
    <n v="1"/>
    <m/>
    <m/>
    <d v="2025-01-01T00:00:00"/>
    <d v="1899-12-31T00:00:00"/>
    <d v="2025-01-31T00:00:00"/>
    <x v="18"/>
    <m/>
    <s v="&lt;p&gt;Carga de estado de cuenta MT940 banco industrial hacia SAP Canella&lt;/p&gt;"/>
    <x v="1"/>
    <x v="6"/>
    <n v="1"/>
    <n v="0"/>
    <x v="0"/>
  </r>
  <r>
    <s v="Gerencia"/>
    <n v="366"/>
    <s v="Desarrollo de reporte de personal 2024 de Taller Isuzu (CN006)"/>
    <m/>
    <m/>
    <n v="22"/>
    <s v="50-IMPLEMENTACION"/>
    <n v="195"/>
    <s v="Daniel Castillo"/>
    <s v="x"/>
    <b v="1"/>
    <m/>
    <m/>
    <m/>
    <m/>
    <m/>
    <m/>
    <n v="1"/>
    <n v="1"/>
    <m/>
    <m/>
    <d v="2025-01-01T00:00:00"/>
    <d v="1899-12-31T00:00:00"/>
    <d v="2025-01-31T00:00:00"/>
    <x v="18"/>
    <m/>
    <m/>
    <x v="1"/>
    <x v="6"/>
    <n v="1"/>
    <n v="0"/>
    <x v="0"/>
  </r>
  <r>
    <s v="Gerencia"/>
    <n v="333"/>
    <s v="Implementación de WMS en Elizur (CN006)"/>
    <m/>
    <m/>
    <n v="21"/>
    <s v="60-CERTIFICADO"/>
    <n v="3203"/>
    <s v="Jose Pablo Reyes Gonzalez"/>
    <s v="x"/>
    <m/>
    <m/>
    <m/>
    <m/>
    <m/>
    <n v="1"/>
    <n v="1"/>
    <n v="2"/>
    <n v="2"/>
    <m/>
    <m/>
    <d v="2025-01-01T00:00:00"/>
    <d v="1899-12-31T00:00:00"/>
    <d v="2025-01-31T00:00:00"/>
    <x v="18"/>
    <m/>
    <m/>
    <x v="1"/>
    <x v="6"/>
    <n v="1"/>
    <n v="0"/>
    <x v="0"/>
  </r>
  <r>
    <s v="Gerencia"/>
    <n v="276"/>
    <s v="Proyecto GESCON (CN006)"/>
    <n v="247888"/>
    <s v="JUAN MANUEL SOTO GUTIERREZ"/>
    <n v="30"/>
    <s v="40-DESARROLLO"/>
    <n v="3198"/>
    <s v="Josue Eleazar Chet Cuellar"/>
    <s v="x"/>
    <m/>
    <m/>
    <m/>
    <m/>
    <m/>
    <n v="1"/>
    <n v="1"/>
    <n v="1"/>
    <n v="1"/>
    <m/>
    <m/>
    <d v="2025-01-01T00:00:00"/>
    <d v="1899-12-31T00:00:00"/>
    <d v="2025-10-31T00:00:00"/>
    <x v="18"/>
    <m/>
    <s v="&lt;p&gt; ** PROCESO Implementación y Renovación del nuevo Sistema de Contratos de Arrendamiento a una tecnología actualizada, revisión&amp;nbsp;y mejoras en los procesos, se agregara KPI y Gestión de las Cotizaciones, se cambiara nombre a la herramienta a GESCON **  ** &lt;/p&gt;"/>
    <x v="6"/>
    <x v="6"/>
    <n v="1"/>
    <n v="0"/>
    <x v="7"/>
  </r>
  <r>
    <s v="Gerencia"/>
    <n v="332"/>
    <s v="RPA de confirmación de boletas bancarias Créditos y Cobros"/>
    <n v="247722"/>
    <s v="RICARDO ALFONSO ESCOBEDO DACARET"/>
    <n v="30"/>
    <s v="40-DESARROLLO"/>
    <n v="195"/>
    <s v="Daniel Castillo"/>
    <s v="x"/>
    <m/>
    <m/>
    <m/>
    <m/>
    <m/>
    <n v="1"/>
    <n v="1"/>
    <n v="2"/>
    <n v="2"/>
    <m/>
    <m/>
    <d v="2025-01-01T00:00:00"/>
    <d v="1899-12-31T00:00:00"/>
    <d v="2025-02-14T00:00:00"/>
    <x v="18"/>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x v="3"/>
    <x v="6"/>
    <n v="1"/>
    <n v="0"/>
    <x v="1"/>
  </r>
  <r>
    <s v="Gerencia"/>
    <n v="292"/>
    <s v="Sistema de encuestas Taller Isuzu (CN006)"/>
    <m/>
    <m/>
    <n v="21"/>
    <s v="60-CERTIFICADO"/>
    <n v="195"/>
    <s v="Daniel Castillo"/>
    <s v="x"/>
    <m/>
    <m/>
    <m/>
    <m/>
    <m/>
    <n v="1"/>
    <n v="1"/>
    <n v="2"/>
    <n v="2"/>
    <m/>
    <m/>
    <d v="2025-01-01T00:00:00"/>
    <d v="1899-12-31T00:00:00"/>
    <d v="2025-01-31T00:00:00"/>
    <x v="18"/>
    <m/>
    <m/>
    <x v="1"/>
    <x v="6"/>
    <n v="1"/>
    <n v="0"/>
    <x v="0"/>
  </r>
  <r>
    <s v="Gerencia"/>
    <n v="0"/>
    <s v="Soporte Carga masiva Contabilidad TC Credomatic"/>
    <n v="289036"/>
    <s v="MADELYN SUSANA BRAN OLIVAREZ"/>
    <n v="22"/>
    <s v="50-IMPLEMENTACION"/>
    <n v="3204"/>
    <s v="Gerson Gabriel Flores Montúfar"/>
    <s v="x"/>
    <m/>
    <n v="4"/>
    <s v="SOPORTE/CAPACITACION"/>
    <n v="1"/>
    <s v="BAJA"/>
    <n v="2"/>
    <n v="2"/>
    <n v="2"/>
    <n v="2"/>
    <n v="1"/>
    <s v="PEQUEÑO"/>
    <d v="2025-02-11T00:00:00"/>
    <d v="2025-02-11T00:00:00"/>
    <d v="2025-02-11T00:00:00"/>
    <x v="18"/>
    <d v="2025-02-11T00:00:00"/>
    <m/>
    <x v="3"/>
    <x v="6"/>
    <n v="1"/>
    <n v="0"/>
    <x v="1"/>
  </r>
  <r>
    <s v="Gerencia"/>
    <n v="0"/>
    <s v="Soporte RPA - Boletas"/>
    <m/>
    <m/>
    <n v="22"/>
    <s v="50-IMPLEMENTACION"/>
    <n v="2767"/>
    <s v="Gerson Castro"/>
    <s v="x"/>
    <m/>
    <m/>
    <m/>
    <m/>
    <m/>
    <m/>
    <m/>
    <m/>
    <m/>
    <m/>
    <m/>
    <d v="2025-02-06T00:00:00"/>
    <m/>
    <d v="2025-02-28T00:00:00"/>
    <x v="18"/>
    <m/>
    <s v="&lt;p&gt;Seguimiento con problemas con las boletas de los bancos, problemas de estados de cuentas, cheques etc.&lt;/p&gt;"/>
    <x v="3"/>
    <x v="6"/>
    <n v="1"/>
    <n v="0"/>
    <x v="1"/>
  </r>
  <r>
    <s v="Gerencia"/>
    <n v="374"/>
    <s v="Soporte impresión Yamaha (CN006)"/>
    <n v="247807"/>
    <s v="EDUARDO JACOBO ARA GÓMEZ"/>
    <n v="22"/>
    <s v="50-IMPLEMENTACION"/>
    <n v="3201"/>
    <s v="Olga María Hinestroza Lima"/>
    <s v="x"/>
    <m/>
    <m/>
    <m/>
    <m/>
    <m/>
    <n v="3"/>
    <n v="3"/>
    <n v="2"/>
    <n v="2"/>
    <m/>
    <m/>
    <d v="2025-01-31T00:00:00"/>
    <d v="1899-12-31T00:00:00"/>
    <d v="2025-02-28T00:00:00"/>
    <x v="18"/>
    <m/>
    <s v="&lt;p&gt;Pruebas de impresión de lote de expedientes con personal del departamento de Placas ubicados en Yamaha Liberación, validando orden, expedientes completos, reimpresión y bitácora de estado de expedientes.&lt;/p&gt;"/>
    <x v="3"/>
    <x v="6"/>
    <n v="1"/>
    <n v="0"/>
    <x v="1"/>
  </r>
  <r>
    <s v="Gerencia"/>
    <n v="317"/>
    <s v="Creditos y Cobros Fase 2 - Cobro a domiciliario"/>
    <m/>
    <m/>
    <n v="22"/>
    <s v="50-IMPLEMENTACION"/>
    <n v="2767"/>
    <s v="Gerson Castro"/>
    <s v="x"/>
    <m/>
    <m/>
    <m/>
    <m/>
    <m/>
    <n v="1"/>
    <n v="1"/>
    <n v="1"/>
    <n v="1"/>
    <m/>
    <m/>
    <d v="2025-01-01T00:00:00"/>
    <d v="1899-12-31T00:00:00"/>
    <d v="2025-02-14T00:00:00"/>
    <x v="18"/>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x v="3"/>
    <x v="6"/>
    <n v="1"/>
    <n v="0"/>
    <x v="1"/>
  </r>
  <r>
    <s v="Gerencia"/>
    <n v="334"/>
    <s v="Optimizacion de Llamadas de Servicio (CN006)"/>
    <m/>
    <m/>
    <n v="21"/>
    <s v="60-CERTIFICADO"/>
    <n v="3203"/>
    <s v="Jose Pablo Reyes Gonzalez"/>
    <s v="x"/>
    <b v="1"/>
    <m/>
    <m/>
    <m/>
    <m/>
    <n v="1"/>
    <n v="1"/>
    <n v="3"/>
    <n v="3"/>
    <m/>
    <m/>
    <d v="2025-01-01T00:00:00"/>
    <d v="1899-12-31T00:00:00"/>
    <d v="2025-01-31T00:00:00"/>
    <x v="18"/>
    <m/>
    <m/>
    <x v="1"/>
    <x v="6"/>
    <n v="1"/>
    <n v="0"/>
    <x v="0"/>
  </r>
  <r>
    <s v="Gerencia"/>
    <n v="0"/>
    <s v="Soporte MT940 GYT"/>
    <n v="247417"/>
    <s v="ALVARO LEONEL GUTIERREZ LOPEZ"/>
    <n v="22"/>
    <s v="50-IMPLEMENTACION"/>
    <n v="3204"/>
    <s v="Gerson Gabriel Flores Montúfar"/>
    <s v="x"/>
    <m/>
    <n v="4"/>
    <s v="SOPORTE/CAPACITACION"/>
    <m/>
    <m/>
    <m/>
    <m/>
    <m/>
    <m/>
    <m/>
    <m/>
    <d v="2025-02-12T00:00:00"/>
    <d v="2025-02-12T00:00:00"/>
    <d v="2025-02-12T00:00:00"/>
    <x v="18"/>
    <d v="2025-02-12T00:00:00"/>
    <m/>
    <x v="3"/>
    <x v="6"/>
    <n v="1"/>
    <n v="0"/>
    <x v="1"/>
  </r>
  <r>
    <s v="Gerencia"/>
    <n v="295"/>
    <s v="Soporte de confirmación de boletas Enero (CN006)"/>
    <n v="293171"/>
    <s v="GABRIEL EFRAIN MELENDEZ MARROQUIN"/>
    <n v="21"/>
    <s v="60-CERTIFICADO"/>
    <n v="195"/>
    <s v="Daniel Castillo"/>
    <s v="x"/>
    <b v="1"/>
    <m/>
    <m/>
    <m/>
    <m/>
    <n v="1"/>
    <n v="1"/>
    <n v="1"/>
    <n v="1"/>
    <m/>
    <m/>
    <d v="2025-01-01T00:00:00"/>
    <d v="1899-12-31T00:00:00"/>
    <d v="2025-02-14T00:00:00"/>
    <x v="18"/>
    <d v="2025-02-12T00:00:00"/>
    <s v="&lt;p&gt; ** MEJORAS Traslado del módulo de pases de salida de SAP a STOD **  ** &lt;/p&gt;"/>
    <x v="3"/>
    <x v="6"/>
    <n v="1"/>
    <n v="0"/>
    <x v="1"/>
  </r>
  <r>
    <s v="Gerencia"/>
    <n v="308"/>
    <s v="Carga masiva de Activo Fijo (CN006)"/>
    <n v="247795"/>
    <s v="SANDRA JUDITH LOARCA HERNANDEZ de PEREZ"/>
    <n v="30"/>
    <s v="40-DESARROLLO"/>
    <n v="3200"/>
    <s v="Carlos Eduardo Galindo Miranda"/>
    <s v="x"/>
    <m/>
    <m/>
    <m/>
    <m/>
    <m/>
    <n v="1"/>
    <n v="1"/>
    <n v="3"/>
    <n v="3"/>
    <m/>
    <m/>
    <d v="2025-01-01T00:00:00"/>
    <d v="1899-12-31T00:00:00"/>
    <d v="2025-02-28T00:00:00"/>
    <x v="18"/>
    <m/>
    <s v="&lt;p&gt; ** PROCESO Crear códigos de activos fijos por medio de un archivo Excel.&lt;/p&gt;"/>
    <x v="3"/>
    <x v="6"/>
    <n v="1"/>
    <n v="0"/>
    <x v="1"/>
  </r>
  <r>
    <s v="Gerencia"/>
    <n v="290"/>
    <s v="Módulo de RECALL taller ISUZU (CN006)"/>
    <n v="247828"/>
    <s v="DOUGLAS ALEJANDRO MALDONADO DUMAS"/>
    <n v="21"/>
    <s v="60-CERTIFICADO"/>
    <n v="195"/>
    <s v="Daniel Castillo"/>
    <s v="x"/>
    <m/>
    <m/>
    <m/>
    <m/>
    <m/>
    <n v="1"/>
    <n v="1"/>
    <n v="1"/>
    <n v="1"/>
    <m/>
    <m/>
    <d v="2025-01-01T00:00:00"/>
    <d v="1899-12-31T00:00:00"/>
    <d v="2025-01-31T00:00:00"/>
    <x v="18"/>
    <m/>
    <s v="&lt;p&gt; ** Ajustes al modulo de Recall con las indicaciones de Taller Automotriz **  ** &lt;/p&gt;"/>
    <x v="1"/>
    <x v="6"/>
    <n v="1"/>
    <n v="0"/>
    <x v="0"/>
  </r>
  <r>
    <s v="Gerencia"/>
    <n v="339"/>
    <s v="Sistema de Cubos ABC (CN006)"/>
    <m/>
    <m/>
    <n v="28"/>
    <s v="20-ASIGNADO"/>
    <n v="3203"/>
    <s v="Jose Pablo Reyes Gonzalez"/>
    <s v="x"/>
    <m/>
    <m/>
    <m/>
    <m/>
    <m/>
    <n v="1"/>
    <n v="1"/>
    <n v="2"/>
    <n v="2"/>
    <m/>
    <m/>
    <d v="2025-01-01T00:00:00"/>
    <d v="1899-12-31T00:00:00"/>
    <d v="2025-02-28T00:00:00"/>
    <x v="18"/>
    <m/>
    <m/>
    <x v="3"/>
    <x v="6"/>
    <n v="1"/>
    <n v="0"/>
    <x v="1"/>
  </r>
  <r>
    <s v="Gerencia"/>
    <n v="307"/>
    <s v="Envío de correo en creación Pago Recibido en SAP (CN006)"/>
    <n v="247722"/>
    <s v="RICARDO ALFONSO ESCOBEDO DACARET"/>
    <n v="30"/>
    <s v="40-DESARROLLO"/>
    <n v="3202"/>
    <s v="Antonio Manuel Alejandro García González"/>
    <s v="x"/>
    <b v="1"/>
    <m/>
    <m/>
    <m/>
    <m/>
    <n v="1"/>
    <n v="1"/>
    <n v="2"/>
    <n v="2"/>
    <m/>
    <m/>
    <d v="2025-01-01T00:00:00"/>
    <d v="1899-12-31T00:00:00"/>
    <d v="2025-01-31T00:00:00"/>
    <x v="18"/>
    <m/>
    <s v="&lt;p&gt;Se debe enviar un correo a Edward Garcia notificando y adjuntando el PDF del pago recibido&amp;nbsp;cuando se crea en SAP Canella.&lt;/p&gt;"/>
    <x v="1"/>
    <x v="6"/>
    <n v="1"/>
    <n v="0"/>
    <x v="0"/>
  </r>
  <r>
    <s v="Gerencia"/>
    <n v="336"/>
    <s v="Mejoras a SAP"/>
    <m/>
    <m/>
    <n v="30"/>
    <s v="40-DESARROLLO"/>
    <n v="3203"/>
    <s v="Jose Pablo Reyes Gonzalez"/>
    <s v="x"/>
    <m/>
    <m/>
    <m/>
    <m/>
    <m/>
    <n v="3"/>
    <n v="3"/>
    <n v="2"/>
    <n v="2"/>
    <m/>
    <m/>
    <d v="2025-01-01T00:00:00"/>
    <d v="1899-12-31T00:00:00"/>
    <d v="2025-02-28T00:00:00"/>
    <x v="18"/>
    <m/>
    <m/>
    <x v="3"/>
    <x v="6"/>
    <n v="1"/>
    <n v="0"/>
    <x v="1"/>
  </r>
  <r>
    <s v="Gerencia"/>
    <n v="371"/>
    <s v="Soporte de ingreso de datos para presupuestos de pintura (CN006)"/>
    <m/>
    <m/>
    <n v="21"/>
    <s v="60-CERTIFICADO"/>
    <n v="195"/>
    <s v="Daniel Castillo"/>
    <s v="x"/>
    <b v="1"/>
    <m/>
    <m/>
    <m/>
    <m/>
    <m/>
    <m/>
    <n v="1"/>
    <n v="1"/>
    <m/>
    <m/>
    <d v="2025-01-06T00:00:00"/>
    <d v="1899-12-31T00:00:00"/>
    <d v="2025-01-31T00:00:00"/>
    <x v="18"/>
    <m/>
    <m/>
    <x v="1"/>
    <x v="6"/>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_tbl_din_Gerencia"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4:I19" firstHeaderRow="1" firstDataRow="2" firstDataCol="1" rowPageCount="1" colPageCount="1"/>
  <pivotFields count="39">
    <pivotField numFmtId="1" showAll="0"/>
    <pivotField axis="axisPage" numFmtId="1" multipleItemSelectionAllowed="1" showAll="0">
      <items count="94">
        <item h="1" x="43"/>
        <item x="0"/>
        <item x="80"/>
        <item x="63"/>
        <item x="1"/>
        <item x="55"/>
        <item x="2"/>
        <item x="3"/>
        <item x="4"/>
        <item x="5"/>
        <item x="6"/>
        <item x="7"/>
        <item x="8"/>
        <item x="9"/>
        <item x="10"/>
        <item x="11"/>
        <item x="88"/>
        <item x="12"/>
        <item x="82"/>
        <item x="13"/>
        <item x="14"/>
        <item x="86"/>
        <item x="44"/>
        <item x="67"/>
        <item x="46"/>
        <item x="68"/>
        <item x="15"/>
        <item x="47"/>
        <item x="61"/>
        <item x="70"/>
        <item x="49"/>
        <item x="16"/>
        <item x="90"/>
        <item x="87"/>
        <item x="17"/>
        <item x="48"/>
        <item x="18"/>
        <item x="19"/>
        <item x="20"/>
        <item x="21"/>
        <item x="22"/>
        <item x="84"/>
        <item x="23"/>
        <item x="65"/>
        <item x="24"/>
        <item x="51"/>
        <item x="25"/>
        <item x="26"/>
        <item x="27"/>
        <item x="76"/>
        <item x="28"/>
        <item x="71"/>
        <item x="60"/>
        <item x="52"/>
        <item x="59"/>
        <item x="29"/>
        <item x="81"/>
        <item x="79"/>
        <item x="85"/>
        <item x="77"/>
        <item x="91"/>
        <item x="30"/>
        <item x="74"/>
        <item x="89"/>
        <item x="54"/>
        <item x="31"/>
        <item x="58"/>
        <item x="32"/>
        <item x="57"/>
        <item x="33"/>
        <item x="34"/>
        <item x="35"/>
        <item x="36"/>
        <item x="37"/>
        <item x="38"/>
        <item x="39"/>
        <item x="73"/>
        <item x="56"/>
        <item x="66"/>
        <item x="64"/>
        <item x="53"/>
        <item x="72"/>
        <item x="45"/>
        <item x="50"/>
        <item x="78"/>
        <item x="40"/>
        <item x="41"/>
        <item x="75"/>
        <item x="69"/>
        <item x="92"/>
        <item x="42"/>
        <item x="62"/>
        <item x="83"/>
        <item t="default"/>
      </items>
    </pivotField>
    <pivotField showAll="0"/>
    <pivotField showAll="0"/>
    <pivotField showAll="0"/>
    <pivotField numFmtId="1" showAll="0"/>
    <pivotField axis="axisCol" multipleItemSelectionAllowed="1" showAll="0">
      <items count="7">
        <item x="4"/>
        <item x="1"/>
        <item x="5"/>
        <item x="0"/>
        <item x="3"/>
        <item x="2"/>
        <item t="default"/>
      </items>
    </pivotField>
    <pivotField showAll="0"/>
    <pivotField axis="axisRow" showAll="0">
      <items count="15">
        <item x="10"/>
        <item x="11"/>
        <item x="0"/>
        <item x="3"/>
        <item x="4"/>
        <item x="5"/>
        <item x="13"/>
        <item x="8"/>
        <item x="6"/>
        <item x="1"/>
        <item x="9"/>
        <item x="12"/>
        <item x="7"/>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0">
        <item x="21"/>
        <item x="14"/>
        <item x="26"/>
        <item x="10"/>
        <item x="1"/>
        <item x="0"/>
        <item x="17"/>
        <item x="18"/>
        <item x="13"/>
        <item x="24"/>
        <item x="28"/>
        <item x="25"/>
        <item x="20"/>
        <item x="8"/>
        <item x="23"/>
        <item x="22"/>
        <item x="7"/>
        <item x="9"/>
        <item x="3"/>
        <item x="6"/>
        <item x="16"/>
        <item x="2"/>
        <item x="19"/>
        <item x="12"/>
        <item x="5"/>
        <item x="4"/>
        <item x="11"/>
        <item x="27"/>
        <item x="15"/>
        <item t="default"/>
      </items>
    </pivotField>
    <pivotField showAll="0">
      <items count="29">
        <item x="17"/>
        <item x="19"/>
        <item x="0"/>
        <item x="23"/>
        <item x="20"/>
        <item x="16"/>
        <item x="24"/>
        <item x="27"/>
        <item x="25"/>
        <item x="22"/>
        <item x="14"/>
        <item x="9"/>
        <item x="1"/>
        <item x="15"/>
        <item x="7"/>
        <item x="10"/>
        <item x="2"/>
        <item x="21"/>
        <item x="8"/>
        <item x="12"/>
        <item x="4"/>
        <item x="5"/>
        <item x="3"/>
        <item x="13"/>
        <item x="6"/>
        <item x="11"/>
        <item x="26"/>
        <item x="18"/>
        <item t="default"/>
      </items>
    </pivotField>
    <pivotField showAll="0"/>
    <pivotField showAll="0"/>
    <pivotField numFmtId="14" showAll="0">
      <items count="8">
        <item x="5"/>
        <item x="0"/>
        <item x="2"/>
        <item x="1"/>
        <item x="3"/>
        <item x="4"/>
        <item x="6"/>
        <item t="default"/>
      </items>
    </pivotField>
    <pivotField numFmtId="14" showAll="0">
      <items count="8">
        <item x="5"/>
        <item x="0"/>
        <item x="2"/>
        <item x="1"/>
        <item x="3"/>
        <item x="4"/>
        <item x="6"/>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s>
  <rowFields count="1">
    <field x="8"/>
  </rowFields>
  <rowItems count="14">
    <i>
      <x/>
    </i>
    <i>
      <x v="1"/>
    </i>
    <i>
      <x v="2"/>
    </i>
    <i>
      <x v="3"/>
    </i>
    <i>
      <x v="4"/>
    </i>
    <i>
      <x v="5"/>
    </i>
    <i>
      <x v="6"/>
    </i>
    <i>
      <x v="7"/>
    </i>
    <i>
      <x v="8"/>
    </i>
    <i>
      <x v="9"/>
    </i>
    <i>
      <x v="11"/>
    </i>
    <i>
      <x v="12"/>
    </i>
    <i>
      <x v="13"/>
    </i>
    <i t="grand">
      <x/>
    </i>
  </rowItems>
  <colFields count="1">
    <field x="6"/>
  </colFields>
  <colItems count="7">
    <i>
      <x/>
    </i>
    <i>
      <x v="1"/>
    </i>
    <i>
      <x v="2"/>
    </i>
    <i>
      <x v="3"/>
    </i>
    <i>
      <x v="4"/>
    </i>
    <i>
      <x v="5"/>
    </i>
    <i t="grand">
      <x/>
    </i>
  </colItems>
  <pageFields count="1">
    <pageField fld="1" hier="-1"/>
  </pageFields>
  <dataFields count="1">
    <dataField name="Cuenta de Es único?" fld="9" subtotal="count" baseField="0" baseItem="0"/>
  </dataFields>
  <formats count="19">
    <format dxfId="19">
      <pivotArea collapsedLevelsAreSubtotals="1" fieldPosition="0">
        <references count="1">
          <reference field="8" count="1">
            <x v="2"/>
          </reference>
        </references>
      </pivotArea>
    </format>
    <format dxfId="18">
      <pivotArea dataOnly="0" labelOnly="1" fieldPosition="0">
        <references count="1">
          <reference field="8" count="1">
            <x v="2"/>
          </reference>
        </references>
      </pivotArea>
    </format>
    <format dxfId="17">
      <pivotArea collapsedLevelsAreSubtotals="1" fieldPosition="0">
        <references count="1">
          <reference field="8" count="1">
            <x v="0"/>
          </reference>
        </references>
      </pivotArea>
    </format>
    <format dxfId="16">
      <pivotArea dataOnly="0" labelOnly="1" fieldPosition="0">
        <references count="1">
          <reference field="8" count="1">
            <x v="0"/>
          </reference>
        </references>
      </pivotArea>
    </format>
    <format dxfId="15">
      <pivotArea collapsedLevelsAreSubtotals="1" fieldPosition="0">
        <references count="1">
          <reference field="8" count="1">
            <x v="8"/>
          </reference>
        </references>
      </pivotArea>
    </format>
    <format dxfId="14">
      <pivotArea dataOnly="0" labelOnly="1" fieldPosition="0">
        <references count="1">
          <reference field="8" count="1">
            <x v="8"/>
          </reference>
        </references>
      </pivotArea>
    </format>
    <format dxfId="13">
      <pivotArea collapsedLevelsAreSubtotals="1" fieldPosition="0">
        <references count="1">
          <reference field="8" count="1">
            <x v="5"/>
          </reference>
        </references>
      </pivotArea>
    </format>
    <format dxfId="12">
      <pivotArea dataOnly="0" labelOnly="1" fieldPosition="0">
        <references count="1">
          <reference field="8" count="1">
            <x v="5"/>
          </reference>
        </references>
      </pivotArea>
    </format>
    <format dxfId="11">
      <pivotArea collapsedLevelsAreSubtotals="1" fieldPosition="0">
        <references count="1">
          <reference field="8" count="1">
            <x v="3"/>
          </reference>
        </references>
      </pivotArea>
    </format>
    <format dxfId="10">
      <pivotArea dataOnly="0" labelOnly="1" fieldPosition="0">
        <references count="1">
          <reference field="8" count="1">
            <x v="3"/>
          </reference>
        </references>
      </pivotArea>
    </format>
    <format dxfId="9">
      <pivotArea collapsedLevelsAreSubtotals="1" fieldPosition="0">
        <references count="1">
          <reference field="8" count="1">
            <x v="11"/>
          </reference>
        </references>
      </pivotArea>
    </format>
    <format dxfId="8">
      <pivotArea dataOnly="0" labelOnly="1" fieldPosition="0">
        <references count="1">
          <reference field="8" count="1">
            <x v="11"/>
          </reference>
        </references>
      </pivotArea>
    </format>
    <format dxfId="7">
      <pivotArea collapsedLevelsAreSubtotals="1" fieldPosition="0">
        <references count="1">
          <reference field="8" count="1">
            <x v="9"/>
          </reference>
        </references>
      </pivotArea>
    </format>
    <format dxfId="6">
      <pivotArea dataOnly="0" labelOnly="1" fieldPosition="0">
        <references count="1">
          <reference field="8" count="1">
            <x v="9"/>
          </reference>
        </references>
      </pivotArea>
    </format>
    <format dxfId="5">
      <pivotArea dataOnly="0" fieldPosition="0">
        <references count="1">
          <reference field="8" count="1">
            <x v="6"/>
          </reference>
        </references>
      </pivotArea>
    </format>
    <format dxfId="4">
      <pivotArea dataOnly="0" fieldPosition="0">
        <references count="1">
          <reference field="8" count="1">
            <x v="7"/>
          </reference>
        </references>
      </pivotArea>
    </format>
    <format dxfId="3">
      <pivotArea dataOnly="0" labelOnly="1" fieldPosition="0">
        <references count="1">
          <reference field="8" count="1">
            <x v="1"/>
          </reference>
        </references>
      </pivotArea>
    </format>
    <format dxfId="2">
      <pivotArea collapsedLevelsAreSubtotals="1" fieldPosition="0">
        <references count="1">
          <reference field="8" count="1">
            <x v="4"/>
          </reference>
        </references>
      </pivotArea>
    </format>
    <format dxfId="1">
      <pivotArea dataOnly="0" labelOnly="1" fieldPosition="0">
        <references count="1">
          <reference field="8"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A124" totalsRowShown="0" headerRowDxfId="48" dataDxfId="47">
  <tableColumns count="27">
    <tableColumn id="1" xr3:uid="{2786F766-7EC7-4929-A38B-218CAA7ACAB8}" name="PROYECTO ID" dataDxfId="46"/>
    <tableColumn id="2" xr3:uid="{8A0409DD-65BD-482C-97E6-5A1B2A1D7899}" name="STOD Ref." dataDxfId="45"/>
    <tableColumn id="3" xr3:uid="{CB6853DA-A890-458E-BC94-CE2E307763D8}" name="Proyecto" dataDxfId="44"/>
    <tableColumn id="4" xr3:uid="{F5663BC1-839C-4C90-AA83-A797A5026BD6}" name="Solicitante ID" dataDxfId="43"/>
    <tableColumn id="5" xr3:uid="{F7227C04-6FF1-4548-9CCF-A803108667A9}" name="Solicitante" dataDxfId="42"/>
    <tableColumn id="6" xr3:uid="{A951CB28-CB6F-4A5D-8EEC-8B33ACEE6466}" name="Etapa ID" dataDxfId="41"/>
    <tableColumn id="7" xr3:uid="{69EAFBAC-8007-4CC3-856F-7A91793E232D}" name="Etapa" dataDxfId="40"/>
    <tableColumn id="8" xr3:uid="{95FD63FC-9720-4E49-B68A-6C5462E274D0}" name="Asignado ID" dataDxfId="39"/>
    <tableColumn id="9" xr3:uid="{3B445657-1C56-4543-A44E-C1178B5F204E}" name="Asignado" dataDxfId="38"/>
    <tableColumn id="10" xr3:uid="{308224E9-C4FA-4F6C-B5E3-0EAE3B4855A2}" name="Es único?" dataDxfId="37"/>
    <tableColumn id="11" xr3:uid="{0083917D-F811-4377-B2A5-6B2ADE87F1E2}" name="Emergente" dataDxfId="36"/>
    <tableColumn id="12" xr3:uid="{7E5CB544-9F8E-4BC1-AE81-B37F123EF5DC}" name="Clasificación ID" dataDxfId="35"/>
    <tableColumn id="13" xr3:uid="{D9E3E47D-A9EA-4CD4-9D11-F3991D3DDDAD}" name="Clasificación" dataDxfId="34"/>
    <tableColumn id="14" xr3:uid="{F3A4F3A1-D52D-471E-973E-FAC4E88580E1}" name="Complejidad ID" dataDxfId="33"/>
    <tableColumn id="15" xr3:uid="{01AFF49D-1936-4817-B52E-211A36718777}" name="Complejidad" dataDxfId="32"/>
    <tableColumn id="16" xr3:uid="{D05B6F1E-441B-445A-BA90-9DFD5A9B8FB2}" name="Importancia ID" dataDxfId="31"/>
    <tableColumn id="17" xr3:uid="{CA342269-6678-4D90-80DE-AB901AB3637A}" name="Importancia" dataDxfId="30"/>
    <tableColumn id="18" xr3:uid="{FDCFE153-02DF-4CCF-AF75-9544B9F4705C}" name="Urgencia ID" dataDxfId="29"/>
    <tableColumn id="19" xr3:uid="{93C597D0-CE9F-40A0-B238-9AA80F0891E4}" name="Urgencia" dataDxfId="28"/>
    <tableColumn id="20" xr3:uid="{52981316-46A3-49F4-B7C6-A374B1679174}" name="Tamaño ID" dataDxfId="27"/>
    <tableColumn id="21" xr3:uid="{447309E0-C722-4E04-9C76-AFCB06011486}" name="Tamaño" dataDxfId="26"/>
    <tableColumn id="22" xr3:uid="{01D5F6F5-50FF-4B20-8D81-3E036FE5D644}" name="Fecha Creación" dataDxfId="25"/>
    <tableColumn id="23" xr3:uid="{600D6F6B-D61E-4CC1-8603-51EB683C8E3C}" name="Fecha Inicio" dataDxfId="24"/>
    <tableColumn id="24" xr3:uid="{555CC918-A6CB-49EC-B83B-469B42327A42}" name="Fecha Informática" dataDxfId="23"/>
    <tableColumn id="25" xr3:uid="{F2903C41-DEFC-45C5-B321-DB7E040FA2A1}" name="Fecha Gerencia" dataDxfId="22"/>
    <tableColumn id="26" xr3:uid="{0FC999DE-FC0B-476C-A1D0-54B994D406C3}" name="Fecha Cierre" dataDxfId="21"/>
    <tableColumn id="27" xr3:uid="{163C71B9-5A30-4AF8-B642-A6D82419E185}" name="Descripción" dataDxfId="2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special" xr10:uid="{D7CE9D6B-9C2E-4D06-9798-830F88A3F66E}" sourceName="fEspecial">
  <state minimalRefreshVersion="6" lastRefreshVersion="6" pivotCacheId="1590167252" filterType="dateBetween">
    <selection startDate="2025-02-01T00:00:00" endDate="2025-12-31T00:00:00"/>
    <bounds startDate="1899-12-3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special" xr10:uid="{208BEA57-209D-43A7-BD39-413C7B77C037}" cache="NativeTimeline_fEspecial" caption="fEspecial" level="2" selectionLevel="2" scrollPosition="2025-05-19T00:00:00"/>
</timelines>
</file>

<file path=xl/worksheets/_rels/sheet1.xml.rels><?xml version="1.0" encoding="UTF-8" standalone="yes"?>
<Relationships xmlns="http://schemas.openxmlformats.org/package/2006/relationships"><Relationship Id="rId2" Type="http://schemas.microsoft.com/office/2011/relationships/timeline" Target="../timelines/timelin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570B5-6EFC-4A58-83D8-EEDDA118F152}">
  <dimension ref="A1"/>
  <sheetViews>
    <sheetView workbookViewId="0">
      <selection activeCell="B3" sqref="B3"/>
    </sheetView>
  </sheetViews>
  <sheetFormatPr baseColWidth="10" defaultRowHeight="15" x14ac:dyDescent="0.25"/>
  <sheetData/>
  <pageMargins left="0.7" right="0.7" top="0.75" bottom="0.75" header="0.3" footer="0.3"/>
  <drawing r:id="rId1"/>
  <extLst>
    <ext xmlns:x15="http://schemas.microsoft.com/office/spreadsheetml/2010/11/main" uri="{7E03D99C-DC04-49d9-9315-930204A7B6E9}">
      <x15:timelineRefs>
        <x15:timelineRef r:id="rId2"/>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249977111117893"/>
  </sheetPr>
  <dimension ref="A1:AA124"/>
  <sheetViews>
    <sheetView showGridLines="0" tabSelected="1" topLeftCell="A2" zoomScaleNormal="100" workbookViewId="0">
      <selection activeCell="D2" sqref="D2"/>
    </sheetView>
  </sheetViews>
  <sheetFormatPr baseColWidth="10" defaultColWidth="11.42578125" defaultRowHeight="15" x14ac:dyDescent="0.25"/>
  <cols>
    <col min="1" max="3" width="1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27" x14ac:dyDescent="0.25">
      <c r="A1" t="s">
        <v>37</v>
      </c>
      <c r="B1" s="12" t="s">
        <v>4</v>
      </c>
      <c r="C1" s="7" t="s">
        <v>5</v>
      </c>
      <c r="D1" t="s">
        <v>6</v>
      </c>
      <c r="E1" s="8" t="s">
        <v>7</v>
      </c>
      <c r="F1" s="12" t="s">
        <v>8</v>
      </c>
      <c r="G1" s="13" t="s">
        <v>9</v>
      </c>
      <c r="H1" s="12" t="s">
        <v>10</v>
      </c>
      <c r="I1" s="6" t="s">
        <v>11</v>
      </c>
      <c r="J1" s="2" t="s">
        <v>12</v>
      </c>
      <c r="K1" s="7" t="s">
        <v>13</v>
      </c>
      <c r="L1" s="2" t="s">
        <v>14</v>
      </c>
      <c r="M1" s="6" t="s">
        <v>15</v>
      </c>
      <c r="N1" s="12" t="s">
        <v>16</v>
      </c>
      <c r="O1" s="13" t="s">
        <v>17</v>
      </c>
      <c r="P1" s="6" t="s">
        <v>18</v>
      </c>
      <c r="Q1" s="8" t="s">
        <v>19</v>
      </c>
      <c r="R1" s="12" t="s">
        <v>20</v>
      </c>
      <c r="S1" s="13" t="s">
        <v>21</v>
      </c>
      <c r="T1" s="12" t="s">
        <v>22</v>
      </c>
      <c r="U1" s="8" t="s">
        <v>23</v>
      </c>
      <c r="V1" s="2" t="s">
        <v>24</v>
      </c>
      <c r="W1" s="2" t="s">
        <v>25</v>
      </c>
      <c r="X1" s="2" t="s">
        <v>26</v>
      </c>
      <c r="Y1" s="2" t="s">
        <v>27</v>
      </c>
      <c r="Z1" s="2" t="s">
        <v>28</v>
      </c>
      <c r="AA1" t="s">
        <v>29</v>
      </c>
    </row>
    <row r="2" spans="1:27" x14ac:dyDescent="0.25">
      <c r="A2" s="12">
        <v>8392</v>
      </c>
      <c r="B2" s="12">
        <v>275</v>
      </c>
      <c r="C2" t="s">
        <v>41</v>
      </c>
      <c r="D2">
        <v>247828</v>
      </c>
      <c r="E2" s="8" t="s">
        <v>42</v>
      </c>
      <c r="F2" s="12">
        <v>30</v>
      </c>
      <c r="G2" s="8" t="s">
        <v>43</v>
      </c>
      <c r="H2" s="12">
        <v>3233</v>
      </c>
      <c r="I2" t="s">
        <v>44</v>
      </c>
      <c r="J2" t="s">
        <v>45</v>
      </c>
      <c r="N2" s="12"/>
      <c r="O2" s="8"/>
      <c r="P2">
        <v>1</v>
      </c>
      <c r="Q2" s="8">
        <v>1</v>
      </c>
      <c r="R2" s="12">
        <v>1</v>
      </c>
      <c r="S2" s="8">
        <v>1</v>
      </c>
      <c r="T2" s="12"/>
      <c r="U2" s="8"/>
      <c r="V2" s="2">
        <v>45658</v>
      </c>
      <c r="W2" s="2">
        <v>1</v>
      </c>
      <c r="X2" s="2">
        <v>45688</v>
      </c>
      <c r="Y2" s="2">
        <v>45688</v>
      </c>
      <c r="Z2" s="2"/>
      <c r="AA2" t="s">
        <v>46</v>
      </c>
    </row>
    <row r="3" spans="1:27" x14ac:dyDescent="0.25">
      <c r="A3" s="12">
        <v>8248</v>
      </c>
      <c r="B3" s="12">
        <v>277</v>
      </c>
      <c r="C3" t="s">
        <v>239</v>
      </c>
      <c r="D3">
        <v>247857</v>
      </c>
      <c r="E3" s="8" t="s">
        <v>61</v>
      </c>
      <c r="F3" s="12">
        <v>21</v>
      </c>
      <c r="G3" s="8" t="s">
        <v>68</v>
      </c>
      <c r="H3" s="12">
        <v>3198</v>
      </c>
      <c r="I3" t="s">
        <v>52</v>
      </c>
      <c r="J3" t="s">
        <v>45</v>
      </c>
      <c r="N3" s="12"/>
      <c r="O3" s="8"/>
      <c r="P3">
        <v>1</v>
      </c>
      <c r="Q3" s="8">
        <v>1</v>
      </c>
      <c r="R3" s="12">
        <v>2</v>
      </c>
      <c r="S3" s="8">
        <v>2</v>
      </c>
      <c r="T3" s="12"/>
      <c r="U3" s="8"/>
      <c r="V3" s="2">
        <v>45658</v>
      </c>
      <c r="W3" s="2">
        <v>1</v>
      </c>
      <c r="X3" s="2">
        <v>45688</v>
      </c>
      <c r="Y3" s="2">
        <v>45688</v>
      </c>
      <c r="Z3" s="2"/>
      <c r="AA3" t="s">
        <v>192</v>
      </c>
    </row>
    <row r="4" spans="1:27" x14ac:dyDescent="0.25">
      <c r="A4" s="12">
        <v>8395</v>
      </c>
      <c r="B4" s="12">
        <v>278</v>
      </c>
      <c r="C4" t="s">
        <v>47</v>
      </c>
      <c r="D4">
        <v>247828</v>
      </c>
      <c r="E4" s="8" t="s">
        <v>42</v>
      </c>
      <c r="F4" s="12">
        <v>30</v>
      </c>
      <c r="G4" s="8" t="s">
        <v>43</v>
      </c>
      <c r="H4" s="12">
        <v>3233</v>
      </c>
      <c r="I4" t="s">
        <v>44</v>
      </c>
      <c r="J4" t="s">
        <v>45</v>
      </c>
      <c r="K4" t="b">
        <v>1</v>
      </c>
      <c r="N4" s="12"/>
      <c r="O4" s="8"/>
      <c r="P4">
        <v>1</v>
      </c>
      <c r="Q4" s="8">
        <v>1</v>
      </c>
      <c r="R4" s="12">
        <v>3</v>
      </c>
      <c r="S4" s="8">
        <v>3</v>
      </c>
      <c r="T4" s="12"/>
      <c r="U4" s="8"/>
      <c r="V4" s="2">
        <v>45658</v>
      </c>
      <c r="W4" s="2">
        <v>1</v>
      </c>
      <c r="X4" s="2">
        <v>45685</v>
      </c>
      <c r="Y4" s="2">
        <v>45716</v>
      </c>
      <c r="Z4" s="2"/>
      <c r="AA4" t="s">
        <v>48</v>
      </c>
    </row>
    <row r="5" spans="1:27" x14ac:dyDescent="0.25">
      <c r="A5" s="12">
        <v>8250</v>
      </c>
      <c r="B5" s="12">
        <v>279</v>
      </c>
      <c r="C5" t="s">
        <v>240</v>
      </c>
      <c r="E5" s="8"/>
      <c r="F5" s="12">
        <v>29</v>
      </c>
      <c r="G5" s="8" t="s">
        <v>153</v>
      </c>
      <c r="H5" s="12">
        <v>3198</v>
      </c>
      <c r="I5" t="s">
        <v>52</v>
      </c>
      <c r="J5" t="s">
        <v>45</v>
      </c>
      <c r="N5" s="12"/>
      <c r="O5" s="8"/>
      <c r="P5">
        <v>1</v>
      </c>
      <c r="Q5" s="8">
        <v>1</v>
      </c>
      <c r="R5" s="12">
        <v>3</v>
      </c>
      <c r="S5" s="8">
        <v>3</v>
      </c>
      <c r="T5" s="12"/>
      <c r="U5" s="8"/>
      <c r="V5" s="2">
        <v>45658</v>
      </c>
      <c r="W5" s="2">
        <v>1</v>
      </c>
      <c r="X5" s="2">
        <v>45716</v>
      </c>
      <c r="Y5" s="2">
        <v>45716</v>
      </c>
      <c r="Z5" s="2"/>
    </row>
    <row r="6" spans="1:27" x14ac:dyDescent="0.25">
      <c r="A6" s="12">
        <v>8396</v>
      </c>
      <c r="B6" s="12">
        <v>280</v>
      </c>
      <c r="C6" t="s">
        <v>49</v>
      </c>
      <c r="D6">
        <v>247541</v>
      </c>
      <c r="E6" s="8" t="s">
        <v>50</v>
      </c>
      <c r="F6" s="12">
        <v>28</v>
      </c>
      <c r="G6" s="8" t="s">
        <v>51</v>
      </c>
      <c r="H6" s="12">
        <v>3198</v>
      </c>
      <c r="I6" t="s">
        <v>52</v>
      </c>
      <c r="J6" t="s">
        <v>45</v>
      </c>
      <c r="N6" s="12"/>
      <c r="O6" s="8"/>
      <c r="P6">
        <v>3</v>
      </c>
      <c r="Q6" s="8">
        <v>3</v>
      </c>
      <c r="R6" s="12">
        <v>3</v>
      </c>
      <c r="S6" s="8">
        <v>3</v>
      </c>
      <c r="T6" s="12"/>
      <c r="U6" s="8"/>
      <c r="V6" s="2">
        <v>45658</v>
      </c>
      <c r="W6" s="2">
        <v>1</v>
      </c>
      <c r="X6" s="2">
        <v>45744</v>
      </c>
      <c r="Y6" s="2">
        <v>45744</v>
      </c>
      <c r="Z6" s="2"/>
      <c r="AA6" t="s">
        <v>53</v>
      </c>
    </row>
    <row r="7" spans="1:27" x14ac:dyDescent="0.25">
      <c r="A7" s="12">
        <v>8397</v>
      </c>
      <c r="B7" s="12">
        <v>281</v>
      </c>
      <c r="C7" t="s">
        <v>54</v>
      </c>
      <c r="D7">
        <v>247795</v>
      </c>
      <c r="E7" s="8" t="s">
        <v>55</v>
      </c>
      <c r="F7" s="12">
        <v>28</v>
      </c>
      <c r="G7" s="8" t="s">
        <v>51</v>
      </c>
      <c r="H7" s="12">
        <v>3233</v>
      </c>
      <c r="I7" t="s">
        <v>44</v>
      </c>
      <c r="J7" t="s">
        <v>45</v>
      </c>
      <c r="N7" s="12"/>
      <c r="O7" s="8"/>
      <c r="P7">
        <v>1</v>
      </c>
      <c r="Q7" s="8">
        <v>1</v>
      </c>
      <c r="R7" s="12">
        <v>1</v>
      </c>
      <c r="S7" s="8">
        <v>1</v>
      </c>
      <c r="T7" s="12"/>
      <c r="U7" s="8"/>
      <c r="V7" s="2">
        <v>45658</v>
      </c>
      <c r="W7" s="2">
        <v>1</v>
      </c>
      <c r="X7" s="2">
        <v>45744</v>
      </c>
      <c r="Y7" s="2">
        <v>45744</v>
      </c>
      <c r="Z7" s="2"/>
      <c r="AA7" t="s">
        <v>56</v>
      </c>
    </row>
    <row r="8" spans="1:27" x14ac:dyDescent="0.25">
      <c r="A8" s="12">
        <v>8398</v>
      </c>
      <c r="B8" s="12">
        <v>282</v>
      </c>
      <c r="C8" t="s">
        <v>57</v>
      </c>
      <c r="D8">
        <v>247556</v>
      </c>
      <c r="E8" s="8" t="s">
        <v>58</v>
      </c>
      <c r="F8" s="12">
        <v>28</v>
      </c>
      <c r="G8" s="8" t="s">
        <v>51</v>
      </c>
      <c r="H8" s="12">
        <v>3233</v>
      </c>
      <c r="I8" t="s">
        <v>44</v>
      </c>
      <c r="J8" t="s">
        <v>45</v>
      </c>
      <c r="N8" s="12"/>
      <c r="O8" s="8"/>
      <c r="P8">
        <v>1</v>
      </c>
      <c r="Q8" s="8">
        <v>1</v>
      </c>
      <c r="R8" s="12">
        <v>3</v>
      </c>
      <c r="S8" s="8">
        <v>3</v>
      </c>
      <c r="T8" s="12"/>
      <c r="U8" s="8"/>
      <c r="V8" s="2">
        <v>45658</v>
      </c>
      <c r="W8" s="2">
        <v>1</v>
      </c>
      <c r="X8" s="2">
        <v>45716</v>
      </c>
      <c r="Y8" s="2">
        <v>45716</v>
      </c>
      <c r="Z8" s="2"/>
      <c r="AA8" t="s">
        <v>59</v>
      </c>
    </row>
    <row r="9" spans="1:27" x14ac:dyDescent="0.25">
      <c r="A9" s="12">
        <v>8399</v>
      </c>
      <c r="B9" s="12">
        <v>283</v>
      </c>
      <c r="C9" t="s">
        <v>60</v>
      </c>
      <c r="D9">
        <v>247857</v>
      </c>
      <c r="E9" s="8" t="s">
        <v>61</v>
      </c>
      <c r="F9" s="12">
        <v>28</v>
      </c>
      <c r="G9" s="8" t="s">
        <v>51</v>
      </c>
      <c r="H9" s="12"/>
      <c r="J9" t="s">
        <v>45</v>
      </c>
      <c r="N9" s="12"/>
      <c r="O9" s="8"/>
      <c r="P9">
        <v>1</v>
      </c>
      <c r="Q9" s="8">
        <v>1</v>
      </c>
      <c r="R9" s="12">
        <v>2</v>
      </c>
      <c r="S9" s="8">
        <v>2</v>
      </c>
      <c r="T9" s="12"/>
      <c r="U9" s="8"/>
      <c r="V9" s="2">
        <v>45658</v>
      </c>
      <c r="W9" s="2">
        <v>1</v>
      </c>
      <c r="X9" s="2">
        <v>45688</v>
      </c>
      <c r="Y9" s="2">
        <v>45688</v>
      </c>
      <c r="Z9" s="2"/>
      <c r="AA9" t="s">
        <v>62</v>
      </c>
    </row>
    <row r="10" spans="1:27" x14ac:dyDescent="0.25">
      <c r="A10" s="12">
        <v>8400</v>
      </c>
      <c r="B10" s="12">
        <v>284</v>
      </c>
      <c r="C10" t="s">
        <v>63</v>
      </c>
      <c r="D10">
        <v>247885</v>
      </c>
      <c r="E10" s="8" t="s">
        <v>64</v>
      </c>
      <c r="F10" s="12">
        <v>28</v>
      </c>
      <c r="G10" s="8" t="s">
        <v>51</v>
      </c>
      <c r="H10" s="12">
        <v>3233</v>
      </c>
      <c r="I10" t="s">
        <v>44</v>
      </c>
      <c r="J10" t="s">
        <v>45</v>
      </c>
      <c r="N10" s="12"/>
      <c r="O10" s="8"/>
      <c r="P10">
        <v>1</v>
      </c>
      <c r="Q10" s="8">
        <v>1</v>
      </c>
      <c r="R10" s="12">
        <v>1</v>
      </c>
      <c r="S10" s="8">
        <v>1</v>
      </c>
      <c r="T10" s="12"/>
      <c r="U10" s="8"/>
      <c r="V10" s="2">
        <v>45658</v>
      </c>
      <c r="W10" s="2">
        <v>1</v>
      </c>
      <c r="X10" s="2">
        <v>45777</v>
      </c>
      <c r="Y10" s="2">
        <v>45777</v>
      </c>
      <c r="Z10" s="2"/>
      <c r="AA10" t="s">
        <v>65</v>
      </c>
    </row>
    <row r="11" spans="1:27" x14ac:dyDescent="0.25">
      <c r="A11" s="12">
        <v>8401</v>
      </c>
      <c r="B11" s="12">
        <v>285</v>
      </c>
      <c r="C11" t="s">
        <v>66</v>
      </c>
      <c r="D11">
        <v>247277</v>
      </c>
      <c r="E11" s="8" t="s">
        <v>67</v>
      </c>
      <c r="F11" s="12">
        <v>21</v>
      </c>
      <c r="G11" s="8" t="s">
        <v>68</v>
      </c>
      <c r="H11" s="12">
        <v>3233</v>
      </c>
      <c r="I11" t="s">
        <v>44</v>
      </c>
      <c r="J11" t="s">
        <v>45</v>
      </c>
      <c r="N11" s="12"/>
      <c r="O11" s="8"/>
      <c r="P11">
        <v>1</v>
      </c>
      <c r="Q11" s="8">
        <v>1</v>
      </c>
      <c r="R11" s="12">
        <v>1</v>
      </c>
      <c r="S11" s="8">
        <v>1</v>
      </c>
      <c r="T11" s="12"/>
      <c r="U11" s="8"/>
      <c r="V11" s="2">
        <v>45658</v>
      </c>
      <c r="W11" s="2">
        <v>1</v>
      </c>
      <c r="X11" s="2">
        <v>45688</v>
      </c>
      <c r="Y11" s="2">
        <v>45688</v>
      </c>
      <c r="Z11" s="2"/>
      <c r="AA11" t="s">
        <v>69</v>
      </c>
    </row>
    <row r="12" spans="1:27" x14ac:dyDescent="0.25">
      <c r="A12" s="12">
        <v>8402</v>
      </c>
      <c r="B12" s="12">
        <v>286</v>
      </c>
      <c r="C12" t="s">
        <v>70</v>
      </c>
      <c r="D12">
        <v>247795</v>
      </c>
      <c r="E12" s="8" t="s">
        <v>55</v>
      </c>
      <c r="F12" s="12">
        <v>28</v>
      </c>
      <c r="G12" s="8" t="s">
        <v>51</v>
      </c>
      <c r="H12" s="12"/>
      <c r="J12" t="s">
        <v>45</v>
      </c>
      <c r="N12" s="12"/>
      <c r="O12" s="8"/>
      <c r="P12">
        <v>2</v>
      </c>
      <c r="Q12" s="8">
        <v>2</v>
      </c>
      <c r="R12" s="12">
        <v>2</v>
      </c>
      <c r="S12" s="8">
        <v>2</v>
      </c>
      <c r="T12" s="12"/>
      <c r="U12" s="8"/>
      <c r="V12" s="2">
        <v>45658</v>
      </c>
      <c r="W12" s="2">
        <v>1</v>
      </c>
      <c r="X12" s="2">
        <v>45716</v>
      </c>
      <c r="Y12" s="2">
        <v>45716</v>
      </c>
      <c r="Z12" s="2"/>
      <c r="AA12" t="s">
        <v>71</v>
      </c>
    </row>
    <row r="13" spans="1:27" x14ac:dyDescent="0.25">
      <c r="A13" s="12">
        <v>8403</v>
      </c>
      <c r="B13" s="12">
        <v>287</v>
      </c>
      <c r="C13" t="s">
        <v>72</v>
      </c>
      <c r="D13">
        <v>289004</v>
      </c>
      <c r="E13" s="8" t="s">
        <v>58</v>
      </c>
      <c r="F13" s="12">
        <v>28</v>
      </c>
      <c r="G13" s="8" t="s">
        <v>51</v>
      </c>
      <c r="H13" s="12"/>
      <c r="J13" t="s">
        <v>45</v>
      </c>
      <c r="N13" s="12"/>
      <c r="O13" s="8"/>
      <c r="P13">
        <v>2</v>
      </c>
      <c r="Q13" s="8">
        <v>2</v>
      </c>
      <c r="R13" s="12">
        <v>2</v>
      </c>
      <c r="S13" s="8">
        <v>2</v>
      </c>
      <c r="T13" s="12"/>
      <c r="U13" s="8"/>
      <c r="V13" s="2">
        <v>45658</v>
      </c>
      <c r="W13" s="2">
        <v>1</v>
      </c>
      <c r="X13" s="2">
        <v>45716</v>
      </c>
      <c r="Y13" s="2">
        <v>45716</v>
      </c>
      <c r="Z13" s="2"/>
      <c r="AA13" t="s">
        <v>73</v>
      </c>
    </row>
    <row r="14" spans="1:27" x14ac:dyDescent="0.25">
      <c r="A14" s="12">
        <v>8404</v>
      </c>
      <c r="B14" s="12">
        <v>288</v>
      </c>
      <c r="C14" t="s">
        <v>74</v>
      </c>
      <c r="D14">
        <v>289006</v>
      </c>
      <c r="E14" s="8" t="s">
        <v>75</v>
      </c>
      <c r="F14" s="12">
        <v>22</v>
      </c>
      <c r="G14" s="8" t="s">
        <v>76</v>
      </c>
      <c r="H14" s="12">
        <v>195</v>
      </c>
      <c r="I14" t="s">
        <v>77</v>
      </c>
      <c r="J14" t="s">
        <v>45</v>
      </c>
      <c r="K14" t="b">
        <v>1</v>
      </c>
      <c r="N14" s="12"/>
      <c r="O14" s="8"/>
      <c r="P14">
        <v>1</v>
      </c>
      <c r="Q14" s="8">
        <v>1</v>
      </c>
      <c r="R14" s="12">
        <v>1</v>
      </c>
      <c r="S14" s="8">
        <v>1</v>
      </c>
      <c r="T14" s="12"/>
      <c r="U14" s="8"/>
      <c r="V14" s="2">
        <v>45658</v>
      </c>
      <c r="W14" s="2">
        <v>1</v>
      </c>
      <c r="X14" s="2">
        <v>45688</v>
      </c>
      <c r="Y14" s="2">
        <v>45744</v>
      </c>
      <c r="Z14" s="2"/>
      <c r="AA14" t="s">
        <v>78</v>
      </c>
    </row>
    <row r="15" spans="1:27" x14ac:dyDescent="0.25">
      <c r="A15" s="12">
        <v>8405</v>
      </c>
      <c r="B15" s="12">
        <v>289</v>
      </c>
      <c r="C15" t="s">
        <v>79</v>
      </c>
      <c r="D15">
        <v>247729</v>
      </c>
      <c r="E15" s="8" t="s">
        <v>80</v>
      </c>
      <c r="F15" s="12">
        <v>28</v>
      </c>
      <c r="G15" s="8" t="s">
        <v>51</v>
      </c>
      <c r="H15" s="12"/>
      <c r="J15" t="s">
        <v>45</v>
      </c>
      <c r="N15" s="12"/>
      <c r="O15" s="8"/>
      <c r="P15">
        <v>3</v>
      </c>
      <c r="Q15" s="8">
        <v>3</v>
      </c>
      <c r="R15" s="12">
        <v>3</v>
      </c>
      <c r="S15" s="8">
        <v>3</v>
      </c>
      <c r="T15" s="12"/>
      <c r="U15" s="8"/>
      <c r="V15" s="2">
        <v>45658</v>
      </c>
      <c r="W15" s="2">
        <v>1</v>
      </c>
      <c r="X15" s="2">
        <v>45744</v>
      </c>
      <c r="Y15" s="2">
        <v>45744</v>
      </c>
      <c r="Z15" s="2"/>
      <c r="AA15" t="s">
        <v>81</v>
      </c>
    </row>
    <row r="16" spans="1:27" x14ac:dyDescent="0.25">
      <c r="A16" s="12">
        <v>8406</v>
      </c>
      <c r="B16" s="12">
        <v>291</v>
      </c>
      <c r="C16" t="s">
        <v>82</v>
      </c>
      <c r="D16">
        <v>247393</v>
      </c>
      <c r="E16" s="8" t="s">
        <v>83</v>
      </c>
      <c r="F16" s="12">
        <v>28</v>
      </c>
      <c r="G16" s="8" t="s">
        <v>51</v>
      </c>
      <c r="H16" s="12"/>
      <c r="J16" t="s">
        <v>45</v>
      </c>
      <c r="N16" s="12"/>
      <c r="O16" s="8"/>
      <c r="P16">
        <v>3</v>
      </c>
      <c r="Q16" s="8">
        <v>3</v>
      </c>
      <c r="R16" s="12">
        <v>3</v>
      </c>
      <c r="S16" s="8">
        <v>3</v>
      </c>
      <c r="T16" s="12"/>
      <c r="U16" s="8"/>
      <c r="V16" s="2">
        <v>45658</v>
      </c>
      <c r="W16" s="2">
        <v>1</v>
      </c>
      <c r="X16" s="2">
        <v>45761</v>
      </c>
      <c r="Y16" s="2">
        <v>45761</v>
      </c>
      <c r="Z16" s="2"/>
      <c r="AA16" t="s">
        <v>84</v>
      </c>
    </row>
    <row r="17" spans="1:27" x14ac:dyDescent="0.25">
      <c r="A17" s="12">
        <v>8407</v>
      </c>
      <c r="B17" s="12">
        <v>293</v>
      </c>
      <c r="C17" t="s">
        <v>85</v>
      </c>
      <c r="D17">
        <v>247795</v>
      </c>
      <c r="E17" s="8" t="s">
        <v>55</v>
      </c>
      <c r="F17" s="12">
        <v>28</v>
      </c>
      <c r="G17" s="8" t="s">
        <v>51</v>
      </c>
      <c r="H17" s="12"/>
      <c r="J17" t="s">
        <v>45</v>
      </c>
      <c r="N17" s="12"/>
      <c r="O17" s="8"/>
      <c r="P17">
        <v>2</v>
      </c>
      <c r="Q17" s="8">
        <v>2</v>
      </c>
      <c r="R17" s="12">
        <v>2</v>
      </c>
      <c r="S17" s="8">
        <v>2</v>
      </c>
      <c r="T17" s="12"/>
      <c r="U17" s="8"/>
      <c r="V17" s="2">
        <v>45658</v>
      </c>
      <c r="W17" s="2">
        <v>1</v>
      </c>
      <c r="X17" s="2">
        <v>45744</v>
      </c>
      <c r="Y17" s="2">
        <v>45775</v>
      </c>
      <c r="Z17" s="2"/>
      <c r="AA17" t="s">
        <v>86</v>
      </c>
    </row>
    <row r="18" spans="1:27" x14ac:dyDescent="0.25">
      <c r="A18" s="12">
        <v>8408</v>
      </c>
      <c r="B18" s="12">
        <v>294</v>
      </c>
      <c r="C18" t="s">
        <v>87</v>
      </c>
      <c r="D18">
        <v>247795</v>
      </c>
      <c r="E18" s="8" t="s">
        <v>55</v>
      </c>
      <c r="F18" s="12">
        <v>28</v>
      </c>
      <c r="G18" s="8" t="s">
        <v>51</v>
      </c>
      <c r="H18" s="12"/>
      <c r="J18" t="s">
        <v>45</v>
      </c>
      <c r="N18" s="12"/>
      <c r="O18" s="8"/>
      <c r="P18">
        <v>1</v>
      </c>
      <c r="Q18" s="8">
        <v>1</v>
      </c>
      <c r="R18" s="12">
        <v>2</v>
      </c>
      <c r="S18" s="8">
        <v>2</v>
      </c>
      <c r="T18" s="12"/>
      <c r="U18" s="8"/>
      <c r="V18" s="2">
        <v>45658</v>
      </c>
      <c r="W18" s="2">
        <v>1</v>
      </c>
      <c r="X18" s="2">
        <v>45761</v>
      </c>
      <c r="Y18" s="2">
        <v>45791</v>
      </c>
      <c r="Z18" s="2"/>
      <c r="AA18" t="s">
        <v>88</v>
      </c>
    </row>
    <row r="19" spans="1:27" x14ac:dyDescent="0.25">
      <c r="A19" s="12">
        <v>8263</v>
      </c>
      <c r="B19" s="12">
        <v>296</v>
      </c>
      <c r="C19" t="s">
        <v>241</v>
      </c>
      <c r="E19" s="8"/>
      <c r="F19" s="12">
        <v>29</v>
      </c>
      <c r="G19" s="8" t="s">
        <v>153</v>
      </c>
      <c r="H19" s="12">
        <v>3202</v>
      </c>
      <c r="I19" t="s">
        <v>162</v>
      </c>
      <c r="J19" t="s">
        <v>45</v>
      </c>
      <c r="N19" s="12"/>
      <c r="O19" s="8"/>
      <c r="P19">
        <v>3</v>
      </c>
      <c r="Q19" s="8">
        <v>3</v>
      </c>
      <c r="R19" s="12">
        <v>1</v>
      </c>
      <c r="S19" s="8">
        <v>1</v>
      </c>
      <c r="T19" s="12"/>
      <c r="U19" s="8"/>
      <c r="V19" s="2">
        <v>45658</v>
      </c>
      <c r="W19" s="2">
        <v>1</v>
      </c>
      <c r="X19" s="2">
        <v>45730</v>
      </c>
      <c r="Y19" s="2">
        <v>45761</v>
      </c>
      <c r="Z19" s="2"/>
    </row>
    <row r="20" spans="1:27" x14ac:dyDescent="0.25">
      <c r="A20" s="12">
        <v>8333</v>
      </c>
      <c r="B20" s="12">
        <v>297</v>
      </c>
      <c r="C20" t="s">
        <v>242</v>
      </c>
      <c r="D20">
        <v>289006</v>
      </c>
      <c r="E20" s="8" t="s">
        <v>75</v>
      </c>
      <c r="F20" s="12">
        <v>30</v>
      </c>
      <c r="G20" s="8" t="s">
        <v>43</v>
      </c>
      <c r="H20" s="12">
        <v>195</v>
      </c>
      <c r="I20" t="s">
        <v>77</v>
      </c>
      <c r="J20" t="s">
        <v>45</v>
      </c>
      <c r="N20" s="12"/>
      <c r="O20" s="8"/>
      <c r="P20">
        <v>1</v>
      </c>
      <c r="Q20" s="8">
        <v>1</v>
      </c>
      <c r="R20" s="12">
        <v>1</v>
      </c>
      <c r="S20" s="8">
        <v>1</v>
      </c>
      <c r="T20" s="12"/>
      <c r="U20" s="8"/>
      <c r="V20" s="2">
        <v>45658</v>
      </c>
      <c r="W20" s="2">
        <v>1</v>
      </c>
      <c r="X20" s="2">
        <v>45702</v>
      </c>
      <c r="Y20" s="2">
        <v>45702</v>
      </c>
      <c r="Z20" s="2"/>
    </row>
    <row r="21" spans="1:27" x14ac:dyDescent="0.25">
      <c r="A21" s="12">
        <v>8259</v>
      </c>
      <c r="B21" s="12">
        <v>298</v>
      </c>
      <c r="C21" t="s">
        <v>243</v>
      </c>
      <c r="D21">
        <v>247002</v>
      </c>
      <c r="E21" s="8" t="s">
        <v>163</v>
      </c>
      <c r="F21" s="12">
        <v>22</v>
      </c>
      <c r="G21" s="8" t="s">
        <v>76</v>
      </c>
      <c r="H21" s="12">
        <v>3202</v>
      </c>
      <c r="I21" t="s">
        <v>162</v>
      </c>
      <c r="J21" t="s">
        <v>45</v>
      </c>
      <c r="N21" s="12"/>
      <c r="O21" s="8"/>
      <c r="P21">
        <v>1</v>
      </c>
      <c r="Q21" s="8">
        <v>1</v>
      </c>
      <c r="R21" s="12">
        <v>1</v>
      </c>
      <c r="S21" s="8">
        <v>1</v>
      </c>
      <c r="T21" s="12"/>
      <c r="U21" s="8"/>
      <c r="V21" s="2">
        <v>45658</v>
      </c>
      <c r="W21" s="2">
        <v>1</v>
      </c>
      <c r="X21" s="2">
        <v>45691</v>
      </c>
      <c r="Y21" s="2">
        <v>45688</v>
      </c>
      <c r="Z21" s="2"/>
    </row>
    <row r="22" spans="1:27" x14ac:dyDescent="0.25">
      <c r="A22" s="12">
        <v>8410</v>
      </c>
      <c r="B22" s="12">
        <v>300</v>
      </c>
      <c r="C22" t="s">
        <v>89</v>
      </c>
      <c r="D22">
        <v>293171</v>
      </c>
      <c r="E22" s="8" t="s">
        <v>90</v>
      </c>
      <c r="F22" s="12">
        <v>21</v>
      </c>
      <c r="G22" s="8" t="s">
        <v>68</v>
      </c>
      <c r="H22" s="12">
        <v>195</v>
      </c>
      <c r="I22" t="s">
        <v>77</v>
      </c>
      <c r="J22" t="s">
        <v>45</v>
      </c>
      <c r="K22" t="b">
        <v>1</v>
      </c>
      <c r="N22" s="12"/>
      <c r="O22" s="8"/>
      <c r="P22">
        <v>1</v>
      </c>
      <c r="Q22" s="8">
        <v>1</v>
      </c>
      <c r="R22" s="12">
        <v>2</v>
      </c>
      <c r="S22" s="8">
        <v>2</v>
      </c>
      <c r="T22" s="12"/>
      <c r="U22" s="8"/>
      <c r="V22" s="2">
        <v>45658</v>
      </c>
      <c r="W22" s="2">
        <v>1</v>
      </c>
      <c r="X22" s="2">
        <v>45726</v>
      </c>
      <c r="Y22" s="2">
        <v>45726</v>
      </c>
      <c r="Z22" s="2"/>
      <c r="AA22" t="s">
        <v>91</v>
      </c>
    </row>
    <row r="23" spans="1:27" x14ac:dyDescent="0.25">
      <c r="A23" s="12">
        <v>8264</v>
      </c>
      <c r="B23" s="12">
        <v>301</v>
      </c>
      <c r="C23" t="s">
        <v>244</v>
      </c>
      <c r="E23" s="8"/>
      <c r="F23" s="12">
        <v>29</v>
      </c>
      <c r="G23" s="8" t="s">
        <v>153</v>
      </c>
      <c r="H23" s="12">
        <v>3202</v>
      </c>
      <c r="I23" t="s">
        <v>162</v>
      </c>
      <c r="J23" t="s">
        <v>45</v>
      </c>
      <c r="N23" s="12"/>
      <c r="O23" s="8"/>
      <c r="P23">
        <v>3</v>
      </c>
      <c r="Q23" s="8">
        <v>3</v>
      </c>
      <c r="R23" s="12">
        <v>3</v>
      </c>
      <c r="S23" s="8">
        <v>3</v>
      </c>
      <c r="T23" s="12"/>
      <c r="U23" s="8"/>
      <c r="V23" s="2">
        <v>45658</v>
      </c>
      <c r="W23" s="2">
        <v>1</v>
      </c>
      <c r="X23" s="2">
        <v>45744</v>
      </c>
      <c r="Y23" s="2">
        <v>45791</v>
      </c>
      <c r="Z23" s="2"/>
    </row>
    <row r="24" spans="1:27" x14ac:dyDescent="0.25">
      <c r="A24" s="12">
        <v>8262</v>
      </c>
      <c r="B24" s="12">
        <v>302</v>
      </c>
      <c r="C24" t="s">
        <v>245</v>
      </c>
      <c r="E24" s="8"/>
      <c r="F24" s="12">
        <v>29</v>
      </c>
      <c r="G24" s="8" t="s">
        <v>153</v>
      </c>
      <c r="H24" s="12">
        <v>3202</v>
      </c>
      <c r="I24" t="s">
        <v>162</v>
      </c>
      <c r="J24" t="s">
        <v>45</v>
      </c>
      <c r="N24" s="12"/>
      <c r="O24" s="8"/>
      <c r="P24">
        <v>3</v>
      </c>
      <c r="Q24" s="8">
        <v>3</v>
      </c>
      <c r="R24" s="12">
        <v>1</v>
      </c>
      <c r="S24" s="8">
        <v>1</v>
      </c>
      <c r="T24" s="12"/>
      <c r="U24" s="8"/>
      <c r="V24" s="2">
        <v>45658</v>
      </c>
      <c r="W24" s="2">
        <v>1</v>
      </c>
      <c r="X24" s="2">
        <v>45716</v>
      </c>
      <c r="Y24" s="2">
        <v>45726</v>
      </c>
      <c r="Z24" s="2"/>
    </row>
    <row r="25" spans="1:27" x14ac:dyDescent="0.25">
      <c r="A25" s="12">
        <v>8261</v>
      </c>
      <c r="B25" s="12">
        <v>304</v>
      </c>
      <c r="C25" t="s">
        <v>246</v>
      </c>
      <c r="D25">
        <v>247795</v>
      </c>
      <c r="E25" s="8" t="s">
        <v>55</v>
      </c>
      <c r="F25" s="12">
        <v>21</v>
      </c>
      <c r="G25" s="8" t="s">
        <v>68</v>
      </c>
      <c r="H25" s="12">
        <v>3202</v>
      </c>
      <c r="I25" t="s">
        <v>162</v>
      </c>
      <c r="J25" t="s">
        <v>45</v>
      </c>
      <c r="N25" s="12"/>
      <c r="O25" s="8"/>
      <c r="P25">
        <v>1</v>
      </c>
      <c r="Q25" s="8">
        <v>1</v>
      </c>
      <c r="R25" s="12">
        <v>3</v>
      </c>
      <c r="S25" s="8">
        <v>3</v>
      </c>
      <c r="T25" s="12"/>
      <c r="U25" s="8"/>
      <c r="V25" s="2">
        <v>45658</v>
      </c>
      <c r="W25" s="2">
        <v>1</v>
      </c>
      <c r="X25" s="2">
        <v>45702</v>
      </c>
      <c r="Y25" s="2">
        <v>45791</v>
      </c>
      <c r="Z25" s="2">
        <v>45692</v>
      </c>
    </row>
    <row r="26" spans="1:27" x14ac:dyDescent="0.25">
      <c r="A26" s="12">
        <v>8411</v>
      </c>
      <c r="B26" s="12">
        <v>305</v>
      </c>
      <c r="C26" t="s">
        <v>92</v>
      </c>
      <c r="D26">
        <v>247795</v>
      </c>
      <c r="E26" s="8" t="s">
        <v>55</v>
      </c>
      <c r="F26" s="12">
        <v>28</v>
      </c>
      <c r="G26" s="8" t="s">
        <v>51</v>
      </c>
      <c r="H26" s="12">
        <v>195</v>
      </c>
      <c r="I26" t="s">
        <v>77</v>
      </c>
      <c r="J26" t="s">
        <v>45</v>
      </c>
      <c r="N26" s="12"/>
      <c r="O26" s="8"/>
      <c r="P26">
        <v>1</v>
      </c>
      <c r="Q26" s="8">
        <v>1</v>
      </c>
      <c r="R26" s="12">
        <v>1</v>
      </c>
      <c r="S26" s="8">
        <v>1</v>
      </c>
      <c r="T26" s="12"/>
      <c r="U26" s="8"/>
      <c r="V26" s="2">
        <v>45658</v>
      </c>
      <c r="W26" s="2">
        <v>1</v>
      </c>
      <c r="X26" s="2">
        <v>45726</v>
      </c>
      <c r="Y26" s="2">
        <v>45757</v>
      </c>
      <c r="Z26" s="2"/>
      <c r="AA26" t="s">
        <v>93</v>
      </c>
    </row>
    <row r="27" spans="1:27" x14ac:dyDescent="0.25">
      <c r="A27" s="12">
        <v>8412</v>
      </c>
      <c r="B27" s="12">
        <v>309</v>
      </c>
      <c r="C27" t="s">
        <v>94</v>
      </c>
      <c r="D27">
        <v>247795</v>
      </c>
      <c r="E27" s="8" t="s">
        <v>55</v>
      </c>
      <c r="F27" s="12">
        <v>21</v>
      </c>
      <c r="G27" s="8" t="s">
        <v>68</v>
      </c>
      <c r="H27" s="12"/>
      <c r="J27" t="s">
        <v>45</v>
      </c>
      <c r="N27" s="12"/>
      <c r="O27" s="8"/>
      <c r="P27">
        <v>1</v>
      </c>
      <c r="Q27" s="8">
        <v>1</v>
      </c>
      <c r="R27" s="12">
        <v>1</v>
      </c>
      <c r="S27" s="8">
        <v>1</v>
      </c>
      <c r="T27" s="12"/>
      <c r="U27" s="8"/>
      <c r="V27" s="2">
        <v>45658</v>
      </c>
      <c r="W27" s="2">
        <v>1</v>
      </c>
      <c r="X27" s="2">
        <v>45688</v>
      </c>
      <c r="Y27" s="2">
        <v>45688</v>
      </c>
      <c r="Z27" s="2"/>
      <c r="AA27" t="s">
        <v>95</v>
      </c>
    </row>
    <row r="28" spans="1:27" x14ac:dyDescent="0.25">
      <c r="A28" s="12">
        <v>8253</v>
      </c>
      <c r="B28" s="12">
        <v>310</v>
      </c>
      <c r="C28" t="s">
        <v>247</v>
      </c>
      <c r="E28" s="8"/>
      <c r="F28" s="12">
        <v>27</v>
      </c>
      <c r="G28" s="8" t="s">
        <v>171</v>
      </c>
      <c r="H28" s="12">
        <v>3200</v>
      </c>
      <c r="I28" t="s">
        <v>172</v>
      </c>
      <c r="J28" t="s">
        <v>45</v>
      </c>
      <c r="N28" s="12"/>
      <c r="O28" s="8"/>
      <c r="P28">
        <v>1</v>
      </c>
      <c r="Q28" s="8">
        <v>1</v>
      </c>
      <c r="R28" s="12">
        <v>2</v>
      </c>
      <c r="S28" s="8">
        <v>2</v>
      </c>
      <c r="T28" s="12"/>
      <c r="U28" s="8"/>
      <c r="V28" s="2">
        <v>45658</v>
      </c>
      <c r="W28" s="2">
        <v>1</v>
      </c>
      <c r="X28" s="2">
        <v>45712</v>
      </c>
      <c r="Y28" s="2">
        <v>45712</v>
      </c>
      <c r="Z28" s="2"/>
      <c r="AA28" t="s">
        <v>173</v>
      </c>
    </row>
    <row r="29" spans="1:27" x14ac:dyDescent="0.25">
      <c r="A29" s="12">
        <v>8413</v>
      </c>
      <c r="B29" s="12">
        <v>312</v>
      </c>
      <c r="C29" t="s">
        <v>96</v>
      </c>
      <c r="D29">
        <v>247807</v>
      </c>
      <c r="E29" s="8" t="s">
        <v>97</v>
      </c>
      <c r="F29" s="12">
        <v>28</v>
      </c>
      <c r="G29" s="8" t="s">
        <v>51</v>
      </c>
      <c r="H29" s="12"/>
      <c r="J29" t="s">
        <v>45</v>
      </c>
      <c r="K29" t="b">
        <v>1</v>
      </c>
      <c r="N29" s="12"/>
      <c r="O29" s="8"/>
      <c r="P29">
        <v>2</v>
      </c>
      <c r="Q29" s="8">
        <v>2</v>
      </c>
      <c r="R29" s="12">
        <v>2</v>
      </c>
      <c r="S29" s="8">
        <v>2</v>
      </c>
      <c r="T29" s="12"/>
      <c r="U29" s="8"/>
      <c r="V29" s="2">
        <v>45658</v>
      </c>
      <c r="W29" s="2">
        <v>1</v>
      </c>
      <c r="X29" s="2">
        <v>45688</v>
      </c>
      <c r="Y29" s="2">
        <v>45791</v>
      </c>
      <c r="Z29" s="2"/>
      <c r="AA29" t="s">
        <v>98</v>
      </c>
    </row>
    <row r="30" spans="1:27" x14ac:dyDescent="0.25">
      <c r="A30" s="12">
        <v>8451</v>
      </c>
      <c r="B30" s="12">
        <v>313</v>
      </c>
      <c r="C30" t="s">
        <v>234</v>
      </c>
      <c r="E30" s="8"/>
      <c r="F30" s="12">
        <v>28</v>
      </c>
      <c r="G30" s="8" t="s">
        <v>51</v>
      </c>
      <c r="H30" s="12">
        <v>3199</v>
      </c>
      <c r="I30" t="s">
        <v>103</v>
      </c>
      <c r="J30" t="s">
        <v>45</v>
      </c>
      <c r="N30" s="12"/>
      <c r="O30" s="8"/>
      <c r="P30">
        <v>1</v>
      </c>
      <c r="Q30" s="8">
        <v>1</v>
      </c>
      <c r="R30" s="12">
        <v>1</v>
      </c>
      <c r="S30" s="8">
        <v>1</v>
      </c>
      <c r="T30" s="12"/>
      <c r="U30" s="8"/>
      <c r="V30" s="2">
        <v>45658</v>
      </c>
      <c r="W30" s="2">
        <v>1</v>
      </c>
      <c r="X30" s="2">
        <v>45709</v>
      </c>
      <c r="Y30" s="2">
        <v>45757</v>
      </c>
      <c r="Z30" s="2"/>
    </row>
    <row r="31" spans="1:27" x14ac:dyDescent="0.25">
      <c r="A31" s="12">
        <v>8414</v>
      </c>
      <c r="B31" s="12">
        <v>314</v>
      </c>
      <c r="C31" t="s">
        <v>99</v>
      </c>
      <c r="D31">
        <v>247857</v>
      </c>
      <c r="E31" s="8" t="s">
        <v>61</v>
      </c>
      <c r="F31" s="12">
        <v>28</v>
      </c>
      <c r="G31" s="8" t="s">
        <v>51</v>
      </c>
      <c r="H31" s="12"/>
      <c r="J31" t="s">
        <v>45</v>
      </c>
      <c r="N31" s="12"/>
      <c r="O31" s="8"/>
      <c r="P31">
        <v>2</v>
      </c>
      <c r="Q31" s="8">
        <v>2</v>
      </c>
      <c r="R31" s="12">
        <v>2</v>
      </c>
      <c r="S31" s="8">
        <v>2</v>
      </c>
      <c r="T31" s="12"/>
      <c r="U31" s="8"/>
      <c r="V31" s="2">
        <v>45658</v>
      </c>
      <c r="W31" s="2">
        <v>1</v>
      </c>
      <c r="X31" s="2">
        <v>45702</v>
      </c>
      <c r="Y31" s="2">
        <v>45726</v>
      </c>
      <c r="Z31" s="2"/>
      <c r="AA31" t="s">
        <v>100</v>
      </c>
    </row>
    <row r="32" spans="1:27" x14ac:dyDescent="0.25">
      <c r="A32" s="12">
        <v>8415</v>
      </c>
      <c r="B32" s="12">
        <v>315</v>
      </c>
      <c r="C32" t="s">
        <v>101</v>
      </c>
      <c r="D32">
        <v>247651</v>
      </c>
      <c r="E32" s="8" t="s">
        <v>102</v>
      </c>
      <c r="F32" s="12">
        <v>21</v>
      </c>
      <c r="G32" s="8" t="s">
        <v>68</v>
      </c>
      <c r="H32" s="12">
        <v>3199</v>
      </c>
      <c r="I32" t="s">
        <v>103</v>
      </c>
      <c r="J32" t="s">
        <v>45</v>
      </c>
      <c r="N32" s="12"/>
      <c r="O32" s="8"/>
      <c r="P32">
        <v>1</v>
      </c>
      <c r="Q32" s="8">
        <v>1</v>
      </c>
      <c r="R32" s="12">
        <v>3</v>
      </c>
      <c r="S32" s="8">
        <v>3</v>
      </c>
      <c r="T32" s="12"/>
      <c r="U32" s="8"/>
      <c r="V32" s="2">
        <v>45658</v>
      </c>
      <c r="W32" s="2">
        <v>1</v>
      </c>
      <c r="X32" s="2">
        <v>45716</v>
      </c>
      <c r="Y32" s="2">
        <v>45726</v>
      </c>
      <c r="Z32" s="2"/>
      <c r="AA32" t="s">
        <v>104</v>
      </c>
    </row>
    <row r="33" spans="1:27" x14ac:dyDescent="0.25">
      <c r="A33" s="12">
        <v>8416</v>
      </c>
      <c r="B33" s="12">
        <v>316</v>
      </c>
      <c r="C33" t="s">
        <v>105</v>
      </c>
      <c r="D33">
        <v>247770</v>
      </c>
      <c r="E33" s="8" t="s">
        <v>106</v>
      </c>
      <c r="F33" s="12">
        <v>28</v>
      </c>
      <c r="G33" s="8" t="s">
        <v>51</v>
      </c>
      <c r="H33" s="12"/>
      <c r="J33" t="s">
        <v>45</v>
      </c>
      <c r="N33" s="12"/>
      <c r="O33" s="8"/>
      <c r="P33">
        <v>2</v>
      </c>
      <c r="Q33" s="8">
        <v>2</v>
      </c>
      <c r="R33" s="12">
        <v>2</v>
      </c>
      <c r="S33" s="8">
        <v>2</v>
      </c>
      <c r="T33" s="12"/>
      <c r="U33" s="8"/>
      <c r="V33" s="2">
        <v>45658</v>
      </c>
      <c r="W33" s="2">
        <v>1</v>
      </c>
      <c r="X33" s="2">
        <v>45702</v>
      </c>
      <c r="Y33" s="2">
        <v>45726</v>
      </c>
      <c r="Z33" s="2"/>
      <c r="AA33" t="s">
        <v>107</v>
      </c>
    </row>
    <row r="34" spans="1:27" x14ac:dyDescent="0.25">
      <c r="A34" s="12">
        <v>8418</v>
      </c>
      <c r="B34" s="12">
        <v>318</v>
      </c>
      <c r="C34" t="s">
        <v>108</v>
      </c>
      <c r="D34">
        <v>247068</v>
      </c>
      <c r="E34" s="8" t="s">
        <v>109</v>
      </c>
      <c r="F34" s="12">
        <v>28</v>
      </c>
      <c r="G34" s="8" t="s">
        <v>51</v>
      </c>
      <c r="H34" s="12"/>
      <c r="J34" t="s">
        <v>45</v>
      </c>
      <c r="N34" s="12"/>
      <c r="O34" s="8"/>
      <c r="P34">
        <v>2</v>
      </c>
      <c r="Q34" s="8">
        <v>2</v>
      </c>
      <c r="R34" s="12">
        <v>2</v>
      </c>
      <c r="S34" s="8">
        <v>2</v>
      </c>
      <c r="T34" s="12"/>
      <c r="U34" s="8"/>
      <c r="V34" s="2">
        <v>45659</v>
      </c>
      <c r="W34" s="2">
        <v>1</v>
      </c>
      <c r="X34" s="2">
        <v>45712</v>
      </c>
      <c r="Y34" s="2">
        <v>45712</v>
      </c>
      <c r="Z34" s="2"/>
      <c r="AA34" t="s">
        <v>110</v>
      </c>
    </row>
    <row r="35" spans="1:27" x14ac:dyDescent="0.25">
      <c r="A35" s="12">
        <v>8331</v>
      </c>
      <c r="B35" s="12">
        <v>319</v>
      </c>
      <c r="C35" t="s">
        <v>248</v>
      </c>
      <c r="D35">
        <v>247857</v>
      </c>
      <c r="E35" s="8" t="s">
        <v>61</v>
      </c>
      <c r="F35" s="12">
        <v>28</v>
      </c>
      <c r="G35" s="8" t="s">
        <v>51</v>
      </c>
      <c r="H35" s="12">
        <v>2767</v>
      </c>
      <c r="I35" t="s">
        <v>117</v>
      </c>
      <c r="J35" t="s">
        <v>45</v>
      </c>
      <c r="N35" s="12"/>
      <c r="O35" s="8"/>
      <c r="P35">
        <v>1</v>
      </c>
      <c r="Q35" s="8">
        <v>1</v>
      </c>
      <c r="R35" s="12">
        <v>1</v>
      </c>
      <c r="S35" s="8">
        <v>1</v>
      </c>
      <c r="T35" s="12"/>
      <c r="U35" s="8"/>
      <c r="V35" s="2">
        <v>45658</v>
      </c>
      <c r="W35" s="2">
        <v>1</v>
      </c>
      <c r="X35" s="2">
        <v>45744</v>
      </c>
      <c r="Y35" s="2">
        <v>45775</v>
      </c>
      <c r="Z35" s="2"/>
      <c r="AA35" t="s">
        <v>194</v>
      </c>
    </row>
    <row r="36" spans="1:27" x14ac:dyDescent="0.25">
      <c r="A36" s="12">
        <v>8419</v>
      </c>
      <c r="B36" s="12">
        <v>320</v>
      </c>
      <c r="C36" t="s">
        <v>111</v>
      </c>
      <c r="D36">
        <v>247556</v>
      </c>
      <c r="E36" s="8" t="s">
        <v>58</v>
      </c>
      <c r="F36" s="12">
        <v>28</v>
      </c>
      <c r="G36" s="8" t="s">
        <v>51</v>
      </c>
      <c r="H36" s="12"/>
      <c r="J36" t="s">
        <v>45</v>
      </c>
      <c r="N36" s="12"/>
      <c r="O36" s="8"/>
      <c r="P36">
        <v>3</v>
      </c>
      <c r="Q36" s="8">
        <v>3</v>
      </c>
      <c r="R36" s="12">
        <v>3</v>
      </c>
      <c r="S36" s="8">
        <v>3</v>
      </c>
      <c r="T36" s="12"/>
      <c r="U36" s="8"/>
      <c r="V36" s="2">
        <v>45658</v>
      </c>
      <c r="W36" s="2">
        <v>1</v>
      </c>
      <c r="X36" s="2">
        <v>45761</v>
      </c>
      <c r="Y36" s="2">
        <v>45761</v>
      </c>
      <c r="Z36" s="2"/>
      <c r="AA36" t="s">
        <v>112</v>
      </c>
    </row>
    <row r="37" spans="1:27" x14ac:dyDescent="0.25">
      <c r="A37" s="12">
        <v>8270</v>
      </c>
      <c r="B37" s="12">
        <v>321</v>
      </c>
      <c r="C37" t="s">
        <v>249</v>
      </c>
      <c r="E37" s="8"/>
      <c r="F37" s="12">
        <v>22</v>
      </c>
      <c r="G37" s="8" t="s">
        <v>76</v>
      </c>
      <c r="H37" s="12">
        <v>2767</v>
      </c>
      <c r="I37" t="s">
        <v>117</v>
      </c>
      <c r="J37" t="s">
        <v>45</v>
      </c>
      <c r="N37" s="12"/>
      <c r="O37" s="8"/>
      <c r="P37">
        <v>1</v>
      </c>
      <c r="Q37" s="8">
        <v>1</v>
      </c>
      <c r="R37" s="12">
        <v>1</v>
      </c>
      <c r="S37" s="8">
        <v>1</v>
      </c>
      <c r="T37" s="12"/>
      <c r="U37" s="8"/>
      <c r="V37" s="2">
        <v>45658</v>
      </c>
      <c r="W37" s="2">
        <v>1</v>
      </c>
      <c r="X37" s="2">
        <v>45688</v>
      </c>
      <c r="Y37" s="2">
        <v>45688</v>
      </c>
      <c r="Z37" s="2"/>
      <c r="AA37" t="s">
        <v>180</v>
      </c>
    </row>
    <row r="38" spans="1:27" x14ac:dyDescent="0.25">
      <c r="A38" s="12">
        <v>8420</v>
      </c>
      <c r="B38" s="12">
        <v>322</v>
      </c>
      <c r="C38" t="s">
        <v>113</v>
      </c>
      <c r="D38">
        <v>247857</v>
      </c>
      <c r="E38" s="8" t="s">
        <v>61</v>
      </c>
      <c r="F38" s="12">
        <v>28</v>
      </c>
      <c r="G38" s="8" t="s">
        <v>51</v>
      </c>
      <c r="H38" s="12"/>
      <c r="J38" t="s">
        <v>45</v>
      </c>
      <c r="N38" s="12"/>
      <c r="O38" s="8"/>
      <c r="P38">
        <v>3</v>
      </c>
      <c r="Q38" s="8">
        <v>3</v>
      </c>
      <c r="R38" s="12">
        <v>1</v>
      </c>
      <c r="S38" s="8">
        <v>1</v>
      </c>
      <c r="T38" s="12"/>
      <c r="U38" s="8"/>
      <c r="V38" s="2">
        <v>45658</v>
      </c>
      <c r="W38" s="2">
        <v>1</v>
      </c>
      <c r="X38" s="2">
        <v>45761</v>
      </c>
      <c r="Y38" s="2">
        <v>45761</v>
      </c>
      <c r="Z38" s="2"/>
      <c r="AA38" t="s">
        <v>114</v>
      </c>
    </row>
    <row r="39" spans="1:27" x14ac:dyDescent="0.25">
      <c r="A39" s="12">
        <v>8421</v>
      </c>
      <c r="B39" s="12">
        <v>323</v>
      </c>
      <c r="C39" t="s">
        <v>115</v>
      </c>
      <c r="D39">
        <v>247722</v>
      </c>
      <c r="E39" s="8" t="s">
        <v>116</v>
      </c>
      <c r="F39" s="12">
        <v>28</v>
      </c>
      <c r="G39" s="8" t="s">
        <v>51</v>
      </c>
      <c r="H39" s="12">
        <v>2767</v>
      </c>
      <c r="I39" t="s">
        <v>117</v>
      </c>
      <c r="J39" t="s">
        <v>45</v>
      </c>
      <c r="N39" s="12"/>
      <c r="O39" s="8"/>
      <c r="P39">
        <v>1</v>
      </c>
      <c r="Q39" s="8">
        <v>1</v>
      </c>
      <c r="R39" s="12">
        <v>3</v>
      </c>
      <c r="S39" s="8">
        <v>3</v>
      </c>
      <c r="T39" s="12"/>
      <c r="U39" s="8"/>
      <c r="V39" s="2">
        <v>45658</v>
      </c>
      <c r="W39" s="2">
        <v>1</v>
      </c>
      <c r="X39" s="2">
        <v>45744</v>
      </c>
      <c r="Y39" s="2">
        <v>45775</v>
      </c>
      <c r="Z39" s="2"/>
      <c r="AA39" t="s">
        <v>118</v>
      </c>
    </row>
    <row r="40" spans="1:27" x14ac:dyDescent="0.25">
      <c r="A40" s="12">
        <v>8422</v>
      </c>
      <c r="B40" s="12">
        <v>324</v>
      </c>
      <c r="C40" t="s">
        <v>119</v>
      </c>
      <c r="D40">
        <v>247374</v>
      </c>
      <c r="E40" s="8" t="s">
        <v>120</v>
      </c>
      <c r="F40" s="12">
        <v>28</v>
      </c>
      <c r="G40" s="8" t="s">
        <v>51</v>
      </c>
      <c r="H40" s="12"/>
      <c r="J40" t="s">
        <v>45</v>
      </c>
      <c r="N40" s="12"/>
      <c r="O40" s="8"/>
      <c r="P40">
        <v>2</v>
      </c>
      <c r="Q40" s="8">
        <v>2</v>
      </c>
      <c r="R40" s="12">
        <v>2</v>
      </c>
      <c r="S40" s="8">
        <v>2</v>
      </c>
      <c r="T40" s="12"/>
      <c r="U40" s="8"/>
      <c r="V40" s="2">
        <v>45658</v>
      </c>
      <c r="W40" s="2">
        <v>1</v>
      </c>
      <c r="X40" s="2">
        <v>45744</v>
      </c>
      <c r="Y40" s="2">
        <v>45791</v>
      </c>
      <c r="Z40" s="2"/>
      <c r="AA40" t="s">
        <v>121</v>
      </c>
    </row>
    <row r="41" spans="1:27" x14ac:dyDescent="0.25">
      <c r="A41" s="12">
        <v>8423</v>
      </c>
      <c r="B41" s="12">
        <v>326</v>
      </c>
      <c r="C41" t="s">
        <v>122</v>
      </c>
      <c r="D41">
        <v>247828</v>
      </c>
      <c r="E41" s="8" t="s">
        <v>42</v>
      </c>
      <c r="F41" s="12">
        <v>28</v>
      </c>
      <c r="G41" s="8" t="s">
        <v>51</v>
      </c>
      <c r="H41" s="12"/>
      <c r="J41" t="s">
        <v>45</v>
      </c>
      <c r="N41" s="12"/>
      <c r="O41" s="8"/>
      <c r="P41">
        <v>2</v>
      </c>
      <c r="Q41" s="8">
        <v>2</v>
      </c>
      <c r="R41" s="12">
        <v>2</v>
      </c>
      <c r="S41" s="8">
        <v>2</v>
      </c>
      <c r="T41" s="12"/>
      <c r="U41" s="8"/>
      <c r="V41" s="2">
        <v>45658</v>
      </c>
      <c r="W41" s="2">
        <v>1</v>
      </c>
      <c r="X41" s="2">
        <v>45744</v>
      </c>
      <c r="Y41" s="2">
        <v>45761</v>
      </c>
      <c r="Z41" s="2"/>
      <c r="AA41" t="s">
        <v>123</v>
      </c>
    </row>
    <row r="42" spans="1:27" x14ac:dyDescent="0.25">
      <c r="A42" s="12">
        <v>8452</v>
      </c>
      <c r="B42" s="12">
        <v>328</v>
      </c>
      <c r="C42" t="s">
        <v>250</v>
      </c>
      <c r="D42">
        <v>247722</v>
      </c>
      <c r="E42" s="8" t="s">
        <v>116</v>
      </c>
      <c r="F42" s="12">
        <v>21</v>
      </c>
      <c r="G42" s="8" t="s">
        <v>68</v>
      </c>
      <c r="H42" s="12">
        <v>195</v>
      </c>
      <c r="I42" t="s">
        <v>77</v>
      </c>
      <c r="J42" t="s">
        <v>45</v>
      </c>
      <c r="N42" s="12"/>
      <c r="O42" s="8"/>
      <c r="P42">
        <v>1</v>
      </c>
      <c r="Q42" s="8">
        <v>1</v>
      </c>
      <c r="R42" s="12">
        <v>2</v>
      </c>
      <c r="S42" s="8">
        <v>2</v>
      </c>
      <c r="T42" s="12"/>
      <c r="U42" s="8"/>
      <c r="V42" s="2">
        <v>45658</v>
      </c>
      <c r="W42" s="2">
        <v>1</v>
      </c>
      <c r="X42" s="2">
        <v>45688</v>
      </c>
      <c r="Y42" s="2">
        <v>45688</v>
      </c>
      <c r="Z42" s="2"/>
    </row>
    <row r="43" spans="1:27" x14ac:dyDescent="0.25">
      <c r="A43" s="12">
        <v>8288</v>
      </c>
      <c r="B43" s="12">
        <v>329</v>
      </c>
      <c r="C43" t="s">
        <v>251</v>
      </c>
      <c r="E43" s="8"/>
      <c r="F43" s="12">
        <v>29</v>
      </c>
      <c r="G43" s="8" t="s">
        <v>153</v>
      </c>
      <c r="H43" s="12">
        <v>3201</v>
      </c>
      <c r="I43" t="s">
        <v>176</v>
      </c>
      <c r="J43" t="s">
        <v>45</v>
      </c>
      <c r="N43" s="12"/>
      <c r="O43" s="8"/>
      <c r="P43">
        <v>2</v>
      </c>
      <c r="Q43" s="8">
        <v>2</v>
      </c>
      <c r="R43" s="12">
        <v>2</v>
      </c>
      <c r="S43" s="8">
        <v>2</v>
      </c>
      <c r="T43" s="12"/>
      <c r="U43" s="8"/>
      <c r="V43" s="2">
        <v>45658</v>
      </c>
      <c r="W43" s="2">
        <v>1</v>
      </c>
      <c r="X43" s="2">
        <v>45702</v>
      </c>
      <c r="Y43" s="2">
        <v>45726</v>
      </c>
      <c r="Z43" s="2"/>
    </row>
    <row r="44" spans="1:27" x14ac:dyDescent="0.25">
      <c r="A44" s="12">
        <v>8328</v>
      </c>
      <c r="B44" s="12">
        <v>330</v>
      </c>
      <c r="C44" t="s">
        <v>252</v>
      </c>
      <c r="D44">
        <v>246933</v>
      </c>
      <c r="E44" s="8" t="s">
        <v>185</v>
      </c>
      <c r="F44" s="12">
        <v>28</v>
      </c>
      <c r="G44" s="8" t="s">
        <v>51</v>
      </c>
      <c r="H44" s="12">
        <v>2767</v>
      </c>
      <c r="I44" t="s">
        <v>117</v>
      </c>
      <c r="J44" t="s">
        <v>45</v>
      </c>
      <c r="N44" s="12"/>
      <c r="O44" s="8"/>
      <c r="P44">
        <v>1</v>
      </c>
      <c r="Q44" s="8">
        <v>1</v>
      </c>
      <c r="R44" s="12">
        <v>2</v>
      </c>
      <c r="S44" s="8">
        <v>2</v>
      </c>
      <c r="T44" s="12"/>
      <c r="U44" s="8"/>
      <c r="V44" s="2">
        <v>45658</v>
      </c>
      <c r="W44" s="2">
        <v>1</v>
      </c>
      <c r="X44" s="2">
        <v>45744</v>
      </c>
      <c r="Y44" s="2">
        <v>45744</v>
      </c>
      <c r="Z44" s="2"/>
    </row>
    <row r="45" spans="1:27" x14ac:dyDescent="0.25">
      <c r="A45" s="12">
        <v>8426</v>
      </c>
      <c r="B45" s="12">
        <v>331</v>
      </c>
      <c r="C45" t="s">
        <v>124</v>
      </c>
      <c r="D45">
        <v>289092</v>
      </c>
      <c r="E45" s="8" t="s">
        <v>125</v>
      </c>
      <c r="F45" s="12">
        <v>21</v>
      </c>
      <c r="G45" s="8" t="s">
        <v>68</v>
      </c>
      <c r="H45" s="12">
        <v>3203</v>
      </c>
      <c r="I45" t="s">
        <v>126</v>
      </c>
      <c r="J45" t="s">
        <v>45</v>
      </c>
      <c r="K45" t="b">
        <v>1</v>
      </c>
      <c r="N45" s="12"/>
      <c r="O45" s="8"/>
      <c r="P45">
        <v>1</v>
      </c>
      <c r="Q45" s="8">
        <v>1</v>
      </c>
      <c r="R45" s="12">
        <v>1</v>
      </c>
      <c r="S45" s="8">
        <v>1</v>
      </c>
      <c r="T45" s="12"/>
      <c r="U45" s="8"/>
      <c r="V45" s="2">
        <v>45658</v>
      </c>
      <c r="W45" s="2">
        <v>1</v>
      </c>
      <c r="X45" s="2">
        <v>45688</v>
      </c>
      <c r="Y45" s="2">
        <v>45761</v>
      </c>
      <c r="Z45" s="2"/>
      <c r="AA45" t="s">
        <v>127</v>
      </c>
    </row>
    <row r="46" spans="1:27" x14ac:dyDescent="0.25">
      <c r="A46" s="12">
        <v>8428</v>
      </c>
      <c r="B46" s="12">
        <v>337</v>
      </c>
      <c r="C46" t="s">
        <v>128</v>
      </c>
      <c r="D46">
        <v>289092</v>
      </c>
      <c r="E46" s="8" t="s">
        <v>125</v>
      </c>
      <c r="F46" s="12">
        <v>21</v>
      </c>
      <c r="G46" s="8" t="s">
        <v>68</v>
      </c>
      <c r="H46" s="12">
        <v>3203</v>
      </c>
      <c r="I46" t="s">
        <v>126</v>
      </c>
      <c r="J46" t="s">
        <v>45</v>
      </c>
      <c r="K46" t="b">
        <v>1</v>
      </c>
      <c r="N46" s="12"/>
      <c r="O46" s="8"/>
      <c r="P46">
        <v>1</v>
      </c>
      <c r="Q46" s="8">
        <v>1</v>
      </c>
      <c r="R46" s="12">
        <v>1</v>
      </c>
      <c r="S46" s="8">
        <v>1</v>
      </c>
      <c r="T46" s="12"/>
      <c r="U46" s="8"/>
      <c r="V46" s="2">
        <v>45658</v>
      </c>
      <c r="W46" s="2">
        <v>1</v>
      </c>
      <c r="X46" s="2">
        <v>45681</v>
      </c>
      <c r="Y46" s="2">
        <v>45740</v>
      </c>
      <c r="Z46" s="2"/>
      <c r="AA46" t="s">
        <v>129</v>
      </c>
    </row>
    <row r="47" spans="1:27" x14ac:dyDescent="0.25">
      <c r="A47" s="12">
        <v>8280</v>
      </c>
      <c r="B47" s="12">
        <v>340</v>
      </c>
      <c r="C47" t="s">
        <v>253</v>
      </c>
      <c r="E47" s="8"/>
      <c r="F47" s="12">
        <v>29</v>
      </c>
      <c r="G47" s="8" t="s">
        <v>153</v>
      </c>
      <c r="H47" s="12">
        <v>3204</v>
      </c>
      <c r="I47" t="s">
        <v>183</v>
      </c>
      <c r="J47" t="s">
        <v>45</v>
      </c>
      <c r="N47" s="12"/>
      <c r="O47" s="8"/>
      <c r="P47">
        <v>1</v>
      </c>
      <c r="Q47" s="8">
        <v>1</v>
      </c>
      <c r="R47" s="12">
        <v>1</v>
      </c>
      <c r="S47" s="8">
        <v>1</v>
      </c>
      <c r="T47" s="12"/>
      <c r="U47" s="8"/>
      <c r="V47" s="2">
        <v>45658</v>
      </c>
      <c r="W47" s="2">
        <v>1</v>
      </c>
      <c r="X47" s="2">
        <v>45716</v>
      </c>
      <c r="Y47" s="2">
        <v>45716</v>
      </c>
      <c r="Z47" s="2"/>
    </row>
    <row r="48" spans="1:27" x14ac:dyDescent="0.25">
      <c r="A48" s="12">
        <v>8429</v>
      </c>
      <c r="B48" s="12">
        <v>341</v>
      </c>
      <c r="C48" t="s">
        <v>130</v>
      </c>
      <c r="D48">
        <v>247904</v>
      </c>
      <c r="E48" s="8" t="s">
        <v>131</v>
      </c>
      <c r="F48" s="12">
        <v>28</v>
      </c>
      <c r="G48" s="8" t="s">
        <v>51</v>
      </c>
      <c r="H48" s="12">
        <v>312</v>
      </c>
      <c r="I48" t="s">
        <v>132</v>
      </c>
      <c r="J48" t="s">
        <v>45</v>
      </c>
      <c r="N48" s="12"/>
      <c r="O48" s="8"/>
      <c r="P48">
        <v>1</v>
      </c>
      <c r="Q48" s="8">
        <v>1</v>
      </c>
      <c r="R48" s="12">
        <v>1</v>
      </c>
      <c r="S48" s="8">
        <v>1</v>
      </c>
      <c r="T48" s="12"/>
      <c r="U48" s="8"/>
      <c r="V48" s="2">
        <v>45658</v>
      </c>
      <c r="W48" s="2">
        <v>1</v>
      </c>
      <c r="X48" s="2">
        <v>45869</v>
      </c>
      <c r="Y48" s="2">
        <v>45869</v>
      </c>
      <c r="Z48" s="2"/>
      <c r="AA48" t="s">
        <v>133</v>
      </c>
    </row>
    <row r="49" spans="1:27" x14ac:dyDescent="0.25">
      <c r="A49" s="12">
        <v>8306</v>
      </c>
      <c r="B49" s="12">
        <v>342</v>
      </c>
      <c r="C49" t="s">
        <v>254</v>
      </c>
      <c r="E49" s="8"/>
      <c r="F49" s="12">
        <v>29</v>
      </c>
      <c r="G49" s="8" t="s">
        <v>153</v>
      </c>
      <c r="H49" s="12">
        <v>3204</v>
      </c>
      <c r="I49" t="s">
        <v>183</v>
      </c>
      <c r="J49" t="s">
        <v>45</v>
      </c>
      <c r="N49" s="12"/>
      <c r="O49" s="8"/>
      <c r="P49">
        <v>1</v>
      </c>
      <c r="Q49" s="8">
        <v>1</v>
      </c>
      <c r="R49" s="12">
        <v>3</v>
      </c>
      <c r="S49" s="8">
        <v>3</v>
      </c>
      <c r="T49" s="12"/>
      <c r="U49" s="8"/>
      <c r="V49" s="2">
        <v>45658</v>
      </c>
      <c r="W49" s="2">
        <v>1</v>
      </c>
      <c r="X49" s="2">
        <v>45744</v>
      </c>
      <c r="Y49" s="2">
        <v>45744</v>
      </c>
      <c r="Z49" s="2"/>
    </row>
    <row r="50" spans="1:27" x14ac:dyDescent="0.25">
      <c r="A50" s="12">
        <v>8430</v>
      </c>
      <c r="B50" s="12">
        <v>343</v>
      </c>
      <c r="C50" t="s">
        <v>134</v>
      </c>
      <c r="D50">
        <v>247885</v>
      </c>
      <c r="E50" s="8" t="s">
        <v>64</v>
      </c>
      <c r="F50" s="12">
        <v>28</v>
      </c>
      <c r="G50" s="8" t="s">
        <v>51</v>
      </c>
      <c r="H50" s="12">
        <v>312</v>
      </c>
      <c r="I50" t="s">
        <v>132</v>
      </c>
      <c r="J50" t="s">
        <v>45</v>
      </c>
      <c r="N50" s="12"/>
      <c r="O50" s="8"/>
      <c r="P50">
        <v>1</v>
      </c>
      <c r="Q50" s="8">
        <v>1</v>
      </c>
      <c r="R50" s="12">
        <v>1</v>
      </c>
      <c r="S50" s="8">
        <v>1</v>
      </c>
      <c r="T50" s="12"/>
      <c r="U50" s="8"/>
      <c r="V50" s="2">
        <v>45658</v>
      </c>
      <c r="W50" s="2">
        <v>1</v>
      </c>
      <c r="X50" s="2">
        <v>45760</v>
      </c>
      <c r="Y50" s="2">
        <v>45760</v>
      </c>
      <c r="Z50" s="2"/>
      <c r="AA50" t="s">
        <v>135</v>
      </c>
    </row>
    <row r="51" spans="1:27" x14ac:dyDescent="0.25">
      <c r="A51" s="12">
        <v>8305</v>
      </c>
      <c r="B51" s="12">
        <v>344</v>
      </c>
      <c r="C51" t="s">
        <v>255</v>
      </c>
      <c r="D51">
        <v>247417</v>
      </c>
      <c r="E51" s="8" t="s">
        <v>197</v>
      </c>
      <c r="F51" s="12">
        <v>30</v>
      </c>
      <c r="G51" s="8" t="s">
        <v>43</v>
      </c>
      <c r="H51" s="12">
        <v>3204</v>
      </c>
      <c r="I51" t="s">
        <v>183</v>
      </c>
      <c r="J51" t="s">
        <v>45</v>
      </c>
      <c r="L51">
        <v>2</v>
      </c>
      <c r="M51" t="s">
        <v>177</v>
      </c>
      <c r="N51" s="12">
        <v>2</v>
      </c>
      <c r="O51" s="8" t="s">
        <v>166</v>
      </c>
      <c r="P51">
        <v>1</v>
      </c>
      <c r="Q51" s="8">
        <v>1</v>
      </c>
      <c r="R51" s="12">
        <v>3</v>
      </c>
      <c r="S51" s="8">
        <v>3</v>
      </c>
      <c r="T51" s="12"/>
      <c r="U51" s="8"/>
      <c r="V51" s="2">
        <v>45658</v>
      </c>
      <c r="W51" s="2">
        <v>1</v>
      </c>
      <c r="X51" s="2">
        <v>45716</v>
      </c>
      <c r="Y51" s="2">
        <v>45726</v>
      </c>
      <c r="Z51" s="2"/>
    </row>
    <row r="52" spans="1:27" x14ac:dyDescent="0.25">
      <c r="A52" s="12">
        <v>8431</v>
      </c>
      <c r="B52" s="12">
        <v>345</v>
      </c>
      <c r="C52" t="s">
        <v>136</v>
      </c>
      <c r="D52">
        <v>247885</v>
      </c>
      <c r="E52" s="8" t="s">
        <v>64</v>
      </c>
      <c r="F52" s="12">
        <v>28</v>
      </c>
      <c r="G52" s="8" t="s">
        <v>51</v>
      </c>
      <c r="H52" s="12">
        <v>312</v>
      </c>
      <c r="I52" t="s">
        <v>132</v>
      </c>
      <c r="J52" t="s">
        <v>45</v>
      </c>
      <c r="N52" s="12"/>
      <c r="O52" s="8"/>
      <c r="P52">
        <v>1</v>
      </c>
      <c r="Q52" s="8">
        <v>1</v>
      </c>
      <c r="R52" s="12">
        <v>1</v>
      </c>
      <c r="S52" s="8">
        <v>1</v>
      </c>
      <c r="T52" s="12"/>
      <c r="U52" s="8"/>
      <c r="V52" s="2">
        <v>45658</v>
      </c>
      <c r="W52" s="2">
        <v>1</v>
      </c>
      <c r="X52" s="2">
        <v>45760</v>
      </c>
      <c r="Y52" s="2">
        <v>45790</v>
      </c>
      <c r="Z52" s="2"/>
      <c r="AA52" t="s">
        <v>137</v>
      </c>
    </row>
    <row r="53" spans="1:27" x14ac:dyDescent="0.25">
      <c r="A53" s="12">
        <v>8432</v>
      </c>
      <c r="B53" s="12">
        <v>346</v>
      </c>
      <c r="C53" t="s">
        <v>138</v>
      </c>
      <c r="D53">
        <v>247828</v>
      </c>
      <c r="E53" s="8" t="s">
        <v>42</v>
      </c>
      <c r="F53" s="12">
        <v>21</v>
      </c>
      <c r="G53" s="8" t="s">
        <v>68</v>
      </c>
      <c r="H53" s="12">
        <v>3234</v>
      </c>
      <c r="I53" t="s">
        <v>139</v>
      </c>
      <c r="J53" t="s">
        <v>45</v>
      </c>
      <c r="N53" s="12"/>
      <c r="O53" s="8"/>
      <c r="P53">
        <v>1</v>
      </c>
      <c r="Q53" s="8">
        <v>1</v>
      </c>
      <c r="R53" s="12">
        <v>1</v>
      </c>
      <c r="S53" s="8">
        <v>1</v>
      </c>
      <c r="T53" s="12"/>
      <c r="U53" s="8"/>
      <c r="V53" s="2">
        <v>45658</v>
      </c>
      <c r="W53" s="2">
        <v>1</v>
      </c>
      <c r="X53" s="2">
        <v>45688</v>
      </c>
      <c r="Y53" s="2">
        <v>45688</v>
      </c>
      <c r="Z53" s="2"/>
      <c r="AA53" t="s">
        <v>140</v>
      </c>
    </row>
    <row r="54" spans="1:27" x14ac:dyDescent="0.25">
      <c r="A54" s="12">
        <v>8433</v>
      </c>
      <c r="B54" s="12">
        <v>347</v>
      </c>
      <c r="C54" t="s">
        <v>141</v>
      </c>
      <c r="D54">
        <v>247857</v>
      </c>
      <c r="E54" s="8" t="s">
        <v>61</v>
      </c>
      <c r="F54" s="12">
        <v>28</v>
      </c>
      <c r="G54" s="8" t="s">
        <v>51</v>
      </c>
      <c r="H54" s="12">
        <v>3234</v>
      </c>
      <c r="I54" t="s">
        <v>139</v>
      </c>
      <c r="J54" t="s">
        <v>45</v>
      </c>
      <c r="N54" s="12"/>
      <c r="O54" s="8"/>
      <c r="P54">
        <v>3</v>
      </c>
      <c r="Q54" s="8">
        <v>3</v>
      </c>
      <c r="R54" s="12">
        <v>1</v>
      </c>
      <c r="S54" s="8">
        <v>1</v>
      </c>
      <c r="T54" s="12"/>
      <c r="U54" s="8"/>
      <c r="V54" s="2">
        <v>45658</v>
      </c>
      <c r="W54" s="2">
        <v>1</v>
      </c>
      <c r="X54" s="2">
        <v>45716</v>
      </c>
      <c r="Y54" s="2">
        <v>45761</v>
      </c>
      <c r="Z54" s="2"/>
      <c r="AA54" t="s">
        <v>142</v>
      </c>
    </row>
    <row r="55" spans="1:27" x14ac:dyDescent="0.25">
      <c r="A55" s="12">
        <v>8434</v>
      </c>
      <c r="B55" s="12">
        <v>348</v>
      </c>
      <c r="C55" t="s">
        <v>143</v>
      </c>
      <c r="D55">
        <v>247722</v>
      </c>
      <c r="E55" s="8" t="s">
        <v>116</v>
      </c>
      <c r="F55" s="12">
        <v>21</v>
      </c>
      <c r="G55" s="8" t="s">
        <v>68</v>
      </c>
      <c r="H55" s="12">
        <v>3234</v>
      </c>
      <c r="I55" t="s">
        <v>139</v>
      </c>
      <c r="J55" t="s">
        <v>45</v>
      </c>
      <c r="N55" s="12"/>
      <c r="O55" s="8"/>
      <c r="P55">
        <v>1</v>
      </c>
      <c r="Q55" s="8">
        <v>1</v>
      </c>
      <c r="R55" s="12">
        <v>1</v>
      </c>
      <c r="S55" s="8">
        <v>1</v>
      </c>
      <c r="T55" s="12"/>
      <c r="U55" s="8"/>
      <c r="V55" s="2">
        <v>45658</v>
      </c>
      <c r="W55" s="2">
        <v>1</v>
      </c>
      <c r="X55" s="2">
        <v>45688</v>
      </c>
      <c r="Y55" s="2">
        <v>45688</v>
      </c>
      <c r="Z55" s="2"/>
      <c r="AA55" t="s">
        <v>144</v>
      </c>
    </row>
    <row r="56" spans="1:27" x14ac:dyDescent="0.25">
      <c r="A56" s="12">
        <v>8435</v>
      </c>
      <c r="B56" s="12">
        <v>349</v>
      </c>
      <c r="C56" t="s">
        <v>145</v>
      </c>
      <c r="D56">
        <v>247828</v>
      </c>
      <c r="E56" s="8" t="s">
        <v>42</v>
      </c>
      <c r="F56" s="12">
        <v>28</v>
      </c>
      <c r="G56" s="8" t="s">
        <v>51</v>
      </c>
      <c r="H56" s="12">
        <v>3234</v>
      </c>
      <c r="I56" t="s">
        <v>139</v>
      </c>
      <c r="J56" t="s">
        <v>45</v>
      </c>
      <c r="N56" s="12"/>
      <c r="O56" s="8"/>
      <c r="P56">
        <v>3</v>
      </c>
      <c r="Q56" s="8">
        <v>3</v>
      </c>
      <c r="R56" s="12">
        <v>3</v>
      </c>
      <c r="S56" s="8">
        <v>3</v>
      </c>
      <c r="T56" s="12"/>
      <c r="U56" s="8"/>
      <c r="V56" s="2">
        <v>45658</v>
      </c>
      <c r="W56" s="2">
        <v>1</v>
      </c>
      <c r="X56" s="2">
        <v>45726</v>
      </c>
      <c r="Y56" s="2">
        <v>45726</v>
      </c>
      <c r="Z56" s="2"/>
      <c r="AA56" t="s">
        <v>146</v>
      </c>
    </row>
    <row r="57" spans="1:27" x14ac:dyDescent="0.25">
      <c r="A57" s="12">
        <v>8436</v>
      </c>
      <c r="B57" s="12">
        <v>350</v>
      </c>
      <c r="C57" t="s">
        <v>147</v>
      </c>
      <c r="D57">
        <v>247857</v>
      </c>
      <c r="E57" s="8" t="s">
        <v>61</v>
      </c>
      <c r="F57" s="12">
        <v>28</v>
      </c>
      <c r="G57" s="8" t="s">
        <v>51</v>
      </c>
      <c r="H57" s="12">
        <v>3234</v>
      </c>
      <c r="I57" t="s">
        <v>139</v>
      </c>
      <c r="J57" t="s">
        <v>45</v>
      </c>
      <c r="N57" s="12"/>
      <c r="O57" s="8"/>
      <c r="P57">
        <v>1</v>
      </c>
      <c r="Q57" s="8">
        <v>1</v>
      </c>
      <c r="R57" s="12">
        <v>1</v>
      </c>
      <c r="S57" s="8">
        <v>1</v>
      </c>
      <c r="T57" s="12"/>
      <c r="U57" s="8"/>
      <c r="V57" s="2">
        <v>45658</v>
      </c>
      <c r="W57" s="2">
        <v>1</v>
      </c>
      <c r="X57" s="2">
        <v>45702</v>
      </c>
      <c r="Y57" s="2">
        <v>45702</v>
      </c>
      <c r="Z57" s="2"/>
      <c r="AA57" t="s">
        <v>148</v>
      </c>
    </row>
    <row r="58" spans="1:27" x14ac:dyDescent="0.25">
      <c r="A58" s="12">
        <v>8437</v>
      </c>
      <c r="B58" s="12">
        <v>351</v>
      </c>
      <c r="C58" t="s">
        <v>149</v>
      </c>
      <c r="D58">
        <v>247828</v>
      </c>
      <c r="E58" s="8" t="s">
        <v>42</v>
      </c>
      <c r="F58" s="12">
        <v>28</v>
      </c>
      <c r="G58" s="8" t="s">
        <v>51</v>
      </c>
      <c r="H58" s="12">
        <v>3234</v>
      </c>
      <c r="I58" t="s">
        <v>139</v>
      </c>
      <c r="J58" t="s">
        <v>45</v>
      </c>
      <c r="N58" s="12"/>
      <c r="O58" s="8"/>
      <c r="P58">
        <v>3</v>
      </c>
      <c r="Q58" s="8">
        <v>3</v>
      </c>
      <c r="R58" s="12">
        <v>1</v>
      </c>
      <c r="S58" s="8">
        <v>1</v>
      </c>
      <c r="T58" s="12"/>
      <c r="U58" s="8"/>
      <c r="V58" s="2">
        <v>45658</v>
      </c>
      <c r="W58" s="2">
        <v>1</v>
      </c>
      <c r="X58" s="2">
        <v>45716</v>
      </c>
      <c r="Y58" s="2">
        <v>45757</v>
      </c>
      <c r="Z58" s="2"/>
      <c r="AA58" t="s">
        <v>150</v>
      </c>
    </row>
    <row r="59" spans="1:27" x14ac:dyDescent="0.25">
      <c r="A59" s="12">
        <v>8286</v>
      </c>
      <c r="B59" s="12">
        <v>353</v>
      </c>
      <c r="C59" t="s">
        <v>256</v>
      </c>
      <c r="D59">
        <v>247795</v>
      </c>
      <c r="E59" s="8" t="s">
        <v>55</v>
      </c>
      <c r="F59" s="12">
        <v>28</v>
      </c>
      <c r="G59" s="8" t="s">
        <v>51</v>
      </c>
      <c r="H59" s="12">
        <v>3201</v>
      </c>
      <c r="I59" t="s">
        <v>176</v>
      </c>
      <c r="J59" t="s">
        <v>45</v>
      </c>
      <c r="N59" s="12"/>
      <c r="O59" s="8"/>
      <c r="P59">
        <v>1</v>
      </c>
      <c r="Q59" s="8">
        <v>1</v>
      </c>
      <c r="R59" s="12">
        <v>1</v>
      </c>
      <c r="S59" s="8">
        <v>1</v>
      </c>
      <c r="T59" s="12"/>
      <c r="U59" s="8"/>
      <c r="V59" s="2">
        <v>45658</v>
      </c>
      <c r="W59" s="2">
        <v>1</v>
      </c>
      <c r="X59" s="2">
        <v>45688</v>
      </c>
      <c r="Y59" s="2">
        <v>45688</v>
      </c>
      <c r="Z59" s="2"/>
      <c r="AA59" t="s">
        <v>184</v>
      </c>
    </row>
    <row r="60" spans="1:27" x14ac:dyDescent="0.25">
      <c r="A60" s="12">
        <v>8293</v>
      </c>
      <c r="B60" s="12">
        <v>354</v>
      </c>
      <c r="C60" t="s">
        <v>257</v>
      </c>
      <c r="D60">
        <v>247791</v>
      </c>
      <c r="E60" s="8" t="s">
        <v>175</v>
      </c>
      <c r="F60" s="12">
        <v>27</v>
      </c>
      <c r="G60" s="8" t="s">
        <v>171</v>
      </c>
      <c r="H60" s="12">
        <v>3201</v>
      </c>
      <c r="I60" t="s">
        <v>176</v>
      </c>
      <c r="J60" t="s">
        <v>45</v>
      </c>
      <c r="N60" s="12"/>
      <c r="O60" s="8"/>
      <c r="P60">
        <v>1</v>
      </c>
      <c r="Q60" s="8">
        <v>1</v>
      </c>
      <c r="R60" s="12">
        <v>1</v>
      </c>
      <c r="S60" s="8">
        <v>1</v>
      </c>
      <c r="T60" s="12"/>
      <c r="U60" s="8"/>
      <c r="V60" s="2">
        <v>45658</v>
      </c>
      <c r="W60" s="2">
        <v>1</v>
      </c>
      <c r="X60" s="2">
        <v>45747</v>
      </c>
      <c r="Y60" s="2">
        <v>45747</v>
      </c>
      <c r="Z60" s="2"/>
    </row>
    <row r="61" spans="1:27" x14ac:dyDescent="0.25">
      <c r="A61" s="12">
        <v>8255</v>
      </c>
      <c r="B61" s="12">
        <v>359</v>
      </c>
      <c r="C61" t="s">
        <v>258</v>
      </c>
      <c r="E61" s="8"/>
      <c r="F61" s="12">
        <v>21</v>
      </c>
      <c r="G61" s="8" t="s">
        <v>68</v>
      </c>
      <c r="H61" s="12">
        <v>3201</v>
      </c>
      <c r="I61" t="s">
        <v>176</v>
      </c>
      <c r="J61" t="s">
        <v>45</v>
      </c>
      <c r="K61" t="b">
        <v>1</v>
      </c>
      <c r="N61" s="12"/>
      <c r="O61" s="8"/>
      <c r="P61">
        <v>1</v>
      </c>
      <c r="Q61" s="8">
        <v>1</v>
      </c>
      <c r="R61" s="12">
        <v>1</v>
      </c>
      <c r="S61" s="8">
        <v>1</v>
      </c>
      <c r="T61" s="12"/>
      <c r="U61" s="8"/>
      <c r="V61" s="2">
        <v>45677</v>
      </c>
      <c r="W61" s="2">
        <v>1</v>
      </c>
      <c r="X61" s="2">
        <v>45688</v>
      </c>
      <c r="Y61" s="2">
        <v>45688</v>
      </c>
      <c r="Z61" s="2"/>
    </row>
    <row r="62" spans="1:27" x14ac:dyDescent="0.25">
      <c r="A62" s="12">
        <v>8292</v>
      </c>
      <c r="B62" s="12">
        <v>360</v>
      </c>
      <c r="C62" t="s">
        <v>259</v>
      </c>
      <c r="D62">
        <v>246895</v>
      </c>
      <c r="E62" s="8" t="s">
        <v>181</v>
      </c>
      <c r="F62" s="12">
        <v>29</v>
      </c>
      <c r="G62" s="8" t="s">
        <v>153</v>
      </c>
      <c r="H62" s="12">
        <v>3201</v>
      </c>
      <c r="I62" t="s">
        <v>176</v>
      </c>
      <c r="J62" t="s">
        <v>45</v>
      </c>
      <c r="N62" s="12"/>
      <c r="O62" s="8"/>
      <c r="P62">
        <v>1</v>
      </c>
      <c r="Q62" s="8">
        <v>1</v>
      </c>
      <c r="R62" s="12">
        <v>2</v>
      </c>
      <c r="S62" s="8">
        <v>2</v>
      </c>
      <c r="T62" s="12"/>
      <c r="U62" s="8"/>
      <c r="V62" s="2">
        <v>45698</v>
      </c>
      <c r="W62" s="2">
        <v>1</v>
      </c>
      <c r="X62" s="2">
        <v>45747</v>
      </c>
      <c r="Y62" s="2">
        <v>45747</v>
      </c>
      <c r="Z62" s="2"/>
    </row>
    <row r="63" spans="1:27" x14ac:dyDescent="0.25">
      <c r="A63" s="12">
        <v>8256</v>
      </c>
      <c r="B63" s="12">
        <v>362</v>
      </c>
      <c r="C63" t="s">
        <v>260</v>
      </c>
      <c r="D63">
        <v>247002</v>
      </c>
      <c r="E63" s="8" t="s">
        <v>163</v>
      </c>
      <c r="F63" s="12">
        <v>21</v>
      </c>
      <c r="G63" s="8" t="s">
        <v>68</v>
      </c>
      <c r="H63" s="12">
        <v>3202</v>
      </c>
      <c r="I63" t="s">
        <v>162</v>
      </c>
      <c r="J63" t="s">
        <v>45</v>
      </c>
      <c r="K63" t="b">
        <v>1</v>
      </c>
      <c r="N63" s="12"/>
      <c r="O63" s="8"/>
      <c r="P63">
        <v>1</v>
      </c>
      <c r="Q63" s="8">
        <v>1</v>
      </c>
      <c r="R63" s="12">
        <v>2</v>
      </c>
      <c r="S63" s="8">
        <v>2</v>
      </c>
      <c r="T63" s="12"/>
      <c r="U63" s="8"/>
      <c r="V63" s="2">
        <v>45677</v>
      </c>
      <c r="W63" s="2">
        <v>1</v>
      </c>
      <c r="X63" s="2">
        <v>45681</v>
      </c>
      <c r="Y63" s="2">
        <v>45684</v>
      </c>
      <c r="Z63" s="2">
        <v>45717</v>
      </c>
    </row>
    <row r="64" spans="1:27" x14ac:dyDescent="0.25">
      <c r="A64" s="12">
        <v>8247</v>
      </c>
      <c r="B64" s="12">
        <v>363</v>
      </c>
      <c r="C64" t="s">
        <v>261</v>
      </c>
      <c r="D64">
        <v>247651</v>
      </c>
      <c r="E64" s="8" t="s">
        <v>102</v>
      </c>
      <c r="F64" s="12">
        <v>28</v>
      </c>
      <c r="G64" s="8" t="s">
        <v>51</v>
      </c>
      <c r="H64" s="12">
        <v>3199</v>
      </c>
      <c r="I64" t="s">
        <v>103</v>
      </c>
      <c r="J64" t="s">
        <v>45</v>
      </c>
      <c r="N64" s="12"/>
      <c r="O64" s="8"/>
      <c r="P64">
        <v>2</v>
      </c>
      <c r="Q64" s="8">
        <v>2</v>
      </c>
      <c r="R64" s="12">
        <v>2</v>
      </c>
      <c r="S64" s="8">
        <v>2</v>
      </c>
      <c r="T64" s="12"/>
      <c r="U64" s="8"/>
      <c r="V64" s="2">
        <v>45679</v>
      </c>
      <c r="W64" s="2">
        <v>1</v>
      </c>
      <c r="X64" s="2">
        <v>45693</v>
      </c>
      <c r="Y64" s="2">
        <v>45694</v>
      </c>
      <c r="Z64" s="2"/>
      <c r="AA64" t="s">
        <v>179</v>
      </c>
    </row>
    <row r="65" spans="1:27" x14ac:dyDescent="0.25">
      <c r="A65" s="12">
        <v>8443</v>
      </c>
      <c r="B65" s="12">
        <v>367</v>
      </c>
      <c r="C65" t="s">
        <v>151</v>
      </c>
      <c r="D65">
        <v>247605</v>
      </c>
      <c r="E65" s="8" t="s">
        <v>152</v>
      </c>
      <c r="F65" s="12">
        <v>29</v>
      </c>
      <c r="G65" s="8" t="s">
        <v>153</v>
      </c>
      <c r="H65" s="12"/>
      <c r="J65" t="s">
        <v>45</v>
      </c>
      <c r="N65" s="12"/>
      <c r="O65" s="8"/>
      <c r="P65">
        <v>2</v>
      </c>
      <c r="Q65" s="8">
        <v>2</v>
      </c>
      <c r="R65" s="12">
        <v>2</v>
      </c>
      <c r="S65" s="8">
        <v>2</v>
      </c>
      <c r="T65" s="12"/>
      <c r="U65" s="8"/>
      <c r="V65" s="2">
        <v>45685</v>
      </c>
      <c r="W65" s="2">
        <v>1</v>
      </c>
      <c r="X65" s="2">
        <v>45716</v>
      </c>
      <c r="Y65" s="2">
        <v>45723</v>
      </c>
      <c r="Z65" s="2"/>
      <c r="AA65" t="s">
        <v>154</v>
      </c>
    </row>
    <row r="66" spans="1:27" x14ac:dyDescent="0.25">
      <c r="A66" s="12">
        <v>8444</v>
      </c>
      <c r="B66" s="12">
        <v>368</v>
      </c>
      <c r="C66" t="s">
        <v>155</v>
      </c>
      <c r="D66">
        <v>247888</v>
      </c>
      <c r="E66" s="8" t="s">
        <v>156</v>
      </c>
      <c r="F66" s="12">
        <v>22</v>
      </c>
      <c r="G66" s="8" t="s">
        <v>76</v>
      </c>
      <c r="H66" s="12">
        <v>3233</v>
      </c>
      <c r="I66" t="s">
        <v>44</v>
      </c>
      <c r="J66" t="s">
        <v>45</v>
      </c>
      <c r="N66" s="12"/>
      <c r="O66" s="8"/>
      <c r="P66">
        <v>1</v>
      </c>
      <c r="Q66" s="8">
        <v>1</v>
      </c>
      <c r="R66" s="12">
        <v>1</v>
      </c>
      <c r="S66" s="8">
        <v>1</v>
      </c>
      <c r="T66" s="12"/>
      <c r="U66" s="8"/>
      <c r="V66" s="2">
        <v>45653</v>
      </c>
      <c r="W66" s="2">
        <v>1</v>
      </c>
      <c r="X66" s="2">
        <v>45695</v>
      </c>
      <c r="Y66" s="2">
        <v>45695</v>
      </c>
      <c r="Z66" s="2"/>
      <c r="AA66" t="s">
        <v>157</v>
      </c>
    </row>
    <row r="67" spans="1:27" x14ac:dyDescent="0.25">
      <c r="A67" s="12">
        <v>8453</v>
      </c>
      <c r="B67" s="12">
        <v>372</v>
      </c>
      <c r="C67" t="s">
        <v>235</v>
      </c>
      <c r="D67">
        <v>289036</v>
      </c>
      <c r="E67" s="8" t="s">
        <v>220</v>
      </c>
      <c r="F67" s="12">
        <v>29</v>
      </c>
      <c r="G67" s="8" t="s">
        <v>153</v>
      </c>
      <c r="H67" s="12">
        <v>195</v>
      </c>
      <c r="I67" t="s">
        <v>77</v>
      </c>
      <c r="J67" t="s">
        <v>45</v>
      </c>
      <c r="K67" t="b">
        <v>1</v>
      </c>
      <c r="N67" s="12"/>
      <c r="O67" s="8"/>
      <c r="Q67" s="8"/>
      <c r="R67" s="12">
        <v>1</v>
      </c>
      <c r="S67" s="8">
        <v>1</v>
      </c>
      <c r="T67" s="12"/>
      <c r="U67" s="8"/>
      <c r="V67" s="2">
        <v>45673</v>
      </c>
      <c r="W67" s="2">
        <v>1</v>
      </c>
      <c r="X67" s="2">
        <v>45675</v>
      </c>
      <c r="Y67" s="2">
        <v>45675</v>
      </c>
      <c r="Z67" s="2"/>
    </row>
    <row r="68" spans="1:27" x14ac:dyDescent="0.25">
      <c r="A68" s="12">
        <v>8297</v>
      </c>
      <c r="B68" s="12">
        <v>373</v>
      </c>
      <c r="C68" t="s">
        <v>262</v>
      </c>
      <c r="E68" s="8"/>
      <c r="F68" s="12">
        <v>21</v>
      </c>
      <c r="G68" s="8" t="s">
        <v>68</v>
      </c>
      <c r="H68" s="12">
        <v>195</v>
      </c>
      <c r="I68" t="s">
        <v>77</v>
      </c>
      <c r="J68" t="s">
        <v>45</v>
      </c>
      <c r="K68" t="b">
        <v>1</v>
      </c>
      <c r="N68" s="12"/>
      <c r="O68" s="8"/>
      <c r="Q68" s="8"/>
      <c r="R68" s="12">
        <v>1</v>
      </c>
      <c r="S68" s="8">
        <v>1</v>
      </c>
      <c r="T68" s="12"/>
      <c r="U68" s="8"/>
      <c r="V68" s="2">
        <v>45658</v>
      </c>
      <c r="W68" s="2">
        <v>1</v>
      </c>
      <c r="X68" s="2">
        <v>45672</v>
      </c>
      <c r="Y68" s="2">
        <v>45675</v>
      </c>
      <c r="Z68" s="2"/>
    </row>
    <row r="69" spans="1:27" x14ac:dyDescent="0.25">
      <c r="A69" s="12">
        <v>8245</v>
      </c>
      <c r="B69" s="12">
        <v>0</v>
      </c>
      <c r="C69" t="s">
        <v>263</v>
      </c>
      <c r="E69" s="8"/>
      <c r="F69" s="12">
        <v>29</v>
      </c>
      <c r="G69" s="8" t="s">
        <v>153</v>
      </c>
      <c r="H69" s="12">
        <v>252</v>
      </c>
      <c r="I69" t="s">
        <v>158</v>
      </c>
      <c r="J69" t="s">
        <v>45</v>
      </c>
      <c r="L69">
        <v>1</v>
      </c>
      <c r="M69" t="s">
        <v>159</v>
      </c>
      <c r="N69" s="12"/>
      <c r="O69" s="8"/>
      <c r="Q69" s="8"/>
      <c r="R69" s="12"/>
      <c r="S69" s="8"/>
      <c r="T69" s="12"/>
      <c r="U69" s="8"/>
      <c r="V69" s="2"/>
      <c r="W69" s="2"/>
      <c r="X69" s="2"/>
      <c r="Y69" s="2"/>
      <c r="Z69" s="2"/>
    </row>
    <row r="70" spans="1:27" x14ac:dyDescent="0.25">
      <c r="A70" s="12">
        <v>8329</v>
      </c>
      <c r="B70" s="12">
        <v>0</v>
      </c>
      <c r="C70" t="s">
        <v>160</v>
      </c>
      <c r="D70">
        <v>247047</v>
      </c>
      <c r="E70" s="8" t="s">
        <v>161</v>
      </c>
      <c r="F70" s="12">
        <v>29</v>
      </c>
      <c r="G70" s="8" t="s">
        <v>153</v>
      </c>
      <c r="H70" s="12">
        <v>312</v>
      </c>
      <c r="I70" t="s">
        <v>132</v>
      </c>
      <c r="J70" t="s">
        <v>45</v>
      </c>
      <c r="K70" t="b">
        <v>1</v>
      </c>
      <c r="N70" s="12"/>
      <c r="O70" s="8"/>
      <c r="Q70" s="8"/>
      <c r="R70" s="12"/>
      <c r="S70" s="8"/>
      <c r="T70" s="12"/>
      <c r="U70" s="8"/>
      <c r="V70" s="2"/>
      <c r="W70" s="2"/>
      <c r="X70" s="2"/>
      <c r="Y70" s="2"/>
      <c r="Z70" s="2"/>
    </row>
    <row r="71" spans="1:27" x14ac:dyDescent="0.25">
      <c r="A71" s="12">
        <v>8463</v>
      </c>
      <c r="B71" s="12">
        <v>0</v>
      </c>
      <c r="C71" t="s">
        <v>264</v>
      </c>
      <c r="E71" s="8"/>
      <c r="F71" s="12">
        <v>29</v>
      </c>
      <c r="G71" s="8" t="s">
        <v>153</v>
      </c>
      <c r="H71" s="12">
        <v>252</v>
      </c>
      <c r="I71" t="s">
        <v>158</v>
      </c>
      <c r="J71" t="s">
        <v>45</v>
      </c>
      <c r="N71" s="12"/>
      <c r="O71" s="8"/>
      <c r="Q71" s="8"/>
      <c r="R71" s="12"/>
      <c r="S71" s="8"/>
      <c r="T71" s="12"/>
      <c r="U71" s="8"/>
      <c r="V71" s="2"/>
      <c r="W71" s="2"/>
      <c r="X71" s="2"/>
      <c r="Y71" s="2"/>
      <c r="Z71" s="2"/>
    </row>
    <row r="72" spans="1:27" x14ac:dyDescent="0.25">
      <c r="A72" s="12">
        <v>8325</v>
      </c>
      <c r="B72" s="12">
        <v>0</v>
      </c>
      <c r="C72" t="s">
        <v>164</v>
      </c>
      <c r="D72">
        <v>247857</v>
      </c>
      <c r="E72" s="8" t="s">
        <v>61</v>
      </c>
      <c r="F72" s="12">
        <v>29</v>
      </c>
      <c r="G72" s="8" t="s">
        <v>153</v>
      </c>
      <c r="H72" s="12">
        <v>252</v>
      </c>
      <c r="I72" t="s">
        <v>158</v>
      </c>
      <c r="J72" t="s">
        <v>45</v>
      </c>
      <c r="K72" t="b">
        <v>1</v>
      </c>
      <c r="L72">
        <v>3</v>
      </c>
      <c r="M72" t="s">
        <v>165</v>
      </c>
      <c r="N72" s="12">
        <v>2</v>
      </c>
      <c r="O72" s="8" t="s">
        <v>166</v>
      </c>
      <c r="P72">
        <v>2</v>
      </c>
      <c r="Q72" s="8">
        <v>2</v>
      </c>
      <c r="R72" s="12">
        <v>2</v>
      </c>
      <c r="S72" s="8">
        <v>2</v>
      </c>
      <c r="T72" s="12">
        <v>1</v>
      </c>
      <c r="U72" s="8" t="s">
        <v>167</v>
      </c>
      <c r="V72" s="2">
        <v>45699</v>
      </c>
      <c r="W72" s="2">
        <v>45705</v>
      </c>
      <c r="X72" s="2"/>
      <c r="Y72" s="2"/>
      <c r="Z72" s="2"/>
    </row>
    <row r="73" spans="1:27" x14ac:dyDescent="0.25">
      <c r="A73" s="12">
        <v>8326</v>
      </c>
      <c r="B73" s="12">
        <v>0</v>
      </c>
      <c r="C73" t="s">
        <v>168</v>
      </c>
      <c r="D73">
        <v>289006</v>
      </c>
      <c r="E73" s="8" t="s">
        <v>75</v>
      </c>
      <c r="F73" s="12">
        <v>30</v>
      </c>
      <c r="G73" s="8" t="s">
        <v>43</v>
      </c>
      <c r="H73" s="12">
        <v>3202</v>
      </c>
      <c r="I73" t="s">
        <v>162</v>
      </c>
      <c r="J73" t="s">
        <v>45</v>
      </c>
      <c r="K73" t="b">
        <v>1</v>
      </c>
      <c r="L73">
        <v>4</v>
      </c>
      <c r="M73" t="s">
        <v>169</v>
      </c>
      <c r="N73" s="12">
        <v>1</v>
      </c>
      <c r="O73" s="8" t="s">
        <v>170</v>
      </c>
      <c r="P73">
        <v>2</v>
      </c>
      <c r="Q73" s="8">
        <v>2</v>
      </c>
      <c r="R73" s="12">
        <v>2</v>
      </c>
      <c r="S73" s="8">
        <v>2</v>
      </c>
      <c r="T73" s="12">
        <v>1</v>
      </c>
      <c r="U73" s="8" t="s">
        <v>167</v>
      </c>
      <c r="V73" s="2">
        <v>45694</v>
      </c>
      <c r="W73" s="2">
        <v>45701</v>
      </c>
      <c r="X73" s="2">
        <v>45716</v>
      </c>
      <c r="Y73" s="2">
        <v>45716</v>
      </c>
      <c r="Z73" s="2"/>
    </row>
    <row r="74" spans="1:27" x14ac:dyDescent="0.25">
      <c r="A74" s="12">
        <v>8327</v>
      </c>
      <c r="B74" s="12">
        <v>0</v>
      </c>
      <c r="C74" t="s">
        <v>174</v>
      </c>
      <c r="D74">
        <v>247791</v>
      </c>
      <c r="E74" s="8" t="s">
        <v>175</v>
      </c>
      <c r="F74" s="12">
        <v>29</v>
      </c>
      <c r="G74" s="8" t="s">
        <v>153</v>
      </c>
      <c r="H74" s="12">
        <v>3201</v>
      </c>
      <c r="I74" t="s">
        <v>176</v>
      </c>
      <c r="J74" t="s">
        <v>45</v>
      </c>
      <c r="L74">
        <v>2</v>
      </c>
      <c r="M74" t="s">
        <v>177</v>
      </c>
      <c r="N74" s="12">
        <v>2</v>
      </c>
      <c r="O74" s="8" t="s">
        <v>166</v>
      </c>
      <c r="P74">
        <v>2</v>
      </c>
      <c r="Q74" s="8">
        <v>2</v>
      </c>
      <c r="R74" s="12">
        <v>2</v>
      </c>
      <c r="S74" s="8">
        <v>2</v>
      </c>
      <c r="T74" s="12">
        <v>2</v>
      </c>
      <c r="U74" s="8" t="s">
        <v>178</v>
      </c>
      <c r="V74" s="2">
        <v>45689</v>
      </c>
      <c r="W74" s="2"/>
      <c r="X74" s="2"/>
      <c r="Y74" s="2"/>
      <c r="Z74" s="2"/>
    </row>
    <row r="75" spans="1:27" x14ac:dyDescent="0.25">
      <c r="A75" s="12">
        <v>8313</v>
      </c>
      <c r="B75" s="12">
        <v>0</v>
      </c>
      <c r="C75" t="s">
        <v>265</v>
      </c>
      <c r="D75">
        <v>254970</v>
      </c>
      <c r="E75" s="8" t="s">
        <v>182</v>
      </c>
      <c r="F75" s="12">
        <v>21</v>
      </c>
      <c r="G75" s="8" t="s">
        <v>68</v>
      </c>
      <c r="H75" s="12">
        <v>3204</v>
      </c>
      <c r="I75" t="s">
        <v>183</v>
      </c>
      <c r="J75" t="s">
        <v>45</v>
      </c>
      <c r="L75">
        <v>4</v>
      </c>
      <c r="M75" t="s">
        <v>169</v>
      </c>
      <c r="N75" s="12">
        <v>2</v>
      </c>
      <c r="O75" s="8" t="s">
        <v>166</v>
      </c>
      <c r="P75">
        <v>2</v>
      </c>
      <c r="Q75" s="8">
        <v>2</v>
      </c>
      <c r="R75" s="12">
        <v>2</v>
      </c>
      <c r="S75" s="8">
        <v>2</v>
      </c>
      <c r="T75" s="12">
        <v>1</v>
      </c>
      <c r="U75" s="8" t="s">
        <v>167</v>
      </c>
      <c r="V75" s="2">
        <v>45693</v>
      </c>
      <c r="W75" s="2">
        <v>45693</v>
      </c>
      <c r="X75" s="2"/>
      <c r="Y75" s="2"/>
      <c r="Z75" s="2"/>
    </row>
    <row r="76" spans="1:27" x14ac:dyDescent="0.25">
      <c r="A76" s="12">
        <v>8448</v>
      </c>
      <c r="B76" s="12">
        <v>0</v>
      </c>
      <c r="C76" t="s">
        <v>187</v>
      </c>
      <c r="D76">
        <v>247647</v>
      </c>
      <c r="E76" s="8" t="s">
        <v>188</v>
      </c>
      <c r="F76" s="12">
        <v>22</v>
      </c>
      <c r="G76" s="8" t="s">
        <v>76</v>
      </c>
      <c r="H76" s="12">
        <v>3233</v>
      </c>
      <c r="I76" t="s">
        <v>44</v>
      </c>
      <c r="J76" t="s">
        <v>45</v>
      </c>
      <c r="K76" t="b">
        <v>1</v>
      </c>
      <c r="L76">
        <v>3</v>
      </c>
      <c r="M76" t="s">
        <v>165</v>
      </c>
      <c r="N76" s="12">
        <v>2</v>
      </c>
      <c r="O76" s="8" t="s">
        <v>166</v>
      </c>
      <c r="P76">
        <v>1</v>
      </c>
      <c r="Q76" s="8">
        <v>1</v>
      </c>
      <c r="R76" s="12">
        <v>1</v>
      </c>
      <c r="S76" s="8">
        <v>1</v>
      </c>
      <c r="T76" s="12">
        <v>2</v>
      </c>
      <c r="U76" s="8" t="s">
        <v>178</v>
      </c>
      <c r="V76" s="2">
        <v>45698</v>
      </c>
      <c r="W76" s="2">
        <v>45699</v>
      </c>
      <c r="X76" s="2">
        <v>45706</v>
      </c>
      <c r="Y76" s="2"/>
      <c r="Z76" s="2"/>
      <c r="AA76" t="s">
        <v>189</v>
      </c>
    </row>
    <row r="77" spans="1:27" x14ac:dyDescent="0.25">
      <c r="A77" s="12">
        <v>8447</v>
      </c>
      <c r="B77" s="12">
        <v>0</v>
      </c>
      <c r="C77" t="s">
        <v>190</v>
      </c>
      <c r="D77">
        <v>289030</v>
      </c>
      <c r="E77" s="8" t="s">
        <v>191</v>
      </c>
      <c r="F77" s="12">
        <v>29</v>
      </c>
      <c r="G77" s="8" t="s">
        <v>153</v>
      </c>
      <c r="H77" s="12">
        <v>3198</v>
      </c>
      <c r="I77" t="s">
        <v>52</v>
      </c>
      <c r="J77" t="s">
        <v>45</v>
      </c>
      <c r="K77" t="b">
        <v>1</v>
      </c>
      <c r="L77">
        <v>3</v>
      </c>
      <c r="M77" t="s">
        <v>165</v>
      </c>
      <c r="N77" s="12">
        <v>1</v>
      </c>
      <c r="O77" s="8" t="s">
        <v>170</v>
      </c>
      <c r="P77">
        <v>2</v>
      </c>
      <c r="Q77" s="8">
        <v>2</v>
      </c>
      <c r="R77" s="12">
        <v>1</v>
      </c>
      <c r="S77" s="8">
        <v>1</v>
      </c>
      <c r="T77" s="12">
        <v>1</v>
      </c>
      <c r="U77" s="8" t="s">
        <v>167</v>
      </c>
      <c r="V77" s="2">
        <v>45705</v>
      </c>
      <c r="W77" s="2">
        <v>45705</v>
      </c>
      <c r="X77" s="2">
        <v>45705</v>
      </c>
      <c r="Y77" s="2"/>
      <c r="Z77" s="2"/>
    </row>
    <row r="78" spans="1:27" x14ac:dyDescent="0.25">
      <c r="A78" s="12">
        <v>8284</v>
      </c>
      <c r="B78" s="12">
        <v>0</v>
      </c>
      <c r="C78" t="s">
        <v>193</v>
      </c>
      <c r="E78" s="8"/>
      <c r="F78" s="12">
        <v>21</v>
      </c>
      <c r="G78" s="8" t="s">
        <v>68</v>
      </c>
      <c r="H78" s="12">
        <v>3198</v>
      </c>
      <c r="I78" t="s">
        <v>52</v>
      </c>
      <c r="J78" t="s">
        <v>45</v>
      </c>
      <c r="N78" s="12"/>
      <c r="O78" s="8"/>
      <c r="Q78" s="8"/>
      <c r="R78" s="12"/>
      <c r="S78" s="8"/>
      <c r="T78" s="12"/>
      <c r="U78" s="8"/>
      <c r="V78" s="2"/>
      <c r="W78" s="2"/>
      <c r="X78" s="2"/>
      <c r="Y78" s="2"/>
      <c r="Z78" s="2"/>
    </row>
    <row r="79" spans="1:27" x14ac:dyDescent="0.25">
      <c r="A79" s="12">
        <v>8289</v>
      </c>
      <c r="B79" s="12">
        <v>0</v>
      </c>
      <c r="C79" t="s">
        <v>195</v>
      </c>
      <c r="E79" s="8"/>
      <c r="F79" s="12">
        <v>28</v>
      </c>
      <c r="G79" s="8" t="s">
        <v>51</v>
      </c>
      <c r="H79" s="12">
        <v>3203</v>
      </c>
      <c r="I79" t="s">
        <v>126</v>
      </c>
      <c r="J79" t="s">
        <v>45</v>
      </c>
      <c r="N79" s="12"/>
      <c r="O79" s="8"/>
      <c r="Q79" s="8"/>
      <c r="R79" s="12"/>
      <c r="S79" s="8"/>
      <c r="T79" s="12"/>
      <c r="U79" s="8"/>
      <c r="V79" s="2">
        <v>45691</v>
      </c>
      <c r="W79" s="2">
        <v>45691</v>
      </c>
      <c r="X79" s="2"/>
      <c r="Y79" s="2"/>
      <c r="Z79" s="2"/>
    </row>
    <row r="80" spans="1:27" x14ac:dyDescent="0.25">
      <c r="A80" s="12">
        <v>8462</v>
      </c>
      <c r="B80" s="12">
        <v>0</v>
      </c>
      <c r="C80" t="s">
        <v>266</v>
      </c>
      <c r="D80">
        <v>247884</v>
      </c>
      <c r="E80" s="8" t="s">
        <v>186</v>
      </c>
      <c r="F80" s="12">
        <v>22</v>
      </c>
      <c r="G80" s="8" t="s">
        <v>76</v>
      </c>
      <c r="H80" s="12">
        <v>3204</v>
      </c>
      <c r="I80" t="s">
        <v>183</v>
      </c>
      <c r="J80" t="s">
        <v>45</v>
      </c>
      <c r="L80">
        <v>4</v>
      </c>
      <c r="M80" t="s">
        <v>169</v>
      </c>
      <c r="N80" s="12">
        <v>1</v>
      </c>
      <c r="O80" s="8" t="s">
        <v>170</v>
      </c>
      <c r="P80">
        <v>2</v>
      </c>
      <c r="Q80" s="8">
        <v>2</v>
      </c>
      <c r="R80" s="12"/>
      <c r="S80" s="8"/>
      <c r="T80" s="12"/>
      <c r="U80" s="8"/>
      <c r="V80" s="2">
        <v>45705</v>
      </c>
      <c r="W80" s="2">
        <v>45705</v>
      </c>
      <c r="X80" s="2">
        <v>45705</v>
      </c>
      <c r="Y80" s="2">
        <v>45705</v>
      </c>
      <c r="Z80" s="2">
        <v>45705</v>
      </c>
    </row>
    <row r="81" spans="1:27" x14ac:dyDescent="0.25">
      <c r="A81" s="12">
        <v>8309</v>
      </c>
      <c r="B81" s="12">
        <v>0</v>
      </c>
      <c r="C81" t="s">
        <v>196</v>
      </c>
      <c r="D81">
        <v>247417</v>
      </c>
      <c r="E81" s="8" t="s">
        <v>197</v>
      </c>
      <c r="F81" s="12">
        <v>21</v>
      </c>
      <c r="G81" s="8" t="s">
        <v>68</v>
      </c>
      <c r="H81" s="12">
        <v>3202</v>
      </c>
      <c r="I81" t="s">
        <v>162</v>
      </c>
      <c r="J81" t="s">
        <v>45</v>
      </c>
      <c r="L81">
        <v>4</v>
      </c>
      <c r="M81" t="s">
        <v>169</v>
      </c>
      <c r="N81" s="12">
        <v>1</v>
      </c>
      <c r="O81" s="8" t="s">
        <v>170</v>
      </c>
      <c r="P81">
        <v>1</v>
      </c>
      <c r="Q81" s="8">
        <v>1</v>
      </c>
      <c r="R81" s="12">
        <v>2</v>
      </c>
      <c r="S81" s="8">
        <v>2</v>
      </c>
      <c r="T81" s="12">
        <v>1</v>
      </c>
      <c r="U81" s="8" t="s">
        <v>167</v>
      </c>
      <c r="V81" s="2">
        <v>45692</v>
      </c>
      <c r="W81" s="2">
        <v>45692</v>
      </c>
      <c r="X81" s="2">
        <v>45693</v>
      </c>
      <c r="Y81" s="2">
        <v>45693</v>
      </c>
      <c r="Z81" s="2">
        <v>45693</v>
      </c>
    </row>
    <row r="82" spans="1:27" x14ac:dyDescent="0.25">
      <c r="A82" s="12">
        <v>8461</v>
      </c>
      <c r="B82" s="12">
        <v>0</v>
      </c>
      <c r="C82" t="s">
        <v>267</v>
      </c>
      <c r="D82">
        <v>247572</v>
      </c>
      <c r="E82" s="8" t="s">
        <v>268</v>
      </c>
      <c r="F82" s="12">
        <v>22</v>
      </c>
      <c r="G82" s="8" t="s">
        <v>76</v>
      </c>
      <c r="H82" s="12">
        <v>3204</v>
      </c>
      <c r="I82" t="s">
        <v>183</v>
      </c>
      <c r="J82" t="s">
        <v>45</v>
      </c>
      <c r="L82">
        <v>4</v>
      </c>
      <c r="M82" t="s">
        <v>169</v>
      </c>
      <c r="N82" s="12">
        <v>1</v>
      </c>
      <c r="O82" s="8" t="s">
        <v>170</v>
      </c>
      <c r="P82">
        <v>2</v>
      </c>
      <c r="Q82" s="8">
        <v>2</v>
      </c>
      <c r="R82" s="12"/>
      <c r="S82" s="8"/>
      <c r="T82" s="12">
        <v>1</v>
      </c>
      <c r="U82" s="8" t="s">
        <v>167</v>
      </c>
      <c r="V82" s="2">
        <v>45706</v>
      </c>
      <c r="W82" s="2">
        <v>45706</v>
      </c>
      <c r="X82" s="2">
        <v>45706</v>
      </c>
      <c r="Y82" s="2">
        <v>45706</v>
      </c>
      <c r="Z82" s="2">
        <v>45706</v>
      </c>
    </row>
    <row r="83" spans="1:27" x14ac:dyDescent="0.25">
      <c r="A83" s="12">
        <v>8336</v>
      </c>
      <c r="B83" s="12">
        <v>0</v>
      </c>
      <c r="C83" t="s">
        <v>200</v>
      </c>
      <c r="D83">
        <v>247897</v>
      </c>
      <c r="E83" s="8" t="s">
        <v>201</v>
      </c>
      <c r="F83" s="12">
        <v>21</v>
      </c>
      <c r="G83" s="8" t="s">
        <v>68</v>
      </c>
      <c r="H83" s="12">
        <v>3202</v>
      </c>
      <c r="I83" t="s">
        <v>162</v>
      </c>
      <c r="J83" t="s">
        <v>45</v>
      </c>
      <c r="K83" t="b">
        <v>1</v>
      </c>
      <c r="L83">
        <v>4</v>
      </c>
      <c r="M83" t="s">
        <v>169</v>
      </c>
      <c r="N83" s="12">
        <v>1</v>
      </c>
      <c r="O83" s="8" t="s">
        <v>170</v>
      </c>
      <c r="P83">
        <v>2</v>
      </c>
      <c r="Q83" s="8">
        <v>2</v>
      </c>
      <c r="R83" s="12">
        <v>2</v>
      </c>
      <c r="S83" s="8">
        <v>2</v>
      </c>
      <c r="T83" s="12">
        <v>1</v>
      </c>
      <c r="U83" s="8" t="s">
        <v>167</v>
      </c>
      <c r="V83" s="2">
        <v>45701</v>
      </c>
      <c r="W83" s="2">
        <v>45701</v>
      </c>
      <c r="X83" s="2">
        <v>45701</v>
      </c>
      <c r="Y83" s="2">
        <v>45701</v>
      </c>
      <c r="Z83" s="2">
        <v>45701</v>
      </c>
    </row>
    <row r="84" spans="1:27" x14ac:dyDescent="0.25">
      <c r="A84" s="12">
        <v>8290</v>
      </c>
      <c r="B84" s="12">
        <v>0</v>
      </c>
      <c r="C84" t="s">
        <v>202</v>
      </c>
      <c r="E84" s="8"/>
      <c r="F84" s="12">
        <v>21</v>
      </c>
      <c r="G84" s="8" t="s">
        <v>68</v>
      </c>
      <c r="H84" s="12">
        <v>3201</v>
      </c>
      <c r="I84" t="s">
        <v>176</v>
      </c>
      <c r="J84" t="s">
        <v>45</v>
      </c>
      <c r="L84">
        <v>4</v>
      </c>
      <c r="M84" t="s">
        <v>169</v>
      </c>
      <c r="N84" s="12">
        <v>1</v>
      </c>
      <c r="O84" s="8" t="s">
        <v>170</v>
      </c>
      <c r="P84">
        <v>2</v>
      </c>
      <c r="Q84" s="8">
        <v>2</v>
      </c>
      <c r="R84" s="12">
        <v>3</v>
      </c>
      <c r="S84" s="8">
        <v>3</v>
      </c>
      <c r="T84" s="12">
        <v>2</v>
      </c>
      <c r="U84" s="8" t="s">
        <v>178</v>
      </c>
      <c r="V84" s="2">
        <v>45658</v>
      </c>
      <c r="W84" s="2">
        <v>45658</v>
      </c>
      <c r="X84" s="2">
        <v>45688</v>
      </c>
      <c r="Y84" s="2">
        <v>45688</v>
      </c>
      <c r="Z84" s="2">
        <v>45688</v>
      </c>
    </row>
    <row r="85" spans="1:27" x14ac:dyDescent="0.25">
      <c r="A85" s="12">
        <v>8314</v>
      </c>
      <c r="B85" s="12">
        <v>0</v>
      </c>
      <c r="C85" t="s">
        <v>203</v>
      </c>
      <c r="E85" s="8"/>
      <c r="F85" s="12">
        <v>22</v>
      </c>
      <c r="G85" s="8" t="s">
        <v>76</v>
      </c>
      <c r="H85" s="12">
        <v>3201</v>
      </c>
      <c r="I85" t="s">
        <v>176</v>
      </c>
      <c r="J85" t="s">
        <v>45</v>
      </c>
      <c r="L85">
        <v>4</v>
      </c>
      <c r="M85" t="s">
        <v>169</v>
      </c>
      <c r="N85" s="12">
        <v>1</v>
      </c>
      <c r="O85" s="8" t="s">
        <v>170</v>
      </c>
      <c r="P85">
        <v>2</v>
      </c>
      <c r="Q85" s="8">
        <v>2</v>
      </c>
      <c r="R85" s="12">
        <v>3</v>
      </c>
      <c r="S85" s="8">
        <v>3</v>
      </c>
      <c r="T85" s="12">
        <v>1</v>
      </c>
      <c r="U85" s="8" t="s">
        <v>167</v>
      </c>
      <c r="V85" s="2">
        <v>45689</v>
      </c>
      <c r="W85" s="2">
        <v>45689</v>
      </c>
      <c r="X85" s="2">
        <v>45716</v>
      </c>
      <c r="Y85" s="2">
        <v>45716</v>
      </c>
      <c r="Z85" s="2"/>
    </row>
    <row r="86" spans="1:27" x14ac:dyDescent="0.25">
      <c r="A86" s="12">
        <v>8307</v>
      </c>
      <c r="B86" s="12">
        <v>0</v>
      </c>
      <c r="C86" t="s">
        <v>206</v>
      </c>
      <c r="E86" s="8"/>
      <c r="F86" s="12">
        <v>30</v>
      </c>
      <c r="G86" s="8" t="s">
        <v>43</v>
      </c>
      <c r="H86" s="12">
        <v>195</v>
      </c>
      <c r="I86" t="s">
        <v>77</v>
      </c>
      <c r="J86" t="s">
        <v>45</v>
      </c>
      <c r="N86" s="12"/>
      <c r="O86" s="8"/>
      <c r="Q86" s="8"/>
      <c r="R86" s="12"/>
      <c r="S86" s="8"/>
      <c r="T86" s="12"/>
      <c r="U86" s="8"/>
      <c r="V86" s="2"/>
      <c r="W86" s="2"/>
      <c r="X86" s="2"/>
      <c r="Y86" s="2"/>
      <c r="Z86" s="2"/>
    </row>
    <row r="87" spans="1:27" x14ac:dyDescent="0.25">
      <c r="A87" s="12">
        <v>8334</v>
      </c>
      <c r="B87" s="12">
        <v>0</v>
      </c>
      <c r="C87" t="s">
        <v>207</v>
      </c>
      <c r="D87">
        <v>247857</v>
      </c>
      <c r="E87" s="8" t="s">
        <v>61</v>
      </c>
      <c r="F87" s="12">
        <v>22</v>
      </c>
      <c r="G87" s="8" t="s">
        <v>76</v>
      </c>
      <c r="H87" s="12">
        <v>195</v>
      </c>
      <c r="I87" t="s">
        <v>77</v>
      </c>
      <c r="J87" t="s">
        <v>45</v>
      </c>
      <c r="K87" t="b">
        <v>1</v>
      </c>
      <c r="L87">
        <v>2</v>
      </c>
      <c r="M87" t="s">
        <v>177</v>
      </c>
      <c r="N87" s="12">
        <v>2</v>
      </c>
      <c r="O87" s="8" t="s">
        <v>166</v>
      </c>
      <c r="P87">
        <v>2</v>
      </c>
      <c r="Q87" s="8">
        <v>2</v>
      </c>
      <c r="R87" s="12">
        <v>2</v>
      </c>
      <c r="S87" s="8">
        <v>2</v>
      </c>
      <c r="T87" s="12">
        <v>2</v>
      </c>
      <c r="U87" s="8" t="s">
        <v>178</v>
      </c>
      <c r="V87" s="2">
        <v>45689</v>
      </c>
      <c r="W87" s="2">
        <v>45689</v>
      </c>
      <c r="X87" s="2">
        <v>45702</v>
      </c>
      <c r="Y87" s="2">
        <v>45702</v>
      </c>
      <c r="Z87" s="2"/>
      <c r="AA87" t="s">
        <v>208</v>
      </c>
    </row>
    <row r="88" spans="1:27" x14ac:dyDescent="0.25">
      <c r="A88" s="12">
        <v>8335</v>
      </c>
      <c r="B88" s="12">
        <v>0</v>
      </c>
      <c r="C88" t="s">
        <v>269</v>
      </c>
      <c r="D88">
        <v>247884</v>
      </c>
      <c r="E88" s="8" t="s">
        <v>186</v>
      </c>
      <c r="F88" s="12">
        <v>22</v>
      </c>
      <c r="G88" s="8" t="s">
        <v>76</v>
      </c>
      <c r="H88" s="12">
        <v>3204</v>
      </c>
      <c r="I88" t="s">
        <v>183</v>
      </c>
      <c r="J88" t="s">
        <v>45</v>
      </c>
      <c r="L88">
        <v>3</v>
      </c>
      <c r="M88" t="s">
        <v>165</v>
      </c>
      <c r="N88" s="12"/>
      <c r="O88" s="8"/>
      <c r="Q88" s="8"/>
      <c r="R88" s="12"/>
      <c r="S88" s="8"/>
      <c r="T88" s="12"/>
      <c r="U88" s="8"/>
      <c r="V88" s="2">
        <v>45701</v>
      </c>
      <c r="W88" s="2">
        <v>45701</v>
      </c>
      <c r="X88" s="2">
        <v>45701</v>
      </c>
      <c r="Y88" s="2">
        <v>45701</v>
      </c>
      <c r="Z88" s="2">
        <v>45701</v>
      </c>
    </row>
    <row r="89" spans="1:27" x14ac:dyDescent="0.25">
      <c r="A89" s="12">
        <v>8260</v>
      </c>
      <c r="B89" s="12">
        <v>299</v>
      </c>
      <c r="C89" t="s">
        <v>270</v>
      </c>
      <c r="E89" s="8"/>
      <c r="F89" s="12">
        <v>22</v>
      </c>
      <c r="G89" s="8" t="s">
        <v>76</v>
      </c>
      <c r="H89" s="12">
        <v>3202</v>
      </c>
      <c r="I89" t="s">
        <v>162</v>
      </c>
      <c r="J89" t="s">
        <v>45</v>
      </c>
      <c r="N89" s="12"/>
      <c r="O89" s="8"/>
      <c r="P89">
        <v>1</v>
      </c>
      <c r="Q89" s="8">
        <v>1</v>
      </c>
      <c r="R89" s="12">
        <v>1</v>
      </c>
      <c r="S89" s="8">
        <v>1</v>
      </c>
      <c r="T89" s="12"/>
      <c r="U89" s="8"/>
      <c r="V89" s="2">
        <v>45658</v>
      </c>
      <c r="W89" s="2">
        <v>1</v>
      </c>
      <c r="X89" s="2">
        <v>45702</v>
      </c>
      <c r="Y89" s="2">
        <v>45702</v>
      </c>
      <c r="Z89" s="2"/>
    </row>
    <row r="90" spans="1:27" x14ac:dyDescent="0.25">
      <c r="A90" s="12">
        <v>8330</v>
      </c>
      <c r="B90" s="12">
        <v>303</v>
      </c>
      <c r="C90" t="s">
        <v>271</v>
      </c>
      <c r="D90">
        <v>247614</v>
      </c>
      <c r="E90" s="8" t="s">
        <v>209</v>
      </c>
      <c r="F90" s="12">
        <v>30</v>
      </c>
      <c r="G90" s="8" t="s">
        <v>43</v>
      </c>
      <c r="H90" s="12">
        <v>195</v>
      </c>
      <c r="I90" t="s">
        <v>77</v>
      </c>
      <c r="J90" t="s">
        <v>45</v>
      </c>
      <c r="N90" s="12"/>
      <c r="O90" s="8"/>
      <c r="P90">
        <v>1</v>
      </c>
      <c r="Q90" s="8">
        <v>1</v>
      </c>
      <c r="R90" s="12">
        <v>1</v>
      </c>
      <c r="S90" s="8">
        <v>1</v>
      </c>
      <c r="T90" s="12"/>
      <c r="U90" s="8"/>
      <c r="V90" s="2">
        <v>45658</v>
      </c>
      <c r="W90" s="2">
        <v>1</v>
      </c>
      <c r="X90" s="2">
        <v>45716</v>
      </c>
      <c r="Y90" s="2">
        <v>45775</v>
      </c>
      <c r="Z90" s="2"/>
    </row>
    <row r="91" spans="1:27" x14ac:dyDescent="0.25">
      <c r="A91" s="12">
        <v>8316</v>
      </c>
      <c r="B91" s="12">
        <v>325</v>
      </c>
      <c r="C91" t="s">
        <v>272</v>
      </c>
      <c r="E91" s="8"/>
      <c r="F91" s="12">
        <v>22</v>
      </c>
      <c r="G91" s="8" t="s">
        <v>76</v>
      </c>
      <c r="H91" s="12">
        <v>2767</v>
      </c>
      <c r="I91" t="s">
        <v>117</v>
      </c>
      <c r="J91" t="s">
        <v>45</v>
      </c>
      <c r="K91" t="b">
        <v>1</v>
      </c>
      <c r="N91" s="12"/>
      <c r="O91" s="8"/>
      <c r="P91">
        <v>1</v>
      </c>
      <c r="Q91" s="8">
        <v>1</v>
      </c>
      <c r="R91" s="12">
        <v>1</v>
      </c>
      <c r="S91" s="8">
        <v>1</v>
      </c>
      <c r="T91" s="12"/>
      <c r="U91" s="8"/>
      <c r="V91" s="2">
        <v>45658</v>
      </c>
      <c r="W91" s="2">
        <v>1</v>
      </c>
      <c r="X91" s="2">
        <v>45688</v>
      </c>
      <c r="Y91" s="2">
        <v>45757</v>
      </c>
      <c r="Z91" s="2"/>
      <c r="AA91" t="s">
        <v>214</v>
      </c>
    </row>
    <row r="92" spans="1:27" x14ac:dyDescent="0.25">
      <c r="A92" s="12">
        <v>8287</v>
      </c>
      <c r="B92" s="12">
        <v>327</v>
      </c>
      <c r="C92" t="s">
        <v>273</v>
      </c>
      <c r="D92">
        <v>247795</v>
      </c>
      <c r="E92" s="8" t="s">
        <v>55</v>
      </c>
      <c r="F92" s="12">
        <v>22</v>
      </c>
      <c r="G92" s="8" t="s">
        <v>76</v>
      </c>
      <c r="H92" s="12">
        <v>3201</v>
      </c>
      <c r="I92" t="s">
        <v>176</v>
      </c>
      <c r="J92" t="s">
        <v>45</v>
      </c>
      <c r="N92" s="12"/>
      <c r="O92" s="8"/>
      <c r="P92">
        <v>1</v>
      </c>
      <c r="Q92" s="8">
        <v>1</v>
      </c>
      <c r="R92" s="12">
        <v>1</v>
      </c>
      <c r="S92" s="8">
        <v>1</v>
      </c>
      <c r="T92" s="12"/>
      <c r="U92" s="8"/>
      <c r="V92" s="2">
        <v>45658</v>
      </c>
      <c r="W92" s="2">
        <v>1</v>
      </c>
      <c r="X92" s="2">
        <v>45702</v>
      </c>
      <c r="Y92" s="2">
        <v>45702</v>
      </c>
      <c r="Z92" s="2"/>
      <c r="AA92" t="s">
        <v>210</v>
      </c>
    </row>
    <row r="93" spans="1:27" x14ac:dyDescent="0.25">
      <c r="A93" s="12">
        <v>8273</v>
      </c>
      <c r="B93" s="12">
        <v>338</v>
      </c>
      <c r="C93" t="s">
        <v>274</v>
      </c>
      <c r="D93">
        <v>247857</v>
      </c>
      <c r="E93" s="8" t="s">
        <v>61</v>
      </c>
      <c r="F93" s="12">
        <v>21</v>
      </c>
      <c r="G93" s="8" t="s">
        <v>68</v>
      </c>
      <c r="H93" s="12">
        <v>3204</v>
      </c>
      <c r="I93" t="s">
        <v>183</v>
      </c>
      <c r="J93" t="s">
        <v>45</v>
      </c>
      <c r="N93" s="12"/>
      <c r="O93" s="8"/>
      <c r="P93">
        <v>1</v>
      </c>
      <c r="Q93" s="8">
        <v>1</v>
      </c>
      <c r="R93" s="12">
        <v>1</v>
      </c>
      <c r="S93" s="8">
        <v>1</v>
      </c>
      <c r="T93" s="12"/>
      <c r="U93" s="8"/>
      <c r="V93" s="2">
        <v>45658</v>
      </c>
      <c r="W93" s="2">
        <v>1</v>
      </c>
      <c r="X93" s="2">
        <v>45688</v>
      </c>
      <c r="Y93" s="2">
        <v>45688</v>
      </c>
      <c r="Z93" s="2"/>
    </row>
    <row r="94" spans="1:27" x14ac:dyDescent="0.25">
      <c r="A94" s="12">
        <v>8254</v>
      </c>
      <c r="B94" s="12">
        <v>352</v>
      </c>
      <c r="C94" t="s">
        <v>275</v>
      </c>
      <c r="E94" s="8"/>
      <c r="F94" s="12">
        <v>21</v>
      </c>
      <c r="G94" s="8" t="s">
        <v>68</v>
      </c>
      <c r="H94" s="12">
        <v>3201</v>
      </c>
      <c r="I94" t="s">
        <v>176</v>
      </c>
      <c r="J94" t="s">
        <v>45</v>
      </c>
      <c r="N94" s="12"/>
      <c r="O94" s="8"/>
      <c r="P94">
        <v>1</v>
      </c>
      <c r="Q94" s="8">
        <v>1</v>
      </c>
      <c r="R94" s="12">
        <v>1</v>
      </c>
      <c r="S94" s="8">
        <v>1</v>
      </c>
      <c r="T94" s="12"/>
      <c r="U94" s="8"/>
      <c r="V94" s="2">
        <v>45658</v>
      </c>
      <c r="W94" s="2">
        <v>1</v>
      </c>
      <c r="X94" s="2">
        <v>45688</v>
      </c>
      <c r="Y94" s="2">
        <v>45688</v>
      </c>
      <c r="Z94" s="2"/>
    </row>
    <row r="95" spans="1:27" x14ac:dyDescent="0.25">
      <c r="A95" s="12">
        <v>8294</v>
      </c>
      <c r="B95" s="12">
        <v>361</v>
      </c>
      <c r="C95" t="s">
        <v>276</v>
      </c>
      <c r="D95">
        <v>247556</v>
      </c>
      <c r="E95" s="8" t="s">
        <v>58</v>
      </c>
      <c r="F95" s="12">
        <v>27</v>
      </c>
      <c r="G95" s="8" t="s">
        <v>171</v>
      </c>
      <c r="H95" s="12">
        <v>3201</v>
      </c>
      <c r="I95" t="s">
        <v>176</v>
      </c>
      <c r="J95" t="s">
        <v>45</v>
      </c>
      <c r="N95" s="12"/>
      <c r="O95" s="8"/>
      <c r="P95">
        <v>1</v>
      </c>
      <c r="Q95" s="8">
        <v>1</v>
      </c>
      <c r="R95" s="12">
        <v>1</v>
      </c>
      <c r="S95" s="8">
        <v>1</v>
      </c>
      <c r="T95" s="12"/>
      <c r="U95" s="8"/>
      <c r="V95" s="2">
        <v>45687</v>
      </c>
      <c r="W95" s="2">
        <v>1</v>
      </c>
      <c r="X95" s="2">
        <v>45777</v>
      </c>
      <c r="Y95" s="2">
        <v>45777</v>
      </c>
      <c r="Z95" s="2"/>
      <c r="AA95" t="s">
        <v>211</v>
      </c>
    </row>
    <row r="96" spans="1:27" x14ac:dyDescent="0.25">
      <c r="A96" s="12">
        <v>8281</v>
      </c>
      <c r="B96" s="12">
        <v>369</v>
      </c>
      <c r="C96" t="s">
        <v>277</v>
      </c>
      <c r="D96">
        <v>289006</v>
      </c>
      <c r="E96" s="8" t="s">
        <v>75</v>
      </c>
      <c r="F96" s="12">
        <v>21</v>
      </c>
      <c r="G96" s="8" t="s">
        <v>68</v>
      </c>
      <c r="H96" s="12">
        <v>3200</v>
      </c>
      <c r="I96" t="s">
        <v>172</v>
      </c>
      <c r="J96" t="s">
        <v>45</v>
      </c>
      <c r="N96" s="12"/>
      <c r="O96" s="8"/>
      <c r="P96">
        <v>2</v>
      </c>
      <c r="Q96" s="8">
        <v>2</v>
      </c>
      <c r="R96" s="12">
        <v>2</v>
      </c>
      <c r="S96" s="8">
        <v>2</v>
      </c>
      <c r="T96" s="12"/>
      <c r="U96" s="8"/>
      <c r="V96" s="2">
        <v>45685</v>
      </c>
      <c r="W96" s="2">
        <v>1</v>
      </c>
      <c r="X96" s="2">
        <v>45700</v>
      </c>
      <c r="Y96" s="2">
        <v>45700</v>
      </c>
      <c r="Z96" s="2"/>
      <c r="AA96" t="s">
        <v>212</v>
      </c>
    </row>
    <row r="97" spans="1:27" x14ac:dyDescent="0.25">
      <c r="A97" s="12">
        <v>8299</v>
      </c>
      <c r="B97" s="12">
        <v>370</v>
      </c>
      <c r="C97" t="s">
        <v>278</v>
      </c>
      <c r="D97">
        <v>247614</v>
      </c>
      <c r="E97" s="8" t="s">
        <v>209</v>
      </c>
      <c r="F97" s="12">
        <v>21</v>
      </c>
      <c r="G97" s="8" t="s">
        <v>68</v>
      </c>
      <c r="H97" s="12">
        <v>195</v>
      </c>
      <c r="I97" t="s">
        <v>77</v>
      </c>
      <c r="J97" t="s">
        <v>45</v>
      </c>
      <c r="K97" t="b">
        <v>1</v>
      </c>
      <c r="N97" s="12"/>
      <c r="O97" s="8"/>
      <c r="Q97" s="8"/>
      <c r="R97" s="12">
        <v>2</v>
      </c>
      <c r="S97" s="8">
        <v>2</v>
      </c>
      <c r="T97" s="12"/>
      <c r="U97" s="8"/>
      <c r="V97" s="2">
        <v>45678</v>
      </c>
      <c r="W97" s="2">
        <v>1</v>
      </c>
      <c r="X97" s="2">
        <v>45678</v>
      </c>
      <c r="Y97" s="2">
        <v>45688</v>
      </c>
      <c r="Z97" s="2">
        <v>45695</v>
      </c>
    </row>
    <row r="98" spans="1:27" x14ac:dyDescent="0.25">
      <c r="A98" s="12">
        <v>8449</v>
      </c>
      <c r="B98" s="12">
        <v>0</v>
      </c>
      <c r="C98" t="s">
        <v>213</v>
      </c>
      <c r="D98">
        <v>247791</v>
      </c>
      <c r="E98" s="8" t="s">
        <v>175</v>
      </c>
      <c r="F98" s="12">
        <v>28</v>
      </c>
      <c r="G98" s="8" t="s">
        <v>51</v>
      </c>
      <c r="H98" s="12">
        <v>3201</v>
      </c>
      <c r="I98" t="s">
        <v>176</v>
      </c>
      <c r="J98" t="s">
        <v>45</v>
      </c>
      <c r="L98">
        <v>2</v>
      </c>
      <c r="M98" t="s">
        <v>177</v>
      </c>
      <c r="N98" s="12">
        <v>2</v>
      </c>
      <c r="O98" s="8" t="s">
        <v>166</v>
      </c>
      <c r="P98">
        <v>2</v>
      </c>
      <c r="Q98" s="8">
        <v>2</v>
      </c>
      <c r="R98" s="12">
        <v>2</v>
      </c>
      <c r="S98" s="8">
        <v>2</v>
      </c>
      <c r="T98" s="12">
        <v>1</v>
      </c>
      <c r="U98" s="8" t="s">
        <v>167</v>
      </c>
      <c r="V98" s="2">
        <v>45705</v>
      </c>
      <c r="W98" s="2"/>
      <c r="X98" s="2"/>
      <c r="Y98" s="2"/>
      <c r="Z98" s="2"/>
    </row>
    <row r="99" spans="1:27" x14ac:dyDescent="0.25">
      <c r="A99" s="12">
        <v>8460</v>
      </c>
      <c r="B99" s="12">
        <v>0</v>
      </c>
      <c r="C99" t="s">
        <v>279</v>
      </c>
      <c r="D99">
        <v>246824</v>
      </c>
      <c r="E99" s="8" t="s">
        <v>280</v>
      </c>
      <c r="F99" s="12">
        <v>22</v>
      </c>
      <c r="G99" s="8" t="s">
        <v>76</v>
      </c>
      <c r="H99" s="12">
        <v>3204</v>
      </c>
      <c r="I99" t="s">
        <v>183</v>
      </c>
      <c r="J99" t="s">
        <v>45</v>
      </c>
      <c r="L99">
        <v>4</v>
      </c>
      <c r="M99" t="s">
        <v>169</v>
      </c>
      <c r="N99" s="12">
        <v>2</v>
      </c>
      <c r="O99" s="8" t="s">
        <v>166</v>
      </c>
      <c r="P99">
        <v>2</v>
      </c>
      <c r="Q99" s="8">
        <v>2</v>
      </c>
      <c r="R99" s="12"/>
      <c r="S99" s="8"/>
      <c r="T99" s="12"/>
      <c r="U99" s="8"/>
      <c r="V99" s="2">
        <v>45705</v>
      </c>
      <c r="W99" s="2">
        <v>45705</v>
      </c>
      <c r="X99" s="2">
        <v>45705</v>
      </c>
      <c r="Y99" s="2">
        <v>45705</v>
      </c>
      <c r="Z99" s="2">
        <v>45705</v>
      </c>
    </row>
    <row r="100" spans="1:27" x14ac:dyDescent="0.25">
      <c r="A100" s="12">
        <v>8246</v>
      </c>
      <c r="B100" s="12">
        <v>276</v>
      </c>
      <c r="C100" t="s">
        <v>281</v>
      </c>
      <c r="D100">
        <v>247888</v>
      </c>
      <c r="E100" s="8" t="s">
        <v>156</v>
      </c>
      <c r="F100" s="12">
        <v>30</v>
      </c>
      <c r="G100" s="8" t="s">
        <v>43</v>
      </c>
      <c r="H100" s="12">
        <v>3198</v>
      </c>
      <c r="I100" t="s">
        <v>52</v>
      </c>
      <c r="J100" t="s">
        <v>45</v>
      </c>
      <c r="N100" s="12"/>
      <c r="O100" s="8"/>
      <c r="P100">
        <v>1</v>
      </c>
      <c r="Q100" s="8">
        <v>1</v>
      </c>
      <c r="R100" s="12">
        <v>1</v>
      </c>
      <c r="S100" s="8">
        <v>1</v>
      </c>
      <c r="T100" s="12"/>
      <c r="U100" s="8"/>
      <c r="V100" s="2">
        <v>45658</v>
      </c>
      <c r="W100" s="2">
        <v>1</v>
      </c>
      <c r="X100" s="2">
        <v>45961</v>
      </c>
      <c r="Y100" s="2">
        <v>45960</v>
      </c>
      <c r="Z100" s="2"/>
      <c r="AA100" t="s">
        <v>217</v>
      </c>
    </row>
    <row r="101" spans="1:27" x14ac:dyDescent="0.25">
      <c r="A101" s="12">
        <v>8303</v>
      </c>
      <c r="B101" s="12">
        <v>292</v>
      </c>
      <c r="C101" t="s">
        <v>282</v>
      </c>
      <c r="E101" s="8"/>
      <c r="F101" s="12">
        <v>21</v>
      </c>
      <c r="G101" s="8" t="s">
        <v>68</v>
      </c>
      <c r="H101" s="12">
        <v>195</v>
      </c>
      <c r="I101" t="s">
        <v>77</v>
      </c>
      <c r="J101" t="s">
        <v>45</v>
      </c>
      <c r="N101" s="12"/>
      <c r="O101" s="8"/>
      <c r="P101">
        <v>1</v>
      </c>
      <c r="Q101" s="8">
        <v>1</v>
      </c>
      <c r="R101" s="12">
        <v>2</v>
      </c>
      <c r="S101" s="8">
        <v>2</v>
      </c>
      <c r="T101" s="12"/>
      <c r="U101" s="8"/>
      <c r="V101" s="2">
        <v>45658</v>
      </c>
      <c r="W101" s="2">
        <v>1</v>
      </c>
      <c r="X101" s="2">
        <v>45688</v>
      </c>
      <c r="Y101" s="2">
        <v>45688</v>
      </c>
      <c r="Z101" s="2"/>
    </row>
    <row r="102" spans="1:27" x14ac:dyDescent="0.25">
      <c r="A102" s="12">
        <v>8304</v>
      </c>
      <c r="B102" s="12">
        <v>332</v>
      </c>
      <c r="C102" t="s">
        <v>283</v>
      </c>
      <c r="D102">
        <v>247722</v>
      </c>
      <c r="E102" s="8" t="s">
        <v>116</v>
      </c>
      <c r="F102" s="12">
        <v>30</v>
      </c>
      <c r="G102" s="8" t="s">
        <v>43</v>
      </c>
      <c r="H102" s="12">
        <v>195</v>
      </c>
      <c r="I102" t="s">
        <v>77</v>
      </c>
      <c r="J102" t="s">
        <v>45</v>
      </c>
      <c r="N102" s="12"/>
      <c r="O102" s="8"/>
      <c r="P102">
        <v>1</v>
      </c>
      <c r="Q102" s="8">
        <v>1</v>
      </c>
      <c r="R102" s="12">
        <v>2</v>
      </c>
      <c r="S102" s="8">
        <v>2</v>
      </c>
      <c r="T102" s="12"/>
      <c r="U102" s="8"/>
      <c r="V102" s="2">
        <v>45658</v>
      </c>
      <c r="W102" s="2">
        <v>1</v>
      </c>
      <c r="X102" s="2">
        <v>45702</v>
      </c>
      <c r="Y102" s="2">
        <v>45726</v>
      </c>
      <c r="Z102" s="2"/>
      <c r="AA102" t="s">
        <v>218</v>
      </c>
    </row>
    <row r="103" spans="1:27" x14ac:dyDescent="0.25">
      <c r="A103" s="12">
        <v>8265</v>
      </c>
      <c r="B103" s="12">
        <v>333</v>
      </c>
      <c r="C103" t="s">
        <v>284</v>
      </c>
      <c r="E103" s="8"/>
      <c r="F103" s="12">
        <v>21</v>
      </c>
      <c r="G103" s="8" t="s">
        <v>68</v>
      </c>
      <c r="H103" s="12">
        <v>3203</v>
      </c>
      <c r="I103" t="s">
        <v>126</v>
      </c>
      <c r="J103" t="s">
        <v>45</v>
      </c>
      <c r="N103" s="12"/>
      <c r="O103" s="8"/>
      <c r="P103">
        <v>1</v>
      </c>
      <c r="Q103" s="8">
        <v>1</v>
      </c>
      <c r="R103" s="12">
        <v>2</v>
      </c>
      <c r="S103" s="8">
        <v>2</v>
      </c>
      <c r="T103" s="12"/>
      <c r="U103" s="8"/>
      <c r="V103" s="2">
        <v>45658</v>
      </c>
      <c r="W103" s="2">
        <v>1</v>
      </c>
      <c r="X103" s="2">
        <v>45688</v>
      </c>
      <c r="Y103" s="2">
        <v>45688</v>
      </c>
      <c r="Z103" s="2"/>
    </row>
    <row r="104" spans="1:27" x14ac:dyDescent="0.25">
      <c r="A104" s="12">
        <v>8268</v>
      </c>
      <c r="B104" s="12">
        <v>335</v>
      </c>
      <c r="C104" t="s">
        <v>285</v>
      </c>
      <c r="D104">
        <v>247417</v>
      </c>
      <c r="E104" s="8" t="s">
        <v>197</v>
      </c>
      <c r="F104" s="12">
        <v>21</v>
      </c>
      <c r="G104" s="8" t="s">
        <v>68</v>
      </c>
      <c r="H104" s="12">
        <v>3204</v>
      </c>
      <c r="I104" t="s">
        <v>183</v>
      </c>
      <c r="J104" t="s">
        <v>45</v>
      </c>
      <c r="N104" s="12"/>
      <c r="O104" s="8"/>
      <c r="P104">
        <v>1</v>
      </c>
      <c r="Q104" s="8">
        <v>1</v>
      </c>
      <c r="R104" s="12">
        <v>1</v>
      </c>
      <c r="S104" s="8">
        <v>1</v>
      </c>
      <c r="T104" s="12"/>
      <c r="U104" s="8"/>
      <c r="V104" s="2">
        <v>45658</v>
      </c>
      <c r="W104" s="2">
        <v>1</v>
      </c>
      <c r="X104" s="2">
        <v>45688</v>
      </c>
      <c r="Y104" s="2">
        <v>45688</v>
      </c>
      <c r="Z104" s="2"/>
      <c r="AA104" t="s">
        <v>216</v>
      </c>
    </row>
    <row r="105" spans="1:27" x14ac:dyDescent="0.25">
      <c r="A105" s="12">
        <v>8301</v>
      </c>
      <c r="B105" s="12">
        <v>366</v>
      </c>
      <c r="C105" t="s">
        <v>286</v>
      </c>
      <c r="E105" s="8"/>
      <c r="F105" s="12">
        <v>22</v>
      </c>
      <c r="G105" s="8" t="s">
        <v>76</v>
      </c>
      <c r="H105" s="12">
        <v>195</v>
      </c>
      <c r="I105" t="s">
        <v>77</v>
      </c>
      <c r="J105" t="s">
        <v>45</v>
      </c>
      <c r="K105" t="b">
        <v>1</v>
      </c>
      <c r="N105" s="12"/>
      <c r="O105" s="8"/>
      <c r="Q105" s="8"/>
      <c r="R105" s="12">
        <v>1</v>
      </c>
      <c r="S105" s="8">
        <v>1</v>
      </c>
      <c r="T105" s="12"/>
      <c r="U105" s="8"/>
      <c r="V105" s="2">
        <v>45658</v>
      </c>
      <c r="W105" s="2">
        <v>1</v>
      </c>
      <c r="X105" s="2">
        <v>45688</v>
      </c>
      <c r="Y105" s="2">
        <v>45688</v>
      </c>
      <c r="Z105" s="2"/>
    </row>
    <row r="106" spans="1:27" x14ac:dyDescent="0.25">
      <c r="A106" s="12">
        <v>8291</v>
      </c>
      <c r="B106" s="12">
        <v>374</v>
      </c>
      <c r="C106" t="s">
        <v>287</v>
      </c>
      <c r="D106">
        <v>247807</v>
      </c>
      <c r="E106" s="8" t="s">
        <v>97</v>
      </c>
      <c r="F106" s="12">
        <v>22</v>
      </c>
      <c r="G106" s="8" t="s">
        <v>76</v>
      </c>
      <c r="H106" s="12">
        <v>3201</v>
      </c>
      <c r="I106" t="s">
        <v>176</v>
      </c>
      <c r="J106" t="s">
        <v>45</v>
      </c>
      <c r="N106" s="12"/>
      <c r="O106" s="8"/>
      <c r="P106">
        <v>3</v>
      </c>
      <c r="Q106" s="8">
        <v>3</v>
      </c>
      <c r="R106" s="12">
        <v>2</v>
      </c>
      <c r="S106" s="8">
        <v>2</v>
      </c>
      <c r="T106" s="12"/>
      <c r="U106" s="8"/>
      <c r="V106" s="2">
        <v>45688</v>
      </c>
      <c r="W106" s="2">
        <v>1</v>
      </c>
      <c r="X106" s="2">
        <v>45716</v>
      </c>
      <c r="Y106" s="2">
        <v>45716</v>
      </c>
      <c r="Z106" s="2"/>
      <c r="AA106" t="s">
        <v>223</v>
      </c>
    </row>
    <row r="107" spans="1:27" x14ac:dyDescent="0.25">
      <c r="A107" s="12">
        <v>8317</v>
      </c>
      <c r="B107" s="12">
        <v>0</v>
      </c>
      <c r="C107" t="s">
        <v>221</v>
      </c>
      <c r="E107" s="8"/>
      <c r="F107" s="12">
        <v>22</v>
      </c>
      <c r="G107" s="8" t="s">
        <v>76</v>
      </c>
      <c r="H107" s="12">
        <v>2767</v>
      </c>
      <c r="I107" t="s">
        <v>117</v>
      </c>
      <c r="J107" t="s">
        <v>45</v>
      </c>
      <c r="N107" s="12"/>
      <c r="O107" s="8"/>
      <c r="Q107" s="8"/>
      <c r="R107" s="12"/>
      <c r="S107" s="8"/>
      <c r="T107" s="12"/>
      <c r="U107" s="8"/>
      <c r="V107" s="2">
        <v>45694</v>
      </c>
      <c r="W107" s="2"/>
      <c r="X107" s="2">
        <v>45716</v>
      </c>
      <c r="Y107" s="2">
        <v>45716</v>
      </c>
      <c r="Z107" s="2"/>
      <c r="AA107" t="s">
        <v>222</v>
      </c>
    </row>
    <row r="108" spans="1:27" x14ac:dyDescent="0.25">
      <c r="A108" s="12">
        <v>8459</v>
      </c>
      <c r="B108" s="12">
        <v>0</v>
      </c>
      <c r="C108" t="s">
        <v>288</v>
      </c>
      <c r="D108">
        <v>289036</v>
      </c>
      <c r="E108" s="8" t="s">
        <v>220</v>
      </c>
      <c r="F108" s="12">
        <v>22</v>
      </c>
      <c r="G108" s="8" t="s">
        <v>76</v>
      </c>
      <c r="H108" s="12">
        <v>3204</v>
      </c>
      <c r="I108" t="s">
        <v>183</v>
      </c>
      <c r="J108" t="s">
        <v>45</v>
      </c>
      <c r="L108">
        <v>4</v>
      </c>
      <c r="M108" t="s">
        <v>169</v>
      </c>
      <c r="N108" s="12">
        <v>1</v>
      </c>
      <c r="O108" s="8" t="s">
        <v>170</v>
      </c>
      <c r="P108">
        <v>2</v>
      </c>
      <c r="Q108" s="8">
        <v>2</v>
      </c>
      <c r="R108" s="12"/>
      <c r="S108" s="8"/>
      <c r="T108" s="12"/>
      <c r="U108" s="8"/>
      <c r="V108" s="2">
        <v>45705</v>
      </c>
      <c r="W108" s="2">
        <v>45705</v>
      </c>
      <c r="X108" s="2">
        <v>45705</v>
      </c>
      <c r="Y108" s="2">
        <v>45705</v>
      </c>
      <c r="Z108" s="2">
        <v>45705</v>
      </c>
    </row>
    <row r="109" spans="1:27" x14ac:dyDescent="0.25">
      <c r="A109" s="12">
        <v>8298</v>
      </c>
      <c r="B109" s="12">
        <v>295</v>
      </c>
      <c r="C109" t="s">
        <v>289</v>
      </c>
      <c r="D109">
        <v>293171</v>
      </c>
      <c r="E109" s="8" t="s">
        <v>90</v>
      </c>
      <c r="F109" s="12">
        <v>21</v>
      </c>
      <c r="G109" s="8" t="s">
        <v>68</v>
      </c>
      <c r="H109" s="12">
        <v>195</v>
      </c>
      <c r="I109" t="s">
        <v>77</v>
      </c>
      <c r="J109" t="s">
        <v>45</v>
      </c>
      <c r="K109" t="b">
        <v>1</v>
      </c>
      <c r="N109" s="12"/>
      <c r="O109" s="8"/>
      <c r="P109">
        <v>1</v>
      </c>
      <c r="Q109" s="8">
        <v>1</v>
      </c>
      <c r="R109" s="12">
        <v>1</v>
      </c>
      <c r="S109" s="8">
        <v>1</v>
      </c>
      <c r="T109" s="12"/>
      <c r="U109" s="8"/>
      <c r="V109" s="2">
        <v>45658</v>
      </c>
      <c r="W109" s="2">
        <v>1</v>
      </c>
      <c r="X109" s="2">
        <v>45702</v>
      </c>
      <c r="Y109" s="2">
        <v>45702</v>
      </c>
      <c r="Z109" s="2">
        <v>45700</v>
      </c>
      <c r="AA109" t="s">
        <v>226</v>
      </c>
    </row>
    <row r="110" spans="1:27" x14ac:dyDescent="0.25">
      <c r="A110" s="12">
        <v>8271</v>
      </c>
      <c r="B110" s="12">
        <v>317</v>
      </c>
      <c r="C110" t="s">
        <v>290</v>
      </c>
      <c r="E110" s="8"/>
      <c r="F110" s="12">
        <v>22</v>
      </c>
      <c r="G110" s="8" t="s">
        <v>76</v>
      </c>
      <c r="H110" s="12">
        <v>2767</v>
      </c>
      <c r="I110" t="s">
        <v>117</v>
      </c>
      <c r="J110" t="s">
        <v>45</v>
      </c>
      <c r="N110" s="12"/>
      <c r="O110" s="8"/>
      <c r="P110">
        <v>1</v>
      </c>
      <c r="Q110" s="8">
        <v>1</v>
      </c>
      <c r="R110" s="12">
        <v>1</v>
      </c>
      <c r="S110" s="8">
        <v>1</v>
      </c>
      <c r="T110" s="12"/>
      <c r="U110" s="8"/>
      <c r="V110" s="2">
        <v>45658</v>
      </c>
      <c r="W110" s="2">
        <v>1</v>
      </c>
      <c r="X110" s="2">
        <v>45702</v>
      </c>
      <c r="Y110" s="2">
        <v>45702</v>
      </c>
      <c r="Z110" s="2"/>
      <c r="AA110" t="s">
        <v>224</v>
      </c>
    </row>
    <row r="111" spans="1:27" x14ac:dyDescent="0.25">
      <c r="A111" s="12">
        <v>8276</v>
      </c>
      <c r="B111" s="12">
        <v>334</v>
      </c>
      <c r="C111" t="s">
        <v>291</v>
      </c>
      <c r="E111" s="8"/>
      <c r="F111" s="12">
        <v>21</v>
      </c>
      <c r="G111" s="8" t="s">
        <v>68</v>
      </c>
      <c r="H111" s="12">
        <v>3203</v>
      </c>
      <c r="I111" t="s">
        <v>126</v>
      </c>
      <c r="J111" t="s">
        <v>45</v>
      </c>
      <c r="K111" t="b">
        <v>1</v>
      </c>
      <c r="N111" s="12"/>
      <c r="O111" s="8"/>
      <c r="P111">
        <v>1</v>
      </c>
      <c r="Q111" s="8">
        <v>1</v>
      </c>
      <c r="R111" s="12">
        <v>3</v>
      </c>
      <c r="S111" s="8">
        <v>3</v>
      </c>
      <c r="T111" s="12"/>
      <c r="U111" s="8"/>
      <c r="V111" s="2">
        <v>45658</v>
      </c>
      <c r="W111" s="2">
        <v>1</v>
      </c>
      <c r="X111" s="2">
        <v>45688</v>
      </c>
      <c r="Y111" s="2">
        <v>45747</v>
      </c>
      <c r="Z111" s="2"/>
    </row>
    <row r="112" spans="1:27" x14ac:dyDescent="0.25">
      <c r="A112" s="12">
        <v>8456</v>
      </c>
      <c r="B112" s="12">
        <v>0</v>
      </c>
      <c r="C112" t="s">
        <v>292</v>
      </c>
      <c r="D112">
        <v>247804</v>
      </c>
      <c r="E112" s="8" t="s">
        <v>199</v>
      </c>
      <c r="F112" s="12">
        <v>22</v>
      </c>
      <c r="G112" s="8" t="s">
        <v>76</v>
      </c>
      <c r="H112" s="12">
        <v>3204</v>
      </c>
      <c r="I112" t="s">
        <v>183</v>
      </c>
      <c r="J112" t="s">
        <v>45</v>
      </c>
      <c r="L112">
        <v>4</v>
      </c>
      <c r="M112" t="s">
        <v>169</v>
      </c>
      <c r="N112" s="12">
        <v>2</v>
      </c>
      <c r="O112" s="8" t="s">
        <v>166</v>
      </c>
      <c r="P112">
        <v>2</v>
      </c>
      <c r="Q112" s="8">
        <v>2</v>
      </c>
      <c r="R112" s="12"/>
      <c r="S112" s="8"/>
      <c r="T112" s="12"/>
      <c r="U112" s="8"/>
      <c r="V112" s="2">
        <v>45705</v>
      </c>
      <c r="W112" s="2">
        <v>45705</v>
      </c>
      <c r="X112" s="2">
        <v>45705</v>
      </c>
      <c r="Y112" s="2">
        <v>45705</v>
      </c>
      <c r="Z112" s="2">
        <v>45705</v>
      </c>
    </row>
    <row r="113" spans="1:27" x14ac:dyDescent="0.25">
      <c r="A113" s="12">
        <v>8269</v>
      </c>
      <c r="B113" s="12">
        <v>290</v>
      </c>
      <c r="C113" t="s">
        <v>293</v>
      </c>
      <c r="D113">
        <v>247828</v>
      </c>
      <c r="E113" s="8" t="s">
        <v>42</v>
      </c>
      <c r="F113" s="12">
        <v>21</v>
      </c>
      <c r="G113" s="8" t="s">
        <v>68</v>
      </c>
      <c r="H113" s="12">
        <v>195</v>
      </c>
      <c r="I113" t="s">
        <v>77</v>
      </c>
      <c r="J113" t="s">
        <v>45</v>
      </c>
      <c r="N113" s="12"/>
      <c r="O113" s="8"/>
      <c r="P113">
        <v>1</v>
      </c>
      <c r="Q113" s="8">
        <v>1</v>
      </c>
      <c r="R113" s="12">
        <v>1</v>
      </c>
      <c r="S113" s="8">
        <v>1</v>
      </c>
      <c r="T113" s="12"/>
      <c r="U113" s="8"/>
      <c r="V113" s="2">
        <v>45658</v>
      </c>
      <c r="W113" s="2">
        <v>1</v>
      </c>
      <c r="X113" s="2">
        <v>45688</v>
      </c>
      <c r="Y113" s="2">
        <v>45688</v>
      </c>
      <c r="Z113" s="2"/>
      <c r="AA113" t="s">
        <v>228</v>
      </c>
    </row>
    <row r="114" spans="1:27" x14ac:dyDescent="0.25">
      <c r="A114" s="12">
        <v>8252</v>
      </c>
      <c r="B114" s="12">
        <v>308</v>
      </c>
      <c r="C114" t="s">
        <v>294</v>
      </c>
      <c r="D114">
        <v>247795</v>
      </c>
      <c r="E114" s="8" t="s">
        <v>55</v>
      </c>
      <c r="F114" s="12">
        <v>30</v>
      </c>
      <c r="G114" s="8" t="s">
        <v>43</v>
      </c>
      <c r="H114" s="12">
        <v>3200</v>
      </c>
      <c r="I114" t="s">
        <v>172</v>
      </c>
      <c r="J114" t="s">
        <v>45</v>
      </c>
      <c r="N114" s="12"/>
      <c r="O114" s="8"/>
      <c r="P114">
        <v>1</v>
      </c>
      <c r="Q114" s="8">
        <v>1</v>
      </c>
      <c r="R114" s="12">
        <v>3</v>
      </c>
      <c r="S114" s="8">
        <v>3</v>
      </c>
      <c r="T114" s="12"/>
      <c r="U114" s="8"/>
      <c r="V114" s="2">
        <v>45658</v>
      </c>
      <c r="W114" s="2">
        <v>1</v>
      </c>
      <c r="X114" s="2">
        <v>45716</v>
      </c>
      <c r="Y114" s="2">
        <v>45726</v>
      </c>
      <c r="Z114" s="2"/>
      <c r="AA114" t="s">
        <v>227</v>
      </c>
    </row>
    <row r="115" spans="1:27" x14ac:dyDescent="0.25">
      <c r="A115" s="12">
        <v>8278</v>
      </c>
      <c r="B115" s="12">
        <v>339</v>
      </c>
      <c r="C115" t="s">
        <v>295</v>
      </c>
      <c r="E115" s="8"/>
      <c r="F115" s="12">
        <v>28</v>
      </c>
      <c r="G115" s="8" t="s">
        <v>51</v>
      </c>
      <c r="H115" s="12">
        <v>3203</v>
      </c>
      <c r="I115" t="s">
        <v>126</v>
      </c>
      <c r="J115" t="s">
        <v>45</v>
      </c>
      <c r="N115" s="12"/>
      <c r="O115" s="8"/>
      <c r="P115">
        <v>1</v>
      </c>
      <c r="Q115" s="8">
        <v>1</v>
      </c>
      <c r="R115" s="12">
        <v>2</v>
      </c>
      <c r="S115" s="8">
        <v>2</v>
      </c>
      <c r="T115" s="12"/>
      <c r="U115" s="8"/>
      <c r="V115" s="2">
        <v>45658</v>
      </c>
      <c r="W115" s="2">
        <v>1</v>
      </c>
      <c r="X115" s="2">
        <v>45716</v>
      </c>
      <c r="Y115" s="2">
        <v>45716</v>
      </c>
      <c r="Z115" s="2"/>
    </row>
    <row r="116" spans="1:27" x14ac:dyDescent="0.25">
      <c r="A116" s="12">
        <v>8454</v>
      </c>
      <c r="B116" s="12">
        <v>0</v>
      </c>
      <c r="C116" t="s">
        <v>296</v>
      </c>
      <c r="D116">
        <v>247828</v>
      </c>
      <c r="E116" s="8" t="s">
        <v>42</v>
      </c>
      <c r="F116" s="12">
        <v>22</v>
      </c>
      <c r="G116" s="8" t="s">
        <v>76</v>
      </c>
      <c r="H116" s="12">
        <v>3204</v>
      </c>
      <c r="I116" t="s">
        <v>183</v>
      </c>
      <c r="J116" t="s">
        <v>45</v>
      </c>
      <c r="L116">
        <v>3</v>
      </c>
      <c r="M116" t="s">
        <v>165</v>
      </c>
      <c r="N116" s="12">
        <v>3</v>
      </c>
      <c r="O116" s="8" t="s">
        <v>297</v>
      </c>
      <c r="P116">
        <v>1</v>
      </c>
      <c r="Q116" s="8">
        <v>1</v>
      </c>
      <c r="R116" s="12"/>
      <c r="S116" s="8"/>
      <c r="T116" s="12"/>
      <c r="U116" s="8"/>
      <c r="V116" s="2">
        <v>45706</v>
      </c>
      <c r="W116" s="2">
        <v>45706</v>
      </c>
      <c r="X116" s="2">
        <v>45706</v>
      </c>
      <c r="Y116" s="2">
        <v>45706</v>
      </c>
      <c r="Z116" s="2">
        <v>45706</v>
      </c>
    </row>
    <row r="117" spans="1:27" x14ac:dyDescent="0.25">
      <c r="A117" s="12">
        <v>8258</v>
      </c>
      <c r="B117" s="12">
        <v>307</v>
      </c>
      <c r="C117" t="s">
        <v>298</v>
      </c>
      <c r="D117">
        <v>247722</v>
      </c>
      <c r="E117" s="8" t="s">
        <v>116</v>
      </c>
      <c r="F117" s="12">
        <v>30</v>
      </c>
      <c r="G117" s="8" t="s">
        <v>43</v>
      </c>
      <c r="H117" s="12">
        <v>3202</v>
      </c>
      <c r="I117" t="s">
        <v>162</v>
      </c>
      <c r="J117" t="s">
        <v>45</v>
      </c>
      <c r="K117" t="b">
        <v>1</v>
      </c>
      <c r="N117" s="12"/>
      <c r="O117" s="8"/>
      <c r="P117">
        <v>1</v>
      </c>
      <c r="Q117" s="8">
        <v>1</v>
      </c>
      <c r="R117" s="12">
        <v>2</v>
      </c>
      <c r="S117" s="8">
        <v>2</v>
      </c>
      <c r="T117" s="12"/>
      <c r="U117" s="8"/>
      <c r="V117" s="2">
        <v>45658</v>
      </c>
      <c r="W117" s="2">
        <v>1</v>
      </c>
      <c r="X117" s="2">
        <v>45688</v>
      </c>
      <c r="Y117" s="2">
        <v>45775</v>
      </c>
      <c r="Z117" s="2"/>
      <c r="AA117" t="s">
        <v>229</v>
      </c>
    </row>
    <row r="118" spans="1:27" x14ac:dyDescent="0.25">
      <c r="A118" s="12">
        <v>8277</v>
      </c>
      <c r="B118" s="12">
        <v>336</v>
      </c>
      <c r="C118" t="s">
        <v>299</v>
      </c>
      <c r="E118" s="8"/>
      <c r="F118" s="12">
        <v>30</v>
      </c>
      <c r="G118" s="8" t="s">
        <v>43</v>
      </c>
      <c r="H118" s="12">
        <v>3203</v>
      </c>
      <c r="I118" t="s">
        <v>126</v>
      </c>
      <c r="J118" t="s">
        <v>45</v>
      </c>
      <c r="N118" s="12"/>
      <c r="O118" s="8"/>
      <c r="P118">
        <v>3</v>
      </c>
      <c r="Q118" s="8">
        <v>3</v>
      </c>
      <c r="R118" s="12">
        <v>2</v>
      </c>
      <c r="S118" s="8">
        <v>2</v>
      </c>
      <c r="T118" s="12"/>
      <c r="U118" s="8"/>
      <c r="V118" s="2">
        <v>45658</v>
      </c>
      <c r="W118" s="2">
        <v>1</v>
      </c>
      <c r="X118" s="2">
        <v>45716</v>
      </c>
      <c r="Y118" s="2">
        <v>45716</v>
      </c>
      <c r="Z118" s="2"/>
    </row>
    <row r="119" spans="1:27" x14ac:dyDescent="0.25">
      <c r="A119" s="12">
        <v>8300</v>
      </c>
      <c r="B119" s="12">
        <v>371</v>
      </c>
      <c r="C119" t="s">
        <v>300</v>
      </c>
      <c r="E119" s="8"/>
      <c r="F119" s="12">
        <v>21</v>
      </c>
      <c r="G119" s="8" t="s">
        <v>68</v>
      </c>
      <c r="H119" s="12">
        <v>195</v>
      </c>
      <c r="I119" t="s">
        <v>77</v>
      </c>
      <c r="J119" t="s">
        <v>45</v>
      </c>
      <c r="K119" t="b">
        <v>1</v>
      </c>
      <c r="N119" s="12"/>
      <c r="O119" s="8"/>
      <c r="Q119" s="8"/>
      <c r="R119" s="12">
        <v>1</v>
      </c>
      <c r="S119" s="8">
        <v>1</v>
      </c>
      <c r="T119" s="12"/>
      <c r="U119" s="8"/>
      <c r="V119" s="2">
        <v>45663</v>
      </c>
      <c r="W119" s="2">
        <v>1</v>
      </c>
      <c r="X119" s="2">
        <v>45688</v>
      </c>
      <c r="Y119" s="2">
        <v>45688</v>
      </c>
      <c r="Z119" s="2"/>
    </row>
    <row r="120" spans="1:27" x14ac:dyDescent="0.25">
      <c r="A120" s="12">
        <v>8321</v>
      </c>
      <c r="B120" s="12">
        <v>0</v>
      </c>
      <c r="C120" t="s">
        <v>198</v>
      </c>
      <c r="D120">
        <v>247804</v>
      </c>
      <c r="E120" s="8" t="s">
        <v>199</v>
      </c>
      <c r="F120" s="12">
        <v>22</v>
      </c>
      <c r="G120" s="8" t="s">
        <v>76</v>
      </c>
      <c r="H120" s="12">
        <v>3204</v>
      </c>
      <c r="I120" t="s">
        <v>183</v>
      </c>
      <c r="J120" t="s">
        <v>45</v>
      </c>
      <c r="N120" s="12"/>
      <c r="O120" s="8"/>
      <c r="Q120" s="8"/>
      <c r="R120" s="12"/>
      <c r="S120" s="8"/>
      <c r="T120" s="12"/>
      <c r="U120" s="8"/>
      <c r="V120" s="2">
        <v>45698</v>
      </c>
      <c r="W120" s="2">
        <v>45698</v>
      </c>
      <c r="X120" s="2">
        <v>45698</v>
      </c>
      <c r="Y120" s="2">
        <v>45698</v>
      </c>
      <c r="Z120" s="2">
        <v>45698</v>
      </c>
    </row>
    <row r="121" spans="1:27" x14ac:dyDescent="0.25">
      <c r="A121" s="12">
        <v>8324</v>
      </c>
      <c r="B121" s="12">
        <v>0</v>
      </c>
      <c r="C121" t="s">
        <v>204</v>
      </c>
      <c r="D121">
        <v>246832</v>
      </c>
      <c r="E121" s="8" t="s">
        <v>205</v>
      </c>
      <c r="F121" s="12">
        <v>22</v>
      </c>
      <c r="G121" s="8" t="s">
        <v>76</v>
      </c>
      <c r="H121" s="12">
        <v>3204</v>
      </c>
      <c r="I121" t="s">
        <v>183</v>
      </c>
      <c r="J121" t="s">
        <v>45</v>
      </c>
      <c r="L121">
        <v>4</v>
      </c>
      <c r="M121" t="s">
        <v>169</v>
      </c>
      <c r="N121" s="12"/>
      <c r="O121" s="8"/>
      <c r="Q121" s="8"/>
      <c r="R121" s="12"/>
      <c r="S121" s="8"/>
      <c r="T121" s="12"/>
      <c r="U121" s="8"/>
      <c r="V121" s="2">
        <v>45700</v>
      </c>
      <c r="W121" s="2">
        <v>45700</v>
      </c>
      <c r="X121" s="2">
        <v>45700</v>
      </c>
      <c r="Y121" s="2">
        <v>45700</v>
      </c>
      <c r="Z121" s="2">
        <v>45700</v>
      </c>
    </row>
    <row r="122" spans="1:27" x14ac:dyDescent="0.25">
      <c r="A122" s="12">
        <v>8322</v>
      </c>
      <c r="B122" s="12">
        <v>0</v>
      </c>
      <c r="C122" t="s">
        <v>215</v>
      </c>
      <c r="D122">
        <v>289006</v>
      </c>
      <c r="E122" s="8" t="s">
        <v>75</v>
      </c>
      <c r="F122" s="12">
        <v>22</v>
      </c>
      <c r="G122" s="8" t="s">
        <v>76</v>
      </c>
      <c r="H122" s="12">
        <v>3204</v>
      </c>
      <c r="I122" t="s">
        <v>183</v>
      </c>
      <c r="J122" t="s">
        <v>45</v>
      </c>
      <c r="N122" s="12"/>
      <c r="O122" s="8"/>
      <c r="Q122" s="8"/>
      <c r="R122" s="12"/>
      <c r="S122" s="8"/>
      <c r="T122" s="12"/>
      <c r="U122" s="8"/>
      <c r="V122" s="2">
        <v>45700</v>
      </c>
      <c r="W122" s="2">
        <v>45700</v>
      </c>
      <c r="X122" s="2">
        <v>45700</v>
      </c>
      <c r="Y122" s="2">
        <v>45700</v>
      </c>
      <c r="Z122" s="2">
        <v>45700</v>
      </c>
    </row>
    <row r="123" spans="1:27" x14ac:dyDescent="0.25">
      <c r="A123" s="12">
        <v>8320</v>
      </c>
      <c r="B123" s="12">
        <v>0</v>
      </c>
      <c r="C123" t="s">
        <v>219</v>
      </c>
      <c r="D123">
        <v>289036</v>
      </c>
      <c r="E123" s="8" t="s">
        <v>220</v>
      </c>
      <c r="F123" s="12">
        <v>22</v>
      </c>
      <c r="G123" s="8" t="s">
        <v>76</v>
      </c>
      <c r="H123" s="12">
        <v>3204</v>
      </c>
      <c r="I123" t="s">
        <v>183</v>
      </c>
      <c r="J123" t="s">
        <v>45</v>
      </c>
      <c r="L123">
        <v>4</v>
      </c>
      <c r="M123" t="s">
        <v>169</v>
      </c>
      <c r="N123" s="12">
        <v>1</v>
      </c>
      <c r="O123" s="8" t="s">
        <v>170</v>
      </c>
      <c r="P123">
        <v>2</v>
      </c>
      <c r="Q123" s="8">
        <v>2</v>
      </c>
      <c r="R123" s="12">
        <v>2</v>
      </c>
      <c r="S123" s="8">
        <v>2</v>
      </c>
      <c r="T123" s="12">
        <v>1</v>
      </c>
      <c r="U123" s="8" t="s">
        <v>167</v>
      </c>
      <c r="V123" s="2">
        <v>45699</v>
      </c>
      <c r="W123" s="2">
        <v>45699</v>
      </c>
      <c r="X123" s="2">
        <v>45699</v>
      </c>
      <c r="Y123" s="2">
        <v>45699</v>
      </c>
      <c r="Z123" s="2">
        <v>45699</v>
      </c>
    </row>
    <row r="124" spans="1:27" x14ac:dyDescent="0.25">
      <c r="A124" s="12">
        <v>8323</v>
      </c>
      <c r="B124" s="12">
        <v>0</v>
      </c>
      <c r="C124" t="s">
        <v>225</v>
      </c>
      <c r="D124">
        <v>247417</v>
      </c>
      <c r="E124" s="8" t="s">
        <v>197</v>
      </c>
      <c r="F124" s="12">
        <v>22</v>
      </c>
      <c r="G124" s="8" t="s">
        <v>76</v>
      </c>
      <c r="H124" s="12">
        <v>3204</v>
      </c>
      <c r="I124" t="s">
        <v>183</v>
      </c>
      <c r="J124" t="s">
        <v>45</v>
      </c>
      <c r="L124">
        <v>4</v>
      </c>
      <c r="M124" t="s">
        <v>169</v>
      </c>
      <c r="N124" s="12"/>
      <c r="O124" s="8"/>
      <c r="Q124" s="8"/>
      <c r="R124" s="12"/>
      <c r="S124" s="8"/>
      <c r="T124" s="12"/>
      <c r="U124" s="8"/>
      <c r="V124" s="2">
        <v>45700</v>
      </c>
      <c r="W124" s="2">
        <v>45700</v>
      </c>
      <c r="X124" s="2">
        <v>45700</v>
      </c>
      <c r="Y124" s="2">
        <v>45700</v>
      </c>
      <c r="Z124" s="2">
        <v>45700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sheetPr>
    <tabColor rgb="FFFFFF99"/>
  </sheetPr>
  <dimension ref="B2:I19"/>
  <sheetViews>
    <sheetView showGridLines="0" workbookViewId="0">
      <selection activeCell="C21" sqref="C21"/>
    </sheetView>
  </sheetViews>
  <sheetFormatPr baseColWidth="10" defaultRowHeight="15" x14ac:dyDescent="0.25"/>
  <cols>
    <col min="2" max="2" width="39.28515625" bestFit="1" customWidth="1"/>
    <col min="3" max="3" width="22.42578125" bestFit="1" customWidth="1"/>
    <col min="4" max="4" width="13.42578125" bestFit="1" customWidth="1"/>
    <col min="5" max="5" width="11.7109375" bestFit="1" customWidth="1"/>
    <col min="6" max="6" width="15.140625" bestFit="1" customWidth="1"/>
    <col min="7" max="7" width="20.42578125" bestFit="1" customWidth="1"/>
    <col min="8" max="8" width="15.28515625" bestFit="1" customWidth="1"/>
    <col min="9" max="11" width="12.5703125" bestFit="1" customWidth="1"/>
    <col min="12" max="12" width="12.28515625" bestFit="1" customWidth="1"/>
    <col min="13" max="13" width="15.28515625" bestFit="1" customWidth="1"/>
    <col min="14" max="14" width="12.28515625" bestFit="1" customWidth="1"/>
    <col min="15" max="15" width="15.28515625" bestFit="1" customWidth="1"/>
    <col min="16" max="16" width="12.28515625" bestFit="1" customWidth="1"/>
    <col min="17" max="17" width="15.28515625" bestFit="1" customWidth="1"/>
    <col min="18" max="18" width="12.28515625" bestFit="1" customWidth="1"/>
    <col min="19" max="19" width="15.28515625" bestFit="1" customWidth="1"/>
    <col min="20" max="20" width="12.28515625" bestFit="1" customWidth="1"/>
    <col min="21" max="21" width="15.28515625" bestFit="1" customWidth="1"/>
    <col min="22" max="22" width="12.28515625" bestFit="1" customWidth="1"/>
    <col min="23" max="23" width="15.28515625" bestFit="1" customWidth="1"/>
    <col min="24" max="24" width="12.28515625" bestFit="1" customWidth="1"/>
    <col min="25" max="25" width="15.28515625" bestFit="1" customWidth="1"/>
    <col min="26" max="26" width="12.28515625" bestFit="1" customWidth="1"/>
    <col min="27" max="27" width="15.28515625" bestFit="1" customWidth="1"/>
    <col min="28" max="28" width="12.28515625" bestFit="1" customWidth="1"/>
    <col min="29" max="29" width="4.28515625" bestFit="1" customWidth="1"/>
    <col min="30" max="30" width="15.28515625" bestFit="1" customWidth="1"/>
    <col min="31" max="31" width="12.28515625" bestFit="1" customWidth="1"/>
    <col min="32" max="32" width="15.28515625" bestFit="1" customWidth="1"/>
    <col min="33" max="33" width="12.28515625" bestFit="1" customWidth="1"/>
    <col min="34" max="34" width="4.5703125" bestFit="1" customWidth="1"/>
    <col min="35" max="35" width="15.28515625" bestFit="1" customWidth="1"/>
    <col min="36" max="36" width="12.28515625" bestFit="1" customWidth="1"/>
    <col min="37" max="37" width="15.28515625" bestFit="1" customWidth="1"/>
    <col min="38" max="38" width="12.28515625" bestFit="1" customWidth="1"/>
    <col min="39" max="39" width="4.5703125" bestFit="1" customWidth="1"/>
    <col min="40" max="40" width="15.28515625" bestFit="1" customWidth="1"/>
    <col min="41" max="41" width="12.28515625" bestFit="1" customWidth="1"/>
    <col min="42" max="42" width="4.5703125" bestFit="1" customWidth="1"/>
    <col min="43" max="43" width="15.28515625" bestFit="1" customWidth="1"/>
    <col min="44" max="44" width="12.28515625" bestFit="1" customWidth="1"/>
    <col min="45" max="45" width="4.28515625" bestFit="1" customWidth="1"/>
    <col min="46" max="46" width="4.5703125" bestFit="1" customWidth="1"/>
    <col min="47" max="47" width="15.28515625" bestFit="1" customWidth="1"/>
    <col min="48" max="48" width="12.28515625" bestFit="1" customWidth="1"/>
    <col min="49" max="49" width="15.28515625" bestFit="1" customWidth="1"/>
    <col min="50" max="50" width="12.28515625" bestFit="1" customWidth="1"/>
    <col min="51" max="51" width="4.28515625" bestFit="1" customWidth="1"/>
    <col min="52" max="52" width="4.5703125" bestFit="1" customWidth="1"/>
    <col min="53" max="53" width="4.140625" bestFit="1" customWidth="1"/>
    <col min="54" max="54" width="15.28515625" bestFit="1" customWidth="1"/>
    <col min="55" max="55" width="12.28515625" bestFit="1" customWidth="1"/>
    <col min="56" max="56" width="4.28515625" bestFit="1" customWidth="1"/>
    <col min="57" max="57" width="4.5703125" bestFit="1" customWidth="1"/>
    <col min="58" max="58" width="15.28515625" bestFit="1" customWidth="1"/>
    <col min="59" max="59" width="12.28515625" bestFit="1" customWidth="1"/>
    <col min="60" max="60" width="15.28515625" bestFit="1" customWidth="1"/>
    <col min="61" max="61" width="12.28515625" bestFit="1" customWidth="1"/>
    <col min="62" max="62" width="15.28515625" bestFit="1" customWidth="1"/>
    <col min="63" max="63" width="12.28515625" bestFit="1" customWidth="1"/>
    <col min="64" max="64" width="4.28515625" bestFit="1" customWidth="1"/>
    <col min="65" max="65" width="4.5703125" bestFit="1" customWidth="1"/>
    <col min="66" max="66" width="4.140625" bestFit="1" customWidth="1"/>
    <col min="67" max="67" width="15.28515625" bestFit="1" customWidth="1"/>
    <col min="68" max="68" width="12.28515625" bestFit="1" customWidth="1"/>
    <col min="69" max="69" width="15.28515625" bestFit="1" customWidth="1"/>
    <col min="70" max="70" width="12.28515625" bestFit="1" customWidth="1"/>
    <col min="71" max="71" width="15.28515625" bestFit="1" customWidth="1"/>
    <col min="72" max="72" width="12.85546875" bestFit="1" customWidth="1"/>
    <col min="73" max="73" width="4.28515625" bestFit="1" customWidth="1"/>
    <col min="74" max="74" width="15.85546875" bestFit="1" customWidth="1"/>
    <col min="75" max="75" width="12.5703125" bestFit="1" customWidth="1"/>
  </cols>
  <sheetData>
    <row r="2" spans="2:9" x14ac:dyDescent="0.25">
      <c r="B2" s="14" t="s">
        <v>4</v>
      </c>
      <c r="C2" t="s">
        <v>237</v>
      </c>
    </row>
    <row r="4" spans="2:9" x14ac:dyDescent="0.25">
      <c r="B4" s="14" t="s">
        <v>233</v>
      </c>
      <c r="C4" s="14" t="s">
        <v>236</v>
      </c>
    </row>
    <row r="5" spans="2:9" x14ac:dyDescent="0.25">
      <c r="B5" s="14" t="s">
        <v>230</v>
      </c>
      <c r="C5" t="s">
        <v>153</v>
      </c>
      <c r="D5" t="s">
        <v>51</v>
      </c>
      <c r="E5" t="s">
        <v>171</v>
      </c>
      <c r="F5" t="s">
        <v>43</v>
      </c>
      <c r="G5" t="s">
        <v>76</v>
      </c>
      <c r="H5" t="s">
        <v>68</v>
      </c>
      <c r="I5" t="s">
        <v>232</v>
      </c>
    </row>
    <row r="6" spans="2:9" x14ac:dyDescent="0.25">
      <c r="B6" s="16" t="s">
        <v>162</v>
      </c>
      <c r="C6" s="17">
        <v>3</v>
      </c>
      <c r="D6" s="17"/>
      <c r="E6" s="17"/>
      <c r="F6" s="17">
        <v>1</v>
      </c>
      <c r="G6" s="17">
        <v>2</v>
      </c>
      <c r="H6" s="17">
        <v>2</v>
      </c>
      <c r="I6" s="17">
        <v>8</v>
      </c>
    </row>
    <row r="7" spans="2:9" x14ac:dyDescent="0.25">
      <c r="B7" s="16" t="s">
        <v>172</v>
      </c>
      <c r="E7">
        <v>1</v>
      </c>
      <c r="F7">
        <v>1</v>
      </c>
      <c r="H7">
        <v>1</v>
      </c>
      <c r="I7">
        <v>3</v>
      </c>
    </row>
    <row r="8" spans="2:9" x14ac:dyDescent="0.25">
      <c r="B8" s="16" t="s">
        <v>44</v>
      </c>
      <c r="C8" s="17"/>
      <c r="D8" s="17">
        <v>3</v>
      </c>
      <c r="E8" s="17"/>
      <c r="F8" s="17">
        <v>2</v>
      </c>
      <c r="G8" s="17">
        <v>1</v>
      </c>
      <c r="H8" s="17">
        <v>1</v>
      </c>
      <c r="I8" s="17">
        <v>7</v>
      </c>
    </row>
    <row r="9" spans="2:9" x14ac:dyDescent="0.25">
      <c r="B9" s="16" t="s">
        <v>77</v>
      </c>
      <c r="C9" s="17">
        <v>1</v>
      </c>
      <c r="D9" s="17">
        <v>1</v>
      </c>
      <c r="E9" s="17"/>
      <c r="F9" s="17">
        <v>3</v>
      </c>
      <c r="G9" s="17">
        <v>2</v>
      </c>
      <c r="H9" s="17">
        <v>8</v>
      </c>
      <c r="I9" s="17">
        <v>15</v>
      </c>
    </row>
    <row r="10" spans="2:9" x14ac:dyDescent="0.25">
      <c r="B10" s="16" t="s">
        <v>103</v>
      </c>
      <c r="C10" s="17"/>
      <c r="D10" s="17">
        <v>2</v>
      </c>
      <c r="E10" s="17"/>
      <c r="F10" s="17"/>
      <c r="G10" s="17"/>
      <c r="H10" s="17">
        <v>1</v>
      </c>
      <c r="I10" s="17">
        <v>3</v>
      </c>
    </row>
    <row r="11" spans="2:9" x14ac:dyDescent="0.25">
      <c r="B11" s="16" t="s">
        <v>117</v>
      </c>
      <c r="C11" s="17"/>
      <c r="D11" s="17">
        <v>3</v>
      </c>
      <c r="E11" s="17"/>
      <c r="F11" s="17"/>
      <c r="G11" s="17">
        <v>3</v>
      </c>
      <c r="H11" s="17"/>
      <c r="I11" s="17">
        <v>6</v>
      </c>
    </row>
    <row r="12" spans="2:9" x14ac:dyDescent="0.25">
      <c r="B12" s="16" t="s">
        <v>183</v>
      </c>
      <c r="C12" s="17">
        <v>2</v>
      </c>
      <c r="D12" s="17"/>
      <c r="E12" s="17"/>
      <c r="F12" s="17">
        <v>1</v>
      </c>
      <c r="G12" s="17"/>
      <c r="H12" s="17">
        <v>2</v>
      </c>
      <c r="I12" s="17">
        <v>5</v>
      </c>
    </row>
    <row r="13" spans="2:9" x14ac:dyDescent="0.25">
      <c r="B13" s="16" t="s">
        <v>139</v>
      </c>
      <c r="C13" s="17"/>
      <c r="D13" s="17">
        <v>4</v>
      </c>
      <c r="E13" s="17"/>
      <c r="F13" s="17"/>
      <c r="G13" s="17"/>
      <c r="H13" s="17">
        <v>2</v>
      </c>
      <c r="I13" s="17">
        <v>6</v>
      </c>
    </row>
    <row r="14" spans="2:9" x14ac:dyDescent="0.25">
      <c r="B14" s="16" t="s">
        <v>126</v>
      </c>
      <c r="C14" s="17"/>
      <c r="D14" s="17">
        <v>1</v>
      </c>
      <c r="E14" s="17"/>
      <c r="F14" s="17">
        <v>1</v>
      </c>
      <c r="G14" s="17"/>
      <c r="H14" s="17">
        <v>4</v>
      </c>
      <c r="I14" s="17">
        <v>6</v>
      </c>
    </row>
    <row r="15" spans="2:9" x14ac:dyDescent="0.25">
      <c r="B15" s="16" t="s">
        <v>52</v>
      </c>
      <c r="C15" s="17">
        <v>1</v>
      </c>
      <c r="D15" s="17">
        <v>1</v>
      </c>
      <c r="E15" s="17"/>
      <c r="F15" s="17">
        <v>1</v>
      </c>
      <c r="G15" s="17"/>
      <c r="H15" s="17">
        <v>1</v>
      </c>
      <c r="I15" s="17">
        <v>4</v>
      </c>
    </row>
    <row r="16" spans="2:9" x14ac:dyDescent="0.25">
      <c r="B16" s="16" t="s">
        <v>176</v>
      </c>
      <c r="C16" s="17">
        <v>2</v>
      </c>
      <c r="D16" s="17">
        <v>1</v>
      </c>
      <c r="E16" s="17">
        <v>2</v>
      </c>
      <c r="F16" s="17"/>
      <c r="G16" s="17">
        <v>2</v>
      </c>
      <c r="H16" s="17">
        <v>2</v>
      </c>
      <c r="I16" s="17">
        <v>9</v>
      </c>
    </row>
    <row r="17" spans="2:9" x14ac:dyDescent="0.25">
      <c r="B17" s="15" t="s">
        <v>132</v>
      </c>
      <c r="D17">
        <v>3</v>
      </c>
      <c r="I17">
        <v>3</v>
      </c>
    </row>
    <row r="18" spans="2:9" x14ac:dyDescent="0.25">
      <c r="B18" s="15" t="s">
        <v>231</v>
      </c>
      <c r="C18">
        <v>1</v>
      </c>
      <c r="D18">
        <v>15</v>
      </c>
      <c r="H18">
        <v>1</v>
      </c>
      <c r="I18">
        <v>17</v>
      </c>
    </row>
    <row r="19" spans="2:9" x14ac:dyDescent="0.25">
      <c r="B19" s="15" t="s">
        <v>232</v>
      </c>
      <c r="C19">
        <v>10</v>
      </c>
      <c r="D19">
        <v>34</v>
      </c>
      <c r="E19">
        <v>3</v>
      </c>
      <c r="F19">
        <v>10</v>
      </c>
      <c r="G19">
        <v>10</v>
      </c>
      <c r="H19">
        <v>25</v>
      </c>
      <c r="I19">
        <v>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workbookViewId="0">
      <selection activeCell="D7" sqref="D7"/>
    </sheetView>
  </sheetViews>
  <sheetFormatPr baseColWidth="10" defaultColWidth="11.42578125" defaultRowHeight="15" x14ac:dyDescent="0.25"/>
  <cols>
    <col min="3" max="3" width="20.5703125" bestFit="1" customWidth="1"/>
    <col min="4" max="4" width="72.7109375" customWidth="1"/>
    <col min="5" max="5" width="23.5703125" customWidth="1"/>
  </cols>
  <sheetData>
    <row r="1" spans="1:6" x14ac:dyDescent="0.25">
      <c r="E1" s="1"/>
    </row>
    <row r="2" spans="1:6" ht="18.75" x14ac:dyDescent="0.3">
      <c r="B2" s="9" t="s">
        <v>0</v>
      </c>
      <c r="C2" s="9"/>
      <c r="D2" s="9"/>
      <c r="E2" s="9"/>
    </row>
    <row r="3" spans="1:6" x14ac:dyDescent="0.25">
      <c r="C3" s="3" t="s">
        <v>31</v>
      </c>
      <c r="D3" s="5" t="s">
        <v>39</v>
      </c>
      <c r="E3" t="s">
        <v>33</v>
      </c>
    </row>
    <row r="4" spans="1:6" x14ac:dyDescent="0.25">
      <c r="C4" s="4" t="s">
        <v>32</v>
      </c>
      <c r="D4" s="5" t="s">
        <v>38</v>
      </c>
      <c r="E4" t="s">
        <v>34</v>
      </c>
    </row>
    <row r="5" spans="1:6" ht="30" x14ac:dyDescent="0.25">
      <c r="C5" s="4" t="s">
        <v>1</v>
      </c>
      <c r="D5" s="5" t="s">
        <v>36</v>
      </c>
      <c r="E5" t="s">
        <v>35</v>
      </c>
    </row>
    <row r="6" spans="1:6" x14ac:dyDescent="0.25">
      <c r="C6" s="4" t="s">
        <v>40</v>
      </c>
      <c r="D6" s="5" t="s">
        <v>238</v>
      </c>
      <c r="E6" t="str">
        <f>IF(TRIM(kScript)="","*Error - Dato requerido","")</f>
        <v/>
      </c>
    </row>
    <row r="7" spans="1:6" x14ac:dyDescent="0.25">
      <c r="C7" s="4" t="s">
        <v>2</v>
      </c>
      <c r="D7" s="10">
        <v>45586</v>
      </c>
      <c r="E7" t="str">
        <f>IF(TRIM(kFechaDesde)="","*Error - Dato requerido",IF(kFechaDesde&gt;kFechaHasta,"*Error - (Fecha Desde) es mayor a (Fecha Hasta)",""))</f>
        <v/>
      </c>
      <c r="F7" s="2"/>
    </row>
    <row r="8" spans="1:6" x14ac:dyDescent="0.25">
      <c r="A8" s="1"/>
      <c r="C8" s="4" t="s">
        <v>3</v>
      </c>
      <c r="D8" s="10">
        <v>45586</v>
      </c>
      <c r="E8" t="str">
        <f>IF(TRIM(kFechaHasta)="","*Error - Dato requerido",IF(kFechaHasta&lt;kFechaDesde,"*Error - (Fecha hasta) es menor que (Fecha desde)",""))</f>
        <v/>
      </c>
      <c r="F8" s="2"/>
    </row>
    <row r="9" spans="1:6" x14ac:dyDescent="0.25">
      <c r="A9" s="1"/>
      <c r="D9" s="11" t="s">
        <v>30</v>
      </c>
    </row>
    <row r="15" spans="1:6" x14ac:dyDescent="0.25">
      <c r="D15" s="1"/>
    </row>
    <row r="27" spans="5:5" x14ac:dyDescent="0.25">
      <c r="E27" s="1"/>
    </row>
  </sheetData>
  <conditionalFormatting sqref="E3:E8">
    <cfRule type="containsText" dxfId="0" priority="1" operator="containsText" text="eRR">
      <formula>NOT(ISERROR(SEARCH("eRR",E3)))</formula>
    </cfRule>
  </conditionalFormatting>
  <dataValidations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 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6</vt:i4>
      </vt:variant>
    </vt:vector>
  </HeadingPairs>
  <TitlesOfParts>
    <vt:vector size="10" baseType="lpstr">
      <vt:lpstr>Dashboard</vt:lpstr>
      <vt:lpstr>_odoo_datos</vt:lpstr>
      <vt:lpstr>Gerencia</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2025-02-19T20:34:26Z</dcterms:modified>
</cp:coreProperties>
</file>