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python.xml" ContentType="application/vnd.ms-excel.pyth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NT002"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24226"/>
  <mc:AlternateContent xmlns:mc="http://schemas.openxmlformats.org/markup-compatibility/2006">
    <mc:Choice Requires="x15">
      <x15ac:absPath xmlns:x15ac="http://schemas.microsoft.com/office/spreadsheetml/2010/11/ac" url="C:\NT_fabrica_software\odoo16_Canella\cn006_proyectos_it\z_scripts_consola_varios\kpis_excel\"/>
    </mc:Choice>
  </mc:AlternateContent>
  <xr:revisionPtr revIDLastSave="0" documentId="13_ncr:1_{CAAB3A7B-271D-4550-876D-4174CF155D9C}" xr6:coauthVersionLast="47" xr6:coauthVersionMax="47" xr10:uidLastSave="{00000000-0000-0000-0000-000000000000}"/>
  <bookViews>
    <workbookView xWindow="-120" yWindow="-120" windowWidth="29040" windowHeight="15720" tabRatio="757" activeTab="3" xr2:uid="{00000000-000D-0000-FFFF-FFFF00000000}"/>
  </bookViews>
  <sheets>
    <sheet name="Test Proyectos" sheetId="147" r:id="rId1"/>
    <sheet name="Test Horas" sheetId="149" r:id="rId2"/>
    <sheet name="_odoo_datos" sheetId="20" r:id="rId3"/>
    <sheet name="Parámetros" sheetId="15" r:id="rId4"/>
  </sheets>
  <definedNames>
    <definedName name="_NTValidaFechas" comment="Valida un par de fechas.  DESDE y HASTA">_xlfn.LAMBDA(_xlpm.Desde,_xlpm.Hasta,IF(AND(_xlpm.Desde=0,_xlpm.Hasta=0),"OK",IF(_xlpm.Desde&lt;=_xlpm.Hasta,"OK","*ERR-Fecha HASTA debe ser mayor o igual a Fecha DESDE.")))</definedName>
    <definedName name="_xlpm.Desde" hidden="1" xlm="1">#NAME?</definedName>
    <definedName name="_xlpm.Hasta" hidden="1" xlm="1">#NAME?</definedName>
    <definedName name="kAmbiente">Parámetros!$D$3</definedName>
    <definedName name="kDepurar">Parámetros!$D$4</definedName>
    <definedName name="kDirectorio">Parámetros!$D$5</definedName>
    <definedName name="kFechaDesde">Parámetros!$D$7</definedName>
    <definedName name="kFechaHasta">Parámetros!$D$8</definedName>
    <definedName name="kScript">Parámetros!$D$6</definedName>
  </definedNames>
  <calcPr calcId="191029"/>
  <pivotCaches>
    <pivotCache cacheId="0" r:id="rId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15" l="1"/>
  <c r="E7" i="15"/>
  <c r="E6"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91196DC-333E-4D1E-A946-6C0A75B4D162}" keepAlive="1" name="Consulta - Consulta1" description="Conexión a la consulta 'Consulta1' en el libro." type="5" refreshedVersion="8" background="1" saveData="1">
    <dbPr connection="Provider=Microsoft.Mashup.OleDb.1;Data Source=$Workbook$;Location=Consulta1;Extended Properties=&quot;&quot;" command="SELECT * FROM [Consulta1]"/>
  </connection>
</connections>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
</file>

<file path=xl/sharedStrings.xml><?xml version="1.0" encoding="utf-8"?>
<sst xmlns="http://schemas.openxmlformats.org/spreadsheetml/2006/main" count="5858" uniqueCount="973">
  <si>
    <t>CONEXIÓN Odoo</t>
  </si>
  <si>
    <t xml:space="preserve">Directorio Aplicación: </t>
  </si>
  <si>
    <t xml:space="preserve">Fecha desde: </t>
  </si>
  <si>
    <t xml:space="preserve">Fecha hasta: </t>
  </si>
  <si>
    <t>STOD Ref.</t>
  </si>
  <si>
    <t>Proyecto</t>
  </si>
  <si>
    <t>Solicitante ID</t>
  </si>
  <si>
    <t>Solicitante</t>
  </si>
  <si>
    <t>Etapa ID</t>
  </si>
  <si>
    <t>Etapa</t>
  </si>
  <si>
    <t>Asignado ID</t>
  </si>
  <si>
    <t>Asignado</t>
  </si>
  <si>
    <t>Es único?</t>
  </si>
  <si>
    <t>Emergente</t>
  </si>
  <si>
    <t>Clasificación ID</t>
  </si>
  <si>
    <t>Clasificación</t>
  </si>
  <si>
    <t>Complejidad ID</t>
  </si>
  <si>
    <t>Complejidad</t>
  </si>
  <si>
    <t>Importancia ID</t>
  </si>
  <si>
    <t>Importancia</t>
  </si>
  <si>
    <t>Urgencia ID</t>
  </si>
  <si>
    <t>Urgencia</t>
  </si>
  <si>
    <t>Tamaño ID</t>
  </si>
  <si>
    <t>Tamaño</t>
  </si>
  <si>
    <t>Fecha Creación</t>
  </si>
  <si>
    <t>Fecha Inicio</t>
  </si>
  <si>
    <t>Fecha Informática</t>
  </si>
  <si>
    <t>Fecha Gerencia</t>
  </si>
  <si>
    <t>Fecha Cierre</t>
  </si>
  <si>
    <t>Descripción</t>
  </si>
  <si>
    <t>*Parámetros de rango de fecha no se utilizan en esta versión</t>
  </si>
  <si>
    <t>Ambiente para conectarse:</t>
  </si>
  <si>
    <t>Modo depuración (debug):</t>
  </si>
  <si>
    <t>(Por default PROD)</t>
  </si>
  <si>
    <t>(Por default NO)</t>
  </si>
  <si>
    <t>(Default directorio actual)</t>
  </si>
  <si>
    <t>C:\NT_fabrica_software\odoo16_Canella\cn006_proyectos_it\z_scripts_consola_varios\kpis_excel</t>
  </si>
  <si>
    <t>PROYECTO ID</t>
  </si>
  <si>
    <t>NO</t>
  </si>
  <si>
    <t>PROD</t>
  </si>
  <si>
    <t>Script:</t>
  </si>
  <si>
    <t>40-DESARROLLO</t>
  </si>
  <si>
    <t>20-ASIGNADO</t>
  </si>
  <si>
    <t>Josue Eleazar Chet Cuellar</t>
  </si>
  <si>
    <t>60-CERTIFICADO</t>
  </si>
  <si>
    <t>50-IMPLEMENTACION</t>
  </si>
  <si>
    <t>Erick Estuardo Hernandez Andrino</t>
  </si>
  <si>
    <t>Jose Pablo Reyes Gonzalez</t>
  </si>
  <si>
    <t>Jose Andres Chajon Cueto</t>
  </si>
  <si>
    <t>Antonio Manuel Alejandro García González</t>
  </si>
  <si>
    <t>Carlos Eduardo Galindo Miranda</t>
  </si>
  <si>
    <t>Olga María Hinestroza Lima</t>
  </si>
  <si>
    <t>Gerson Gabriel Flores Montúfar</t>
  </si>
  <si>
    <t>Etiquetas de fila</t>
  </si>
  <si>
    <t>(en blanco)</t>
  </si>
  <si>
    <t>Total general</t>
  </si>
  <si>
    <t>Cuenta de Es único?</t>
  </si>
  <si>
    <t>Etiquetas de columna</t>
  </si>
  <si>
    <t>(Todas)</t>
  </si>
  <si>
    <t>Meses (Fecha Gerencia)</t>
  </si>
  <si>
    <t>(275) PROCESO  ** Cambios para grabar presupuestos pintura en SAP, reporte y validaciones</t>
  </si>
  <si>
    <t>DOUGLAS ALEJANDRO MALDONADO DUMAS</t>
  </si>
  <si>
    <t>x</t>
  </si>
  <si>
    <t>PLANIFICADO</t>
  </si>
  <si>
    <t>&lt;p&gt;PROCESO  ** Cambios para grabar presupuestos pintura en SAP, reporte y validaciones&lt;/p&gt;</t>
  </si>
  <si>
    <t>(277) Reporte de inventario Motul (CN006)</t>
  </si>
  <si>
    <t>ARNALDO RENE COTTO STREMS</t>
  </si>
  <si>
    <t>&lt;p&gt; ** INDICADORES Consulta de ventas, KPI, clientes para utliizar en el celular **  ** &lt;/p&gt;</t>
  </si>
  <si>
    <t>(278) BI  ** Configuración de puerta de enlace para Power BI para Douglas Maldonado</t>
  </si>
  <si>
    <t>10-COLA</t>
  </si>
  <si>
    <t>&lt;p&gt;BI  ** Configuración de puerta de enlace para Power BI para Douglas Maldonado&lt;/p&gt;</t>
  </si>
  <si>
    <t>(280) SOPORTE Soporte y Capacitación de plantilla con Framework REACT/C Sharp para implementarlo en el sistema de SCONWEB del Departamento de Servicio Técnico</t>
  </si>
  <si>
    <t>ALEJANDRO ALBERTO GARCIA ARRECIS</t>
  </si>
  <si>
    <t>&lt;p&gt;SOPORTE Soporte y Capacitación de plantilla con Framework REACT/C Sharp para implementarlo en el sistema de SCONWEB del Departamento de Servicio Técnico&lt;/p&gt;</t>
  </si>
  <si>
    <t>(281) PROCESO ** Implementación de Contabilidad NIIF</t>
  </si>
  <si>
    <t>SANDRA JUDITH LOARCA HERNANDEZ de PEREZ</t>
  </si>
  <si>
    <t>&lt;p&gt;PROCESO ** Implementación de Contabilidad NIIF&lt;/p&gt;</t>
  </si>
  <si>
    <t>(282) MEJORAS  ** Mejoras al proceso de órdenes de entrega para sótano deben agregarse los campos indicados por Douglas Montoya</t>
  </si>
  <si>
    <t>DOUGLAS MONTOYA MONTAVES</t>
  </si>
  <si>
    <t>&lt;p&gt;MEJORAS  ** Mejoras al proceso de órdenes de entrega para sótano deben agregarse los campos indicados por Douglas Montoya&lt;/p&gt;</t>
  </si>
  <si>
    <t>&lt;p&gt;CARGA DE DATOS ** Clasificación de clientes para carga masiva de SAP solicitada por Rene Cotto&lt;/p&gt;&lt;p&gt;PENDIENTE ASIGNAR LUIS GONZALEZ&lt;/p&gt;</t>
  </si>
  <si>
    <t>(284) PROCESO ** Actualizacion de tablas de catálogos de SAP de acuerdo con 24 puntos que contiene el archivo enviado a Marisol Recinos</t>
  </si>
  <si>
    <t>AMABILIA MARISOL RECINOS ARGUETA</t>
  </si>
  <si>
    <t>&lt;p&gt;PROCESO ** Actualizacion de tablas de catálogos de SAP de acuerdo con 24 puntos que contiene el archivo enviado a Marisol Recinos&lt;/p&gt;</t>
  </si>
  <si>
    <t>(285) PROCESO ** Cubo para analisis de personal activo y retirado, para realizar un kpi de rotación de personal</t>
  </si>
  <si>
    <t>JOSE ROBERTO AGUIRRE CANELLA</t>
  </si>
  <si>
    <t>&lt;p&gt;PROCESO ** Cubo para analisis de personal activo y retirado, para realizar un kpi de rotación de personal&lt;/p&gt;</t>
  </si>
  <si>
    <t>&lt;p&gt;PROCESO ** Seguimiento a Cuadtratica para Vesa&lt;/p&gt;&lt;p&gt;PENDIENTE DE ASIGNAR LUIS GONZALEZ&lt;/p&gt;</t>
  </si>
  <si>
    <t>&lt;p&gt;MEJORAS  ** Procesos de anulación en medios de pago SAP&lt;/p&gt;&lt;p&gt;PENDIENTE DE ASIGNAR LUIS GONZALEZ&lt;/p&gt;</t>
  </si>
  <si>
    <t>(289) MEJORAS ** Implementacion de Combos en GrafiPronto</t>
  </si>
  <si>
    <t>OLGA MARIA DE LA CRUZ VALLADARES GUILLEN de OVALLE</t>
  </si>
  <si>
    <t>&lt;p&gt;MEJORAS ** Implementacion de Combos en GrafiPronto&lt;/p&gt;&lt;p&gt;PENDIENTE DE ASIGNAR LUIS GONZALEZ&lt;/p&gt;</t>
  </si>
  <si>
    <t>(291) PROCESO ** Estandarización de las instancias SAP MAQUIPOS Y VESA</t>
  </si>
  <si>
    <t>MIGUEL EDUARDO PEREZ LOPEZ</t>
  </si>
  <si>
    <t>&lt;p&gt;PROCESO ** Estandarización de las instancias SAP MAQUIPOS Y VESA&lt;/p&gt;&lt;p&gt;PENDIENTE DE ASIGNAR LUIS GONZALEZ&lt;/p&gt;</t>
  </si>
  <si>
    <t xml:space="preserve">(293) PROCESO ** Seguimiento a Cuadtratica para Canella ** </t>
  </si>
  <si>
    <t>&lt;p&gt;PROCESO ** Seguimiento a Cuadtratica para Canella&lt;/p&gt;&lt;p&gt;PENNDIENTE DE ASIGNAR LUIS GONZALEZ&lt;/p&gt;</t>
  </si>
  <si>
    <t>(294) PROCESO ** Implementación del Sistema de Inventario en tránsito VESA Y MAQUIPOS</t>
  </si>
  <si>
    <t>&lt;p&gt;PROCESO ** Implementación del Sistema de Inventario en tránsito VESA Y MAQUIPOS&lt;/p&gt;&lt;p&gt;PENDIENTE DE ASIGNAR LUIS GONNZALEZ&lt;/p&gt;</t>
  </si>
  <si>
    <t>(295) MEJORAS: Traslado del módulo de pases de salida de SAP a STOD</t>
  </si>
  <si>
    <t>GABRIEL EFRAIN MELENDEZ MARROQUIN</t>
  </si>
  <si>
    <t>EMERGENTE</t>
  </si>
  <si>
    <t>&lt;p&gt; ** MEJORAS Traslado del módulo de pases de salida de SAP a STOD **  ** &lt;/p&gt;</t>
  </si>
  <si>
    <t>(296) ACTUALIZACION ESTADOS DE CUENTA DE BANCOS (CN006)</t>
  </si>
  <si>
    <t>(298) Actualizar campo de usuario y creación PDF con dato Autorizador en la orden de compra. (CN006)</t>
  </si>
  <si>
    <t>AMI PAOLA YOC LOPEZ</t>
  </si>
  <si>
    <t>(301) Ajustes a los libros fiscales en todos los SAP (CN006)</t>
  </si>
  <si>
    <t>(302) Proceso para cargas masivas de medios de pago (CN006)</t>
  </si>
  <si>
    <t>&lt;p&gt;PROCESO  ** Implementación del Sistema de PinPads para el manejo de Cajas en Facturación Fase 1&lt;/p&gt;&lt;p&gt;PENDIENTE DE ASIGNAR MARVIN VARGAS&lt;/p&gt;</t>
  </si>
  <si>
    <t>(310) Ajustes de sistema estados de cuentas (CN006)</t>
  </si>
  <si>
    <t>&lt;p&gt;Se necesita enviar un correo por el cual se avisara a los socios de negocio de distribución Yamaha que tiene un portal en el cual pueden ingresar para ver su estado de cuentas.&lt;/p&gt;</t>
  </si>
  <si>
    <t>(312) PROCESO ** Conexión a SAP para  consultas de CQM Yamaha</t>
  </si>
  <si>
    <t>EDUARDO JACOBO ARA GÓMEZ</t>
  </si>
  <si>
    <t>&lt;p&gt;PROCESO ** Conexión a SAP para  consultas de CQM Yamaha&lt;/p&gt;&lt;p&gt;PENDIENTE DE ASIGNAR MARVIN VARGAS&lt;/p&gt;</t>
  </si>
  <si>
    <t>(313) Información sobre la data del FEIC distribuidores para que se ingresen en un sitio web</t>
  </si>
  <si>
    <t>(314) PROCESO ** Tiendas en línea Motul-Interstate - Ipone, desarrollo de webservices con SAP</t>
  </si>
  <si>
    <t>&lt;p&gt;PROCESO ** Tiendas en línea Motul-Interstate - Ipone, desarrollo de webservices con SAP&lt;/p&gt;&lt;p&gt;PENDIENTE DE ASIGNAR MARVINN VARGAS&lt;/p&gt;</t>
  </si>
  <si>
    <t>(315) PROCESO ** Modificación al reporte de la IVE y el nombre del reporte IVE-INF-05, Carlos Rosales hizo los ultimos ajustes por la auditoria de la IVE.  Luis enviara un correo detallando los ajustes a realizar</t>
  </si>
  <si>
    <t>LUIS FERNANDO BARRIOS MATIAS</t>
  </si>
  <si>
    <t>&lt;p&gt;PROCESO ** Modificación al reporte de la IVE y el nombre del reporte IVE-INF-05, Carlos Rosales hizo los ultimos ajustes por la auditoria de la IVE.  Luis enviara un correo detallando los ajustes a realizar&lt;/p&gt;</t>
  </si>
  <si>
    <t>(316) PROCESO ** Conexión a página web de distribuidores Canon y tienda en línea para interfaces con SAP</t>
  </si>
  <si>
    <t>JORGE LUIS MURALLES PAPPA</t>
  </si>
  <si>
    <t>&lt;p&gt;PROCESO ** Conexión a página web de distribuidores Canon y tienda en línea para interfaces con SAP&lt;/p&gt;&lt;p&gt;PENDIENTE DE ASIGNAR MARVIN VARGAS&lt;/p&gt;</t>
  </si>
  <si>
    <t>YESVI AVIGAIL ELIAS ORIZABAL</t>
  </si>
  <si>
    <t>&lt;p&gt;PROCESO ** Seguimiento al proceso cotización de equipos y respuetos de Maquinaria, realizar webservices con SAP&lt;/p&gt;&lt;p&gt;PENDIENTE DE ASIGNAR MARVIN VARGAS&lt;/p&gt;</t>
  </si>
  <si>
    <t>(319)SEGUIMIENTO A PEDIDOS (TRACKING) - KRAS(CN006)</t>
  </si>
  <si>
    <t>&lt;p&gt;En una aplicación web los clientes deben poder ver sus pedidos con su respectivo estatus Pedido, Oferta, Orden, Entrega, Facturado, etc. &lt;/p&gt;</t>
  </si>
  <si>
    <t>(320) MEJORAS ** 2da fase de tablero de atención al clientes para cajas del departamento de Repuestos</t>
  </si>
  <si>
    <t>&lt;p&gt;MEJORAS ** 2da fase de tablero de atención al clientes para cajas del departamento de Repuestos&lt;/p&gt;&lt;p&gt;PENDIENTE DE ASIGNAR MARVIN VARGAS&lt;/p&gt;</t>
  </si>
  <si>
    <t>(321)Creditos y Cobros Fase 2 - Cobro a domiciliario(CN006)</t>
  </si>
  <si>
    <t>&lt;p&gt; ** PROCESO Implementación del sistema de cobro de calle en ODOO. Luis Polanco fue el solicitante **  ** &lt;/p&gt;</t>
  </si>
  <si>
    <t>(322) CONSULTA EN SISTEMA DE PEDIDOS DISTRIBUIDORES - KRAS ** Consulta de estados de cuenta por el cliente en la web. Desde la página de pedidos del distribuidor se podrá accesar a la página de estados de cuenta</t>
  </si>
  <si>
    <t>&lt;p&gt;CONSULTA EN SISTEMA DE PEDIDOS DISTRIBUIDORES - KRAS ** Consulta de estados de cuenta por el cliente en la web. Desde la página de pedidos del distribuidor se podrá accesar a la página de estados de cuenta&lt;/p&gt;&lt;p&gt;PENDIENTE DE ASIGNAR MARVIN VARGAS&lt;/p&gt;</t>
  </si>
  <si>
    <t>(323) PROCESO ** KPIS de rendimiento para personal de créditos y cobros</t>
  </si>
  <si>
    <t>RICARDO ALFONSO ESCOBEDO DACARET</t>
  </si>
  <si>
    <t>&lt;p&gt;PROCESO ** KPIS de rendimiento para personal de créditos y cobros&lt;/p&gt;</t>
  </si>
  <si>
    <t>(324) PROCESO ** Seguimiento al proceso de entrega y preparación de vehículos, realizar webservices con SAP</t>
  </si>
  <si>
    <t>LUIS PEDRO LOPEZ RODAS</t>
  </si>
  <si>
    <t>&lt;p&gt;PROCESO ** Seguimiento al proceso de entrega y preparación de vehículos, realizar webservices con SAP&lt;/p&gt;&lt;p&gt;PENDIENTE DE ASIGNAR MARVIN VARGAS&lt;/p&gt;</t>
  </si>
  <si>
    <t>(326) PROCESO ** Conexión a SAP para retroalimentación de etapas de reparación de un vehículo</t>
  </si>
  <si>
    <t>&lt;p&gt;PROCESO ** Conexión a SAP para retroalimentación de etapas de reparación de un vehículo&lt;/p&gt;&lt;p&gt;PENDIENTE DE ASIGNAR MARVIN VARGAS&lt;/p&gt;</t>
  </si>
  <si>
    <t>(329) Cubos de BI sobre plataforma de Ucontact para análisis de datos (CN006)</t>
  </si>
  <si>
    <t>(330)PROCESO Plantilla para grabar extensiones e ISR(CN006)</t>
  </si>
  <si>
    <t>EDWARD ANTONY GARCIA ALVARADO</t>
  </si>
  <si>
    <t>(331) WMS  ** Implementación de WMS en Elisur. Las otras bodegas serán tickets adicionales (Bodega zona4, Taller Automotriz, Bodega Hyundai)</t>
  </si>
  <si>
    <t>CESAR ORLANDO MARTINEZ ABAL</t>
  </si>
  <si>
    <t>&lt;p&gt;WMS  ** Implementación de WMS en Elisur. Las otras bodegas serán tickets adicionales (Bodega zona4, Taller Automotriz, Bodega Hyundai)&lt;/p&gt;</t>
  </si>
  <si>
    <t>(337) ENSAMBLE DE MOTOS   - KRAS ** Implementación del Módulo de Ensamble de Motocicletas en Elizur Fase 1</t>
  </si>
  <si>
    <t>&lt;p&gt;ENSAMBLE DE MOTOS   - KRAS ** Implementación del Módulo de Ensamble de Motocicletas en Elizur Fase 1&lt;/p&gt;</t>
  </si>
  <si>
    <t>(341) PROCESO ** Implementación de EVOLUTION sistema de RRHH</t>
  </si>
  <si>
    <t>MIRNA LISSETTE ARRECIS ROSALES</t>
  </si>
  <si>
    <t>&lt;p&gt;PROCESO ** Implementación de EVOLUTION sistema de RRHH&lt;/p&gt;</t>
  </si>
  <si>
    <t>(342) PROCESO Mejoras en los tiempos de impresión de facturas y certificación con Guatefacturas(CN006)</t>
  </si>
  <si>
    <t>(343) PROCESO ** Implementación de SAP 10 para la Empresa Canella</t>
  </si>
  <si>
    <t>&lt;p&gt;PROCESO ** Implementación de SAP 10 para la Empresa Canella&lt;/p&gt;</t>
  </si>
  <si>
    <t>(344) PROCESO Automatización de carga extracto bancario de las cuentas BANRURAL para la empresa CANELLA - MT940(CN006)</t>
  </si>
  <si>
    <t>ALVARO LEONEL GUTIERREZ LOPEZ</t>
  </si>
  <si>
    <t>PROCESO</t>
  </si>
  <si>
    <t>MEDIA</t>
  </si>
  <si>
    <t>(345) PROCESO ** Seguimiento al Sistema SAP para mejorar la estabilidad, bloqueos y mejoras en redimiento. Identificar procesos clave y hacer un plan de trabajo</t>
  </si>
  <si>
    <t>&lt;p&gt;PROCESO ** Seguimiento al Sistema SAP para mejorar la estabilidad, bloqueos y mejoras en redimiento. Identificar procesos clave y hacer un plan de trabajo&lt;/p&gt;</t>
  </si>
  <si>
    <t xml:space="preserve">(346) PANTALLA  ** Creación de pantalla para cambiar códigos de artículos que tengan pase en el contrato, debido que a la hora de despachar no cuentan con el artículo.  </t>
  </si>
  <si>
    <t>&lt;p&gt;PANTALLA  ** Creación de pantalla para cambiar códigos de artículos que tengan pase en el contrato, debido que a la hora de despachar no cuentan con el artículo.  &lt;/p&gt;</t>
  </si>
  <si>
    <t>(347) MODULO DE COMISIONES ** Creación de modulo de comisiones con las indicaciones de Auditoría y Gerencia</t>
  </si>
  <si>
    <t>&lt;p&gt;MODULO DE COMISIONES ** Creación de modulo de comisiones con las indicaciones de Auditoría y Gerencia&lt;/p&gt;</t>
  </si>
  <si>
    <t>(348) PROCESO ** Necesitamos realizar un desarrollo en SAP, practicamente es que cuando un cliente con facturas en mora se ponga al día, el sistema lo desbloquee en automático sin la intervención de Créditos. Edward Garcia fue el solicitante</t>
  </si>
  <si>
    <t>&lt;p&gt;PROCESO ** Necesitamos realizar un desarrollo en SAP, practicamente es que cuando un cliente con facturas en mora se ponga al día, el sistema lo desbloquee en automático sin la intervención de Créditos. Edward Garcia fue el solicitante&lt;/p&gt;</t>
  </si>
  <si>
    <t>(349) PROCESO  ** Implementación tarifario de mano de obra Isuzu (Esto está detenido por Douglas porque necesita un reporte de líneas de vehículo de José Roberto para depurar las líneas en SAP)</t>
  </si>
  <si>
    <t>30-ANALISIS</t>
  </si>
  <si>
    <t>&lt;p&gt;PROCESO  ** Implementación tarifario de mano de obra Isuzu (Esto está detenido por Douglas porque necesita un reporte de líneas de vehículo de José Roberto para depurar las líneas en SAP)&lt;/p&gt;</t>
  </si>
  <si>
    <t>(350) REPORTE ** Realizar un reporte de Inventario con las columnas indicadas por Rene Cotto</t>
  </si>
  <si>
    <t>&lt;p&gt;REPORTE ** Realizar un reporte de Inventario con las columnas indicadas por Rene Cotto&lt;/p&gt;</t>
  </si>
  <si>
    <t>(351) PROCESO  ** Cambio de códigos de mano de obra en el módulo de contratos de mantenimiento para salir en vivo con el tarifario de mano de obra isuzu (en espera de listado de códigos de parte de Douglas).</t>
  </si>
  <si>
    <t>&lt;p&gt;PROCESO  ** Cambio de códigos de mano de obra en el módulo de contratos de mantenimiento para salir en vivo con el tarifario de mano de obra isuzu (en espera de listado de códigos de parte de Douglas).&lt;/p&gt;</t>
  </si>
  <si>
    <t>(354) Subdistribuidores Isuzu (CN006)</t>
  </si>
  <si>
    <t>ASTRID VICTORIA PEÑA DIEGUEZ</t>
  </si>
  <si>
    <t>(359) Reporte facturas Admin Seguridad (CN006)</t>
  </si>
  <si>
    <t>(360) Digitalización y clasificación de DUCAS e IPrimas (CN006)</t>
  </si>
  <si>
    <t>CARLOS JOSE REMBERTO CONTRERAS FLORIAN</t>
  </si>
  <si>
    <t>&lt;p&gt;Corrección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t>
  </si>
  <si>
    <t>(367) Mejoras al sistema SQM y STOD en la parte de registro de Leas y Cotizaciones para que no exista doble digitación</t>
  </si>
  <si>
    <t>MANUEL RAMIRO LOPEZ PIEDRASANTA</t>
  </si>
  <si>
    <t>&lt;p&gt;Mejoras al sistema SQM y STOD en la parte de registro de Leas y Cotizaciones para que no exista doble digitación&lt;/p&gt;</t>
  </si>
  <si>
    <t>(368) Cerrar todas las ordenes abiertas de la División Soluciones de Oficina hasta el 30 de septiembre de 2024</t>
  </si>
  <si>
    <t>JUAN MANUEL SOTO GUTIERREZ</t>
  </si>
  <si>
    <t>&lt;p&gt;Cerrar todas las ordenes abiertas de la División Soluciones de Oficina hasta el 30 de septiembre de 2024,&lt;/p&gt;&lt;p&gt;En conjunto con Marvin Vargas se cerraron automáticamente las OC&lt;/p&gt;</t>
  </si>
  <si>
    <t>(NT) Test</t>
  </si>
  <si>
    <t>Julio de León</t>
  </si>
  <si>
    <t>(NT) Test Williams Galván</t>
  </si>
  <si>
    <t>JULIO RENE PAIZ ANDRADE</t>
  </si>
  <si>
    <t>Ajuste de reporte de contratos SISCON</t>
  </si>
  <si>
    <t>JONATHAN MAUDIEL SALINAS MORALES</t>
  </si>
  <si>
    <t>REPORTE</t>
  </si>
  <si>
    <t>BAJA</t>
  </si>
  <si>
    <t>PEQUEÑO</t>
  </si>
  <si>
    <t>&lt;p&gt;Se solicita que se verifique la consulta que obtiene el listado de contratos&amp;nbsp;y la consulta&amp;nbsp;que&amp;nbsp;descargar el Excel&amp;nbsp;debido a que&amp;nbsp;el vendedor que se muestra en&amp;nbsp;el listado no es el mismo que se muestra en el&amp;nbsp;detalle del contrato&lt;/p&gt;</t>
  </si>
  <si>
    <t>Ajustes de JANET</t>
  </si>
  <si>
    <t>WILLIAMS GIOVANNI GALVAN ESTRADA</t>
  </si>
  <si>
    <t>API</t>
  </si>
  <si>
    <t>MEDIANO</t>
  </si>
  <si>
    <t>Autorización de facturas de Proveedores externos</t>
  </si>
  <si>
    <t>Backup de código fuente de interfaces SAP al servidor 70</t>
  </si>
  <si>
    <t>&lt;p&gt;Se necesita buscar los códigos&amp;nbsp;fuentes de las interfaces y sistemas de CANELLA para ingresarlas&amp;nbsp;en el disco E del servidor 70&lt;/p&gt;</t>
  </si>
  <si>
    <t>Cambios a reporte ventas Yamaha</t>
  </si>
  <si>
    <t>DIEGO ANDRE CONTRERAS RIVERA</t>
  </si>
  <si>
    <t>&lt;p&gt;Agregar medios de pago en columnas separadas al reporte de ventas Yamaha&lt;/p&gt;</t>
  </si>
  <si>
    <t>Capacitación combos Motul</t>
  </si>
  <si>
    <t>SOPORTE/CAPACITACION</t>
  </si>
  <si>
    <t>Creacion de Alerta de SAP para stock TONNER</t>
  </si>
  <si>
    <t>MANUEL BONIFACIO SANIC PONCIO</t>
  </si>
  <si>
    <t>Implementar Odoo - Proyectos</t>
  </si>
  <si>
    <t>OSCAR RAUL HERNANDEZ REYNA</t>
  </si>
  <si>
    <t>Mejoras a reporte compras para Auditoria</t>
  </si>
  <si>
    <t>EMILIA LETICIA DIAZ MAZARIEGOS</t>
  </si>
  <si>
    <t>&lt;p&gt;Cambios a reporte de compras Auditoria solicitados por auditoras&lt;/p&gt;</t>
  </si>
  <si>
    <t>Modificación cubo talleres autos</t>
  </si>
  <si>
    <t>&lt;p&gt;Modificacion cubos talleres autos para que aparezca Taller Huehue&lt;/p&gt;</t>
  </si>
  <si>
    <t>Reporte analisis suministros</t>
  </si>
  <si>
    <t>Reporte compras para Auditoria</t>
  </si>
  <si>
    <t>&lt;p&gt;Reporte de facturas de compras por servicios en SAP Canella, Maquipos y VESA, según modelo enviado.&lt;/p&gt;</t>
  </si>
  <si>
    <t>Reporte entregas que integran reporte gerencia</t>
  </si>
  <si>
    <t>&lt;p&gt;Reporte detallado de entregas que integra montos del reporte de Gerencia&lt;/p&gt;</t>
  </si>
  <si>
    <t>Revisar y optimizar transaction orden de venta</t>
  </si>
  <si>
    <t>JORGE ARMANDO SOLIS MIRANDA</t>
  </si>
  <si>
    <t>Soporte (CN006)</t>
  </si>
  <si>
    <t>Soporte Módulo de Recibos STOD</t>
  </si>
  <si>
    <t>&lt;p&gt;Cuando un proveedor no está activo el mensaje indicando esa información no se muestra, en su lugar se muestra un error de SQL&lt;/p&gt;</t>
  </si>
  <si>
    <t>Soporte a Raul Perez para grabar factura clientes</t>
  </si>
  <si>
    <t>RAUL ESTUARDO PEREZ ALVARADO</t>
  </si>
  <si>
    <t>&lt;p&gt;soporte a Raul para grabar factura de clientes que daba error&lt;/p&gt;</t>
  </si>
  <si>
    <t>Soporte de STOD módulo Facturación Corporativo</t>
  </si>
  <si>
    <t>JOSE LUIS PRADO PORTILLO</t>
  </si>
  <si>
    <t>Soporte enero (CN006)</t>
  </si>
  <si>
    <t>Soporte febrero (CN006)</t>
  </si>
  <si>
    <t>Ticket Administrativo</t>
  </si>
  <si>
    <t>WS Interstate inventario de baterias por referencia de vehiculo</t>
  </si>
  <si>
    <t>Marvin Leonel Vargas Piedrasanta</t>
  </si>
  <si>
    <t>&lt;p&gt;solicitan ws a medida para inventario de baterias intestate donde muestre los vehiculos compatibles con cada bateria. Adicional al WS se debe realizar una pantalla para cargar el archivo excel que crea el area administrativa de interstate como manteminiento a los vehiculos compatibles.&lt;/p&gt;</t>
  </si>
  <si>
    <t>(279) Mejora interface API SCON WEB (CN006)</t>
  </si>
  <si>
    <t>&lt;p&gt; ** SOPORTE Mejoras en las interfaces API's SCONWEB/SAP Canella para mejorar los tiempos y estabilidad en las transacciones entre sistemas **  ** &lt;/p&gt;</t>
  </si>
  <si>
    <t>(297) REPORTE DE SAP CAJA GENERAL</t>
  </si>
  <si>
    <t>SULY DANIELA CHUN SANTOS de RIVERA</t>
  </si>
  <si>
    <t>(303) Desarrollo de modulo de lavado de vehículos</t>
  </si>
  <si>
    <t>LEIDI PAOLA ESQUIVEL RAMIREZ</t>
  </si>
  <si>
    <t>(304) Consultas para reconciliaciones operados en Banco Industrial (CN006)</t>
  </si>
  <si>
    <t>(325)Soporte Creditos y Cobros General</t>
  </si>
  <si>
    <t>&lt;p&gt; ** SEGUIMIENTO Soporte al Sistema de Cobranza en ODOO. Edward Garcia fue el solicitante **  ** &lt;/p&gt;</t>
  </si>
  <si>
    <t>(327) Implementación de Sistema de Contraseñas de Proveedores Locales</t>
  </si>
  <si>
    <t>&lt;p&gt; ** Implementación del Sistema de Contraseñas de Proveedores Locales SAP/LASERFICHE **  ** &lt;/p&gt;</t>
  </si>
  <si>
    <t>(352) Placas Yamaha (CN006)</t>
  </si>
  <si>
    <t>(361) Optimización de creación y actualización de Proveedores (CN006)</t>
  </si>
  <si>
    <t>&lt;p&gt; ** Proceso para creación proveedores con generación automática de código en SAP, alertas para actualización de datos y documentos, validación interna, almacenamiento y clasificación de expediente de proveedor. **  ** &lt;/p&gt;</t>
  </si>
  <si>
    <t>(366) Desarrollo de reporte de personal 2024 de Taller Isuzu (CN006)</t>
  </si>
  <si>
    <t>(369) Reporte de SAP sobre las cajas de repuestos</t>
  </si>
  <si>
    <t>&lt;p&gt;Realizar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t>
  </si>
  <si>
    <t>Ajustes al reporte - REP - TableroDistribuicion Z13 - Entregas Pendientes (Caja)</t>
  </si>
  <si>
    <t>Reserva de vehículo - Isuzu Subdistribuidor</t>
  </si>
  <si>
    <t>Soporte de carga masiva transfer y efectivo</t>
  </si>
  <si>
    <t>(276) Renovación de SISCON (CN006)</t>
  </si>
  <si>
    <t>&lt;p&gt; ** PROCESO Implementación y Renovación del nuevo Sistema de Contratos de Arrendamiento a una tecnología actualizada, revisión&amp;nbsp;y mejoras en los procesos, se agregara KPI y Gestión de las Cotizaciones, se cambiara nombre a la herramienta a GESCON **  ** &lt;/p&gt;</t>
  </si>
  <si>
    <t>(288)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t>
  </si>
  <si>
    <t>&lt;p&gt;REPORTE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t>
  </si>
  <si>
    <t>(300) REPORTE ** Se solicita agregar a nuevo personal al reporte, además de que se presenta el inconveniente ya que no aparecen ciertos mecánicos dentro de los registros. El usuario comenta lo siguiente: "Me falta Kevin Raul España, Bryan Erickson Gomez Hernandez, y Anferny Antonio Lopez para que por favor sean agregados en ambos reportes</t>
  </si>
  <si>
    <t>&lt;p&gt;REPORTE ** Se solicita agregar a nuevo personal al reporte, además de que se presenta el inconveniente ya que no aparecen ciertos mecánicos dentro de los registros. El usuario comenta lo siguiente: "Me falta Kevin Raul España, Bryan Erickson Gomez Hernandez, y Anferny Antonio Lopez para que por favor sean agregados en ambos reportes&lt;/p&gt;</t>
  </si>
  <si>
    <t>(307) Envío de correo al crear Pagos Recibidos en SAP (CN006)</t>
  </si>
  <si>
    <t>&lt;p&gt;Se debe enviar un correo a Edward Garcia notificando y adjuntando el PDF del pago recibido&amp;nbsp;cuando se crea en SAP Canella.&lt;/p&gt;</t>
  </si>
  <si>
    <t>(333) Reporte Traslado Tecnología V2 (CN006)</t>
  </si>
  <si>
    <t>(374) Soporte impresión Yamaha (CN006)</t>
  </si>
  <si>
    <t>&lt;p&gt;Pruebas de impresión de lote de expedientes con personal del departamento de Placas ubicados en Yamaha Liberación, validando orden, expedientes completos, reimpresión y bitácora de estado de expedientes.&lt;/p&gt;</t>
  </si>
  <si>
    <t>Reporte del detalle de usuario en entregas SAP (CN006)</t>
  </si>
  <si>
    <t>Soporte MT940 GYT</t>
  </si>
  <si>
    <t>Soporte RPA - Boletas</t>
  </si>
  <si>
    <t>&lt;p&gt;Seguimiento con problemas con las boletas de los bancos, problemas de estados de cuentas, cheques etc.&lt;/p&gt;</t>
  </si>
  <si>
    <t>(305) PROCESO ** Implementación de RPA para confirmación de boletas de deposito</t>
  </si>
  <si>
    <t>&lt;p&gt;PROCESO ** Implementación de RPA para confirmación de boletas de deposito&lt;/p&gt;&lt;p&gt;&lt;br&gt;&lt;/p&gt;</t>
  </si>
  <si>
    <t>(317) RPA Retenciones - ISR(CN006)</t>
  </si>
  <si>
    <t>&lt;p&gt;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t>
  </si>
  <si>
    <t>(334) Optimizacion de Llamadas de Servicio (CN006)</t>
  </si>
  <si>
    <t>(362) Actualización Masiva de Asientos Contables (CN006)</t>
  </si>
  <si>
    <t>Soporte Carga masiva Contabilidad TC Credomatic</t>
  </si>
  <si>
    <t>MADELYN SUSANA BRAN OLIVAREZ</t>
  </si>
  <si>
    <t>Traslado de sitio web Dashboard MOTUL</t>
  </si>
  <si>
    <t>&lt;p&gt;Se solicita trasladar el sitio web que contiene el Dashboard de ventas MOTUL ya que este no se encuentra operando actualmente.&lt;/p&gt;</t>
  </si>
  <si>
    <t>Verificación de API DE Lecturas de SISCON</t>
  </si>
  <si>
    <t>(308) Carga masiva de Activo Fijo (CN006)</t>
  </si>
  <si>
    <t>&lt;p&gt; ** PROCESO Crear códigos de activos fijos por medio de un archivo Excel.&lt;/p&gt;</t>
  </si>
  <si>
    <t>(332) RPA de confirmación de boletas bancarias Créditos y Cobros</t>
  </si>
  <si>
    <t>&lt;p&gt;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t>
  </si>
  <si>
    <t>(339) Modificación de Transaction SAP para ELIZUR (CN006)</t>
  </si>
  <si>
    <t>&lt;p&gt; ** Confirmando la actualización en las validaciones ** de Transaction SAP agregando la Bodega PM122.&lt;/p&gt;&lt;p&gt; ** Se modificaron los Transaction de los siguientes documentos:&lt;/p&gt;&lt;p&gt; ** - Oferta de Venta&lt;/p&gt;&lt;p&gt; ** - Orden de Venta&lt;/p&gt;&lt;p&gt; ** - Solicitud de Traslado **  **  **  ** &lt;/p&gt;</t>
  </si>
  <si>
    <t>(373) RPA Mr Credit - Envío de facturas (CN006)</t>
  </si>
  <si>
    <t>Reporte de interfaces</t>
  </si>
  <si>
    <t>Soporte Carga de Excel a STOD (CN006)</t>
  </si>
  <si>
    <t>Soporte PINPAD</t>
  </si>
  <si>
    <t>(336) Mejoras a SAP</t>
  </si>
  <si>
    <t>&lt;p&gt;Reporte A y Reporte B&lt;/p&gt;</t>
  </si>
  <si>
    <t>(370) Corrección de pantalla de gestión de correos de contratos de mantenimiento</t>
  </si>
  <si>
    <t>Cambio de End Point Lecturas SISCON</t>
  </si>
  <si>
    <t>Soporte en creación Recibos de Pago</t>
  </si>
  <si>
    <t>Soporte query saldo de cuenta</t>
  </si>
  <si>
    <t>KAREN SELENA MENDIZABAL LOPEZ</t>
  </si>
  <si>
    <t>(292) Sistema de encuestas Taller Isuzu (CN006)</t>
  </si>
  <si>
    <t>(299) Agregar la opción "Depósitos Mixtos" al módulo de Recibos de Caja (CN006)</t>
  </si>
  <si>
    <t>Soporte Contabilidad Corte de Caja</t>
  </si>
  <si>
    <t>NANCY ELIZABETH ALVARADO TOLEDO</t>
  </si>
  <si>
    <t>(290) Módulo de RECALL taller ISUZU (CN006)</t>
  </si>
  <si>
    <t>&lt;p&gt; ** Ajustes al modulo de Recall con las indicaciones de Taller Automotriz **  ** &lt;/p&gt;</t>
  </si>
  <si>
    <t>Reporte Proyección PROY_PROCESARACTUALIZACION</t>
  </si>
  <si>
    <t>ALTA</t>
  </si>
  <si>
    <t>(371) Soporte de ingreso de datos para presupuestos de pintura (CN006)</t>
  </si>
  <si>
    <t>Soporte eSFA corte de caja</t>
  </si>
  <si>
    <t>(372) Se da soporte al proceso de confirmación de boletas en el caso donde se confirmo una boleta con banco incorrecto y en donde el detalle de montos</t>
  </si>
  <si>
    <t>soporte instalación y pruebas DTW</t>
  </si>
  <si>
    <t>Reunion eSFA SAP 10</t>
  </si>
  <si>
    <t>JOSE LUIS MONZON GARCIA</t>
  </si>
  <si>
    <t>soporte Pagos por anticipo ( medios de pago).</t>
  </si>
  <si>
    <t>ANA CAROLINA PALACIOS GONZALEZ de MENENDEZ</t>
  </si>
  <si>
    <t>Soporte Certificación Facturas Mr. Credit</t>
  </si>
  <si>
    <t>DENIS OSWALDO ILLESCAS DE LEON</t>
  </si>
  <si>
    <t>(340) MEJORAS Ajustes a eSFA para que se muestre la trazabilidad de tiempo de atención de visitas al cliente (CN006)</t>
  </si>
  <si>
    <t>Implementación de Sistema de Contraseñas de Proveedores Exterior</t>
  </si>
  <si>
    <t>ROSA SOFIA PIRIR FERNANDEZ de SANCHEZ</t>
  </si>
  <si>
    <t>(338) Reporte de Geolocalizacion interstate (CN006)</t>
  </si>
  <si>
    <t>Soporte Archivo Carga hacia banca BI</t>
  </si>
  <si>
    <t>(335) Conciliación bancaria MT940BI(CN006)</t>
  </si>
  <si>
    <t>&lt;p&gt;Carga de estado de cuenta MT940 banco industrial hacia SAP Canella&lt;/p&gt;</t>
  </si>
  <si>
    <t>Soporte SIFCO no crea cliente por data en JSON</t>
  </si>
  <si>
    <t>CARLA MILAGROS MARTINEZ PEREZ</t>
  </si>
  <si>
    <t>Soporte  Creditos y Cobros Fase 2 - Cobro Domiciliario(CN006)</t>
  </si>
  <si>
    <t>&lt;p&gt;Resolver todos los problemas que se presente en la prueba piloto.&lt;/p&gt;</t>
  </si>
  <si>
    <t>(Varios elementos)</t>
  </si>
  <si>
    <t>(363) FEIC Jurídico Representante Legal (Crear)</t>
  </si>
  <si>
    <t>FEIC Fase dos</t>
  </si>
  <si>
    <t>GRANDE</t>
  </si>
  <si>
    <t>(283) (Integra) CARGA DE DATOSClasificación de clientes para carga masiva de SAP solicitada por Rene Cotto</t>
  </si>
  <si>
    <t>(286) (Integra) PROCESOSeguimiento a Cuadtratica para Vesa</t>
  </si>
  <si>
    <t>(287) (Integra) MEJORAS Procesos de anulación en medios de pago SAP</t>
  </si>
  <si>
    <t>(309) (Marvin Vargas) PROCESO Implementación del Sistema de PinPads para el manejo de Cajas en Facturación Fase 1</t>
  </si>
  <si>
    <t>(318) (MARVIN VARGAS) PROCESOSeguimiento al proceso cotización de equipos y respuetos de Maquinaria, realizar webservices con SAP</t>
  </si>
  <si>
    <t>Entrega de proyecto Placas Yamaha</t>
  </si>
  <si>
    <t>Proyecto eWMS</t>
  </si>
  <si>
    <t>}</t>
  </si>
  <si>
    <t>cn006_kpis_excel_v040.py</t>
  </si>
  <si>
    <t>Carlos Enrique Rosales Guerra</t>
  </si>
  <si>
    <t>hacer layout impresion y colocarlo en SAP</t>
  </si>
  <si>
    <t>/</t>
  </si>
  <si>
    <t>Cristian Daniel Castillo Camposeco</t>
  </si>
  <si>
    <t>Se está investigando como crear un JOB para ejecutar el SP.</t>
  </si>
  <si>
    <t>Gerson Alejandro Perez Castro</t>
  </si>
  <si>
    <t>Soporte a los cobradores prueba piloto creación anticipo de pago</t>
  </si>
  <si>
    <t>Ver a que documento se les va aplicar la plantilla</t>
  </si>
  <si>
    <t>Williams Giovanni Galván Estrada</t>
  </si>
  <si>
    <t>Cambio en procedimientos almacenados para insertar, actualizar y mostrar informacion</t>
  </si>
  <si>
    <t>Elaboración de guía rápida de usuario y envío a dueño del proyecto para validar finalización del proceso</t>
  </si>
  <si>
    <t>Se agrego la funcionalidad de poder eliminar los registros</t>
  </si>
  <si>
    <t>reporte para listar las ordenes de compra a listar</t>
  </si>
  <si>
    <t>Se realiza el ajuste de la columna "Nombre Vendedor" del listado de reportes de contratos para que muestre el nombre del vendedor que esta en el detalle</t>
  </si>
  <si>
    <t>Se realiza la busqueda de los codigo de fuentes de los interfaces que falta</t>
  </si>
  <si>
    <t>cambios a reporte</t>
  </si>
  <si>
    <t>Capacitacion del funcionamiento de alertas en SAP</t>
  </si>
  <si>
    <t>Carga de expedientes de ventas</t>
  </si>
  <si>
    <t>Pruebas de funcionamiento</t>
  </si>
  <si>
    <t>Hacer cubo Power BI para U-Contact</t>
  </si>
  <si>
    <t>WALTER GABRIEL CARDOZA GIRON</t>
  </si>
  <si>
    <t>&lt;p&gt;Hacer cubo Power BI analisis datos U-Contact&lt;/p&gt;</t>
  </si>
  <si>
    <t>hacer cubo</t>
  </si>
  <si>
    <t>agregar columnas solicitadas a reporte</t>
  </si>
  <si>
    <t>Migracion se SISCON SAP 10</t>
  </si>
  <si>
    <t>&lt;p&gt;Se&amp;nbsp;deberá realizar la compatibilidad&amp;nbsp;con el sistema SISCON a SAP 10&lt;/p&gt;</t>
  </si>
  <si>
    <t>Prubas del modulo solicitud para sap 10</t>
  </si>
  <si>
    <t>cambios cubos</t>
  </si>
  <si>
    <t>Brayan Roberto Alexander Solorzano Aguilar</t>
  </si>
  <si>
    <t>QA del reporte</t>
  </si>
  <si>
    <t>agregar columnas solicitadas al reporte</t>
  </si>
  <si>
    <t>hacer QA reporte</t>
  </si>
  <si>
    <t>Restauración de correlativo de Identity de contratos de mantenimiento</t>
  </si>
  <si>
    <t>cambios a transaction para optimizarlo</t>
  </si>
  <si>
    <t>&lt;p&gt;Revisión de porque un modelo en especifico no aparecía (FNZ150D-AS) para que siga su proceso en ensamble.&lt;/p&gt;</t>
  </si>
  <si>
    <t>Se comenzó a revisar las consultas para verificar donde esta el problema</t>
  </si>
  <si>
    <t>SIFCO facturas no certificadas, cancelación y reenvió</t>
  </si>
  <si>
    <t>Prueba de funcionamiento de los recibos de pago con facturas con cuotas</t>
  </si>
  <si>
    <t>Soporte Banco BI</t>
  </si>
  <si>
    <t>Corrección del error en SP</t>
  </si>
  <si>
    <t>Soporte Módulo de Recibos de Caja</t>
  </si>
  <si>
    <t>&lt;p&gt;Se presenta un error en la interfaz de pagos debido a que ya no procesa los recibos luego del mediodía.&lt;/p&gt;</t>
  </si>
  <si>
    <t>Se agregó nuevamente el recibo y de igual forma presentaba error, junto con mesa de ayuda se revisaron las configuraciones de la caja ya que faltaba de agregar un dato relacionado al tipo de pago con tarjeta</t>
  </si>
  <si>
    <t>Soporte PinPad Servicio de NeoNet no funciona</t>
  </si>
  <si>
    <t>soporte</t>
  </si>
  <si>
    <t>Soporte configuración impresora</t>
  </si>
  <si>
    <t>ESTEBAN ESPINOZA DIAZ</t>
  </si>
  <si>
    <t>Instalación de driver para impresora</t>
  </si>
  <si>
    <t>Validación en el método de búsqueda que obtiene los datos de la OV</t>
  </si>
  <si>
    <t>Soporte en la eliminación de cookies</t>
  </si>
  <si>
    <t>Soporte de Isuzu por problemas en Matriz de Riesgo, validación ONU, instancias suspendidas, creaciones de usuarios, etc</t>
  </si>
  <si>
    <t>Soporte por anulación de facturas, actualización de tipo de persona para carga de documentación en etapa de ventas y creación de usuario, sincronización en Forms y notificación a ejecutivo</t>
  </si>
  <si>
    <t>Soporte query proyección vehiculos</t>
  </si>
  <si>
    <t>Carga de reporte de corte de caja general y diario</t>
  </si>
  <si>
    <t>Creacion de tabla para almacenar la informacion en base de datos</t>
  </si>
  <si>
    <t>WS etapa entrega vehiculos</t>
  </si>
  <si>
    <t>&lt;p&gt;este ws nos lo solicitan para validar en donde se encuentra el vehiculo si se encuentra en el barco, almacenadora y bodega&lt;/p&gt;&lt;p&gt; **  **  **  **  ** &lt;/p&gt;</t>
  </si>
  <si>
    <t>WS etapas taller</t>
  </si>
  <si>
    <t>&lt;p&gt;se estara realizando ws para que puedan visualizar a travez de la pagina de perinola en que etapa esta el vehiculo por medio de chasis&amp;nbsp;&lt;/p&gt;</t>
  </si>
  <si>
    <t>WS inventario home office</t>
  </si>
  <si>
    <t>ANGEL GABRIEL PINEDA RAMIREZ</t>
  </si>
  <si>
    <t>&lt;p&gt;Se debe dividir el servicio de inventario de home office en detalles del articulo y otro que por medio de los detalles del articulo muestre inventario en bodegas.&lt;/p&gt;</t>
  </si>
  <si>
    <t>WS oferta de venta Motul</t>
  </si>
  <si>
    <t>&lt;p&gt;Creacion de servicio para crear oferta de venta en sap, se debe validar que el wsonlinestore cree las ofertas de venta o bien crear el flujo para que realice el documento&lt;/p&gt;</t>
  </si>
  <si>
    <t>cambios a cubo EERR Serv. Compartidos</t>
  </si>
  <si>
    <t>CARMEN LUCIA BERDUO ARAGON</t>
  </si>
  <si>
    <t>&lt;p&gt;cambios a cubo EERR Servicios Compartidos&lt;/p&gt;</t>
  </si>
  <si>
    <t>cambios a cubo EERR para Serv. Compartidos</t>
  </si>
  <si>
    <t>cubo planilla altas bajas Taller Autos</t>
  </si>
  <si>
    <t>se hizo cubo altas y bajas</t>
  </si>
  <si>
    <t>modificar cubo llamadas</t>
  </si>
  <si>
    <t>&lt;p&gt;modificar cubo llamadas, agregar dos columnas y actualizar informacion&lt;/p&gt;</t>
  </si>
  <si>
    <t>crear dos columnas y actualizar datos</t>
  </si>
  <si>
    <t>Creacion de codigo de empleado para los recibos de pago</t>
  </si>
  <si>
    <t>pruebas validar funcionalidad</t>
  </si>
  <si>
    <t>Generación de lotes pequeños con hojas en blanco e impresión para validar orden de expedientes</t>
  </si>
  <si>
    <t>Listado de objetos, proceso y horas para elaboración de DERCAS</t>
  </si>
  <si>
    <t>Se probo el reporte y no mostro los datos de la columna nombre de caja se arreglo, también sobre las encomiendas</t>
  </si>
  <si>
    <t>Modificación reporte de bodega PM122</t>
  </si>
  <si>
    <t>Soporte  RPA Boletas de Bancos(CN006)</t>
  </si>
  <si>
    <t>&lt;p&gt;Problemas con los flujos de los bancos&amp;nbsp; y los estados de cuenta&lt;/p&gt;</t>
  </si>
  <si>
    <t>Problemas con Power automate Desktop no carga los bancos</t>
  </si>
  <si>
    <t>Soporte SAP VESA tarjeta de BAC CREDOMATIC</t>
  </si>
  <si>
    <t>Soporte marzo</t>
  </si>
  <si>
    <t>Soporte por nueva clasificación de persona, actualización de SP, sincronización de Data Source y validación de cambios</t>
  </si>
  <si>
    <t>Pruebas de vista completa y ajuste de errores</t>
  </si>
  <si>
    <t>Verificación de la api para crear llamada de servicio en sap</t>
  </si>
  <si>
    <t>Revisión de seguimiento de funcionalidad de pases de salida con Gabriel Meléndez</t>
  </si>
  <si>
    <t>Implementación y configuración del programa en servidor</t>
  </si>
  <si>
    <t>Validación y pruebas de escenario para pruebas en Yamaha</t>
  </si>
  <si>
    <t>Soporte Factura NO Operada  SAP INTERSTATE</t>
  </si>
  <si>
    <t>EDUARDO ALEXANDER MUÑOZ PATZAN</t>
  </si>
  <si>
    <t>Fallo de carga de estados BI</t>
  </si>
  <si>
    <t>Pruebas con usuario</t>
  </si>
  <si>
    <t>Genero las retenciones de ISR</t>
  </si>
  <si>
    <t>Cambios realizados en los CC del mes de Julio a Diciembre 2024</t>
  </si>
  <si>
    <t>Soporte Facturas interstate vendedores no colocan datos de voucher</t>
  </si>
  <si>
    <t>ALAN FABRICIO MAZARIEGOS CHOC</t>
  </si>
  <si>
    <t>la información no aparece como cheque sino la encontré como transferencia</t>
  </si>
  <si>
    <t>Agregar vista de carga</t>
  </si>
  <si>
    <t>Carga Masiva de registros en Módulo STOD</t>
  </si>
  <si>
    <t>Soporte SAP  ARANCELES</t>
  </si>
  <si>
    <t>GUSTAVO ADOLFO CASTILLO MERIDA</t>
  </si>
  <si>
    <t>Ajuste de departamentos que toma en cuenta el reporte e implementación del reporte</t>
  </si>
  <si>
    <t>Soporte Service unavailable STOD</t>
  </si>
  <si>
    <t>El Proveedor no estaba activo y esto generaba el error en la creación del documento</t>
  </si>
  <si>
    <t>Cambio de direccion de End Point para la consulta de lecturas</t>
  </si>
  <si>
    <t>Implementación de pinpad para Caja primer nivel</t>
  </si>
  <si>
    <t>Soporte Archivo duplicado ACH BI</t>
  </si>
  <si>
    <t>Revisión de funcionamiento del RPA</t>
  </si>
  <si>
    <t>Soporte para SAP Maquipos y vesa Actualización</t>
  </si>
  <si>
    <t>Seguimiento automatización proveedores del exterior</t>
  </si>
  <si>
    <t>Soporte con SAP lento</t>
  </si>
  <si>
    <t>correccion en descripcion solo de aparece una en la referencia agrupada</t>
  </si>
  <si>
    <t>se añadieron columnas y algunas formulas</t>
  </si>
  <si>
    <t>cuenta no cuadra con parámetros</t>
  </si>
  <si>
    <t>corte de caja de ruta RT6 no aparece del dia 6/02/2025</t>
  </si>
  <si>
    <t>planificación de pasos a seguir validar migración</t>
  </si>
  <si>
    <t>crystal report para anticipo unificando banco, separando por banco y correlativo</t>
  </si>
  <si>
    <t>pagos duplicados en sifco hacia SAP</t>
  </si>
  <si>
    <t>Finalizar pruebas de implementación</t>
  </si>
  <si>
    <t>Ticket de Enero</t>
  </si>
  <si>
    <t>se quito la validación de agrupar por referencia si es del mismo día</t>
  </si>
  <si>
    <t>Borrar cookies</t>
  </si>
  <si>
    <t>hacer layout de impresion</t>
  </si>
  <si>
    <t>hacer layout impresion</t>
  </si>
  <si>
    <t>cambios cotizaciones</t>
  </si>
  <si>
    <t>Solución error SP para consumir EndPoint de actualización Factura Proveedores</t>
  </si>
  <si>
    <t>Optimización código de crear PDF y SP's</t>
  </si>
  <si>
    <t>Validación ruta carpeta Laserfiche de Facturas, modificación SP de rutas y prueba traslado de documento a Laserfiche</t>
  </si>
  <si>
    <t>Creación SP's para consumo EndPoint de traslado archivo, nombramiento de documento PDF</t>
  </si>
  <si>
    <t>Modificación SP's Transaction en SAP para creación y traslado de PDF automático</t>
  </si>
  <si>
    <t>Desarrollo y Pruebas Endpoint para actualizar Factura Proveedores, agregar el documento PDF adjunto en SAP y trasladar documento a Laserfiche</t>
  </si>
  <si>
    <t>Desarrollo Endpoint para actualizar Factura Proveedores y agregar el documento PDF adjunto</t>
  </si>
  <si>
    <t>Creación, modificación y prueba de SP's en la BD para la ejecución del método de crear PDF</t>
  </si>
  <si>
    <t>Desarrollo del método para crear PDF automático</t>
  </si>
  <si>
    <t>Prueba de creación Factura y traslado documento a Laserfiche</t>
  </si>
  <si>
    <t>Modificación EndPoint y SP para traslado de archivo PDF a Laserfiche</t>
  </si>
  <si>
    <t>Prueba funcionalidad de creación y traslado PDF</t>
  </si>
  <si>
    <t>Configuración y puesta en Producción programa para crear PDF OC con autorizador y trasladar a Laserfiche</t>
  </si>
  <si>
    <t>Modificación validaciones de creación documentos en SAP, segmentados para usuarios participantes en el proceso</t>
  </si>
  <si>
    <t>Modificación en segmentación y lógica SP's que consumen Endpoints de traslado de archivos</t>
  </si>
  <si>
    <t>Pruebas de traslados de documentos a Laserfiche y creación factura proveedores desde cliente SAP simulando el proceso completo</t>
  </si>
  <si>
    <t>Corrección de errores y pruebas de rendimiento para consumir EndPoint por SP y Job en SAP</t>
  </si>
  <si>
    <t>Creación SP's, tablas y Job que ejecutarán en 2do plano los EndPoint de API JANET</t>
  </si>
  <si>
    <t>Pruebas para consumir SP con Endpoint de traslado archivo a Laserfiche</t>
  </si>
  <si>
    <t>Modificación y puesta en producción de EndPoint de crear factura proveedores</t>
  </si>
  <si>
    <t>Habilitación condiciones en SP's de SAP producción segmentados por los primeros usuarios que participarán en el proceso</t>
  </si>
  <si>
    <t>Creación nuevos SP y modificación del proceso para traslado de documentos a Laserfiche</t>
  </si>
  <si>
    <t>Modificación EndPoint Janet para trasladar documentos a Laserfiche</t>
  </si>
  <si>
    <t>Configuración de las rutas en SPs</t>
  </si>
  <si>
    <t>Configuración del sistema que actualiza el PDF de la OC</t>
  </si>
  <si>
    <t>Modificación en código para evitar el cálculo de descuentos negativos en las líneas de la Factura (Se eliminaron todos los campos relacionados al precio o total de línea en el detalle de la factura)</t>
  </si>
  <si>
    <t>Preparación y configuración del entorno de desarrollo para realizar la prueba con Usuarios</t>
  </si>
  <si>
    <t>Reunión para presentar proyecto y que los usuarios realicen el proceso</t>
  </si>
  <si>
    <t>Reunión de pruebas simulando el flujo completo del proceso a solicitud de Luis Gonzalez (Flujo completo)</t>
  </si>
  <si>
    <t>Modificación en código para evitar el cálculo de descuentos negativos en las líneas de la Factura ( Se realizó el cálculo de forma manual para el total de línea aproximando a 6 decimales, se eliminaron las 2 modificaciones anteriores)</t>
  </si>
  <si>
    <t>Modificación en código para evitar el cálculo de descuentos negativos en las líneas de la Factura ( Se agregaron los datos de las líneas a variables y se redondearon a 6 decimales)</t>
  </si>
  <si>
    <t>Modificación en código para evitar el cálculo de descuentos negativos en las líneas de la Factura (Se dejó una condición para que si existe un valor en el descuento menor a 0 entonces se iguale a 0 )</t>
  </si>
  <si>
    <t>Agregadas consultas SQL que limpian campos de usuario</t>
  </si>
  <si>
    <t>Reunión de pruebas simulando el flujo completo del proceso (Desde creación OC hasta creación Factura Proveedores)</t>
  </si>
  <si>
    <t>Creación de documentos para pruebas que validen Creación de EM con items parciales</t>
  </si>
  <si>
    <t>Modificación SP que valida la Creación de EM con items parciales autorizados de OC</t>
  </si>
  <si>
    <t>Reunión de pruebas para Validar Creación EM con items parciales autorizados de OC</t>
  </si>
  <si>
    <t>Validación de permisos y usuario en servidor donde se ubica el API JANET</t>
  </si>
  <si>
    <t>Corrección SP que valida creación EM con items Autorizados</t>
  </si>
  <si>
    <t>Se realizó una reunión para integrar y realizar pruebas del proceso junto con el equipo de Laserfiche</t>
  </si>
  <si>
    <t>Creación nuevo parámetro para guardado PDF en servidor Laserfiche</t>
  </si>
  <si>
    <t>Validación en creación PDF y guardado en carpeta SAP con segunda versión archivo .rpt</t>
  </si>
  <si>
    <t>Validación errores al crear PDF con segunda versión de archivo .rpt</t>
  </si>
  <si>
    <t>Modificación SP y tabla donde se almacena el autorizador</t>
  </si>
  <si>
    <t>Creación SP para obtención datos Laserfiche y obtención de ruta carpetas Laserfiche y SAP</t>
  </si>
  <si>
    <t>Código para guardado en carpeta Laserfiche y SAP</t>
  </si>
  <si>
    <t>Código para creación PDF de archivo .rpt</t>
  </si>
  <si>
    <t>Validaciones y agregado de SP's en C#</t>
  </si>
  <si>
    <t>Creación SP's iniciales en SQL</t>
  </si>
  <si>
    <t>Implementación en C#</t>
  </si>
  <si>
    <t>Se le envío correos al usuario y se está investigando como se va ejecutar el procedimiento almacenado.</t>
  </si>
  <si>
    <t>Se configuro el envío de correo y se procedió a ejecutar el envío de correos, únicamente al personal.</t>
  </si>
  <si>
    <t>Se creo un SP que permita enviar correo</t>
  </si>
  <si>
    <t>Se creara un SP que traiga los datos de los usuario para revisar su correo para luego ver como se manda el correo.</t>
  </si>
  <si>
    <t>Se discutió los requerimientos</t>
  </si>
  <si>
    <t>Soporte a los cobradores prueba piloto</t>
  </si>
  <si>
    <t>Creacion de nuevos correlativos con relacion a los recibos de pago,  para la prueba piloto</t>
  </si>
  <si>
    <t>Ajustes de la aplicación</t>
  </si>
  <si>
    <t>Capacitación para realizar la prueba piloto</t>
  </si>
  <si>
    <t>Reunion con el Licenciado Escobedo para ver como se va manejar la prueba Piloto</t>
  </si>
  <si>
    <t>Reunion con los de Piensom paraver tareas pendientes del proyecto</t>
  </si>
  <si>
    <t>Se capacito en la sala grande a los cobradores con relacion a los revibos de pago</t>
  </si>
  <si>
    <t>Se le estuvo enseñando a los cobradores como usar Odoo en el movil</t>
  </si>
  <si>
    <t>Se creo el WebService Solicitado</t>
  </si>
  <si>
    <t>verificar los campos que se van a utilizar para la plantilla</t>
  </si>
  <si>
    <t>Cambio de diseño en pantalla de ingreso de indicadores por cantidades</t>
  </si>
  <si>
    <t>Cambio en estilo de tabla de maestro a detalle</t>
  </si>
  <si>
    <t>Generación de reporte y reunión con usuario para validación</t>
  </si>
  <si>
    <t>Pruebas y validación de proceso de digitalización, extracción de datos, almacenamiento y procesamiento de facturas</t>
  </si>
  <si>
    <t>Creación y pruebas de proceso para validar facturas procesadas</t>
  </si>
  <si>
    <t>Generación de reportes para validación del usuario</t>
  </si>
  <si>
    <t>Actualización de status de factura a Procesada</t>
  </si>
  <si>
    <t>Proceso para mover facturas a carpeta de Procesados a carpeta validando mes y año de factura</t>
  </si>
  <si>
    <t>Generación de sintaxis de búsqueda de facturas sin procesar</t>
  </si>
  <si>
    <t>Configuración de accesos y seguridad en carpetas</t>
  </si>
  <si>
    <t>Generación de estructura de carpetas para almacenamiento</t>
  </si>
  <si>
    <t>Análisis de estructura de carpetas para almacenamiento de facturas</t>
  </si>
  <si>
    <t>Creación de plantilla y metadatos</t>
  </si>
  <si>
    <t>Configuración de seguridad y accesos en plantilla de metadatos</t>
  </si>
  <si>
    <t>Análisis y definición de metadatos</t>
  </si>
  <si>
    <t>Asignación de datos de factura a plantilla de metadatos</t>
  </si>
  <si>
    <t>Pruebas de identificación de factura y extracción de datos de la factura</t>
  </si>
  <si>
    <t>Extracción de datos de factura con expresiones regulares</t>
  </si>
  <si>
    <t>Creación de variables para asignar datos de factura</t>
  </si>
  <si>
    <t>Condiciones para identificar primera página de factura</t>
  </si>
  <si>
    <t>Pruebas con formatos de OCR en Quick Fields</t>
  </si>
  <si>
    <t>Creación y configuración de clase en Quick Fields para las facturas de Seguridad</t>
  </si>
  <si>
    <t>Se agrego validaciones para que a la hora de aguardar a nivel de base de datos todo valla bien-</t>
  </si>
  <si>
    <t>Se arreglo el error de que no estaba aceptando letras en el pasaporte a la hora de ingresar</t>
  </si>
  <si>
    <t>Se arreglo el error del color a la hora de notificar si llevo a cabo o no</t>
  </si>
  <si>
    <t>Se soluciono el error del selector en el caso de que la persona sea jurídica</t>
  </si>
  <si>
    <t>Se soluciono el error del selector en el caso de que la persona sea jurídica en el paso 2</t>
  </si>
  <si>
    <t>Se soluciono el error del selector en el caso de que la persona sea jurídica en el paso 1</t>
  </si>
  <si>
    <t>Se arreglo de que los datos del representante legal, se cambia automáticamente el país que emite el pasaporte</t>
  </si>
  <si>
    <t>Se arreglo el error de que la identificación del cliente jurídico, se borra automáticamente el código del cliente</t>
  </si>
  <si>
    <t>Se arreglo los errores de dos personas que provee fondos como terceros, no deja, solo agregar uno y si se trata de agregar las demás personas las borra</t>
  </si>
  <si>
    <t>Se arreglo los errores de gramatica</t>
  </si>
  <si>
    <t>Se llevo a cabo la corrección de las cantidades</t>
  </si>
  <si>
    <t>Se configura el sistema Stod para levantarlo en el servidor 49</t>
  </si>
  <si>
    <t>Se realizo al busqueda y la copia del código fuente de 3 sistema</t>
  </si>
  <si>
    <t>Se realiza la búsqueda y la copia del código fuente de 3 interfaces de SAP</t>
  </si>
  <si>
    <t>cambios a reporte agregar medios de pago</t>
  </si>
  <si>
    <t>Explicación de funcionamiento de alertas sap y desarrollo de query</t>
  </si>
  <si>
    <t>Separación de expedientes por factura y DPI</t>
  </si>
  <si>
    <t>Validación de OCR con modificación de Import Agent, modificación de expresiones regulares y pruebas con formularios</t>
  </si>
  <si>
    <t>Modificación de workflow para búsqueda y regeneración de formularios</t>
  </si>
  <si>
    <t>Creación y validación de token para manejo de Id Lote</t>
  </si>
  <si>
    <t>Creación de tabla e inserción de datos por registro de IdLote</t>
  </si>
  <si>
    <t>Modificación de workflow para implementación de búsqueda y generación de formularios</t>
  </si>
  <si>
    <t>Reunión para carga masiva de expedientes en tiempo real en Yamaha Liberación</t>
  </si>
  <si>
    <t>Modificación de las secciones de 14, 15 y 16</t>
  </si>
  <si>
    <t>Modificación de las secciones de 11, 12 y 13</t>
  </si>
  <si>
    <t>Modificación de las secciones de 8, 9 y 10</t>
  </si>
  <si>
    <t>analisis para hacer cubo solicitado</t>
  </si>
  <si>
    <t>hacer pruebas conexion</t>
  </si>
  <si>
    <t>pruebas conexion</t>
  </si>
  <si>
    <t>instalar Mysql y hacer pruebas conexion</t>
  </si>
  <si>
    <t>analisis cubo</t>
  </si>
  <si>
    <t>reunion toma requerimientos</t>
  </si>
  <si>
    <t>cambios solicitados al reporte</t>
  </si>
  <si>
    <t>Se realiza pruebas del modulo de definiciones para la consulta de tablas de sap</t>
  </si>
  <si>
    <t>Se realiza la publicacion de siscon en el servidor de sap 10</t>
  </si>
  <si>
    <t>Se empezo con la creación de dos reportes fundamentales para Esteban</t>
  </si>
  <si>
    <t>Se me capacito sobre el software de eWMS</t>
  </si>
  <si>
    <t>Se me capacito sobre los temas de ensamble y bases de datos</t>
  </si>
  <si>
    <t>Se me capacito sobre los temas de soporte y servidores del proyecto</t>
  </si>
  <si>
    <t>Cambios a reporte</t>
  </si>
  <si>
    <t>analisis y comienzo cambios</t>
  </si>
  <si>
    <t>cambios solicitados</t>
  </si>
  <si>
    <t>programacion</t>
  </si>
  <si>
    <t>hacer reporte para Maquipos y VESA, publicarlo en STOD</t>
  </si>
  <si>
    <t>programar reporte</t>
  </si>
  <si>
    <t>hacer reporte para Maquipos y VESA</t>
  </si>
  <si>
    <t>programación</t>
  </si>
  <si>
    <t>programación reporte</t>
  </si>
  <si>
    <t>reunion con Auditoria, hacer reporte</t>
  </si>
  <si>
    <t>Análisis reporte</t>
  </si>
  <si>
    <t>hacer reporte</t>
  </si>
  <si>
    <t>Reporte entregas</t>
  </si>
  <si>
    <t>reporte entregas</t>
  </si>
  <si>
    <t>Corrección de tabla de chasis con relación a los artículos del contrato</t>
  </si>
  <si>
    <t>Corrección de tabla de contratos de mantenimiento con relación de chasis</t>
  </si>
  <si>
    <t>Corrección de tabla de contratos de mantenimiento</t>
  </si>
  <si>
    <t>analisis y cambios a transaction para optimizarlo</t>
  </si>
  <si>
    <t>Se tuvo reunión con el programado de la APP de ensamble</t>
  </si>
  <si>
    <t>Problemas con los recibos de pago con facturas que tienen cuotas</t>
  </si>
  <si>
    <t>Problemas con el tiempo de receptar correos</t>
  </si>
  <si>
    <t>Problemas con los recibos de pago para realizar anticipos</t>
  </si>
  <si>
    <t>Agregar la cuenta de anticipos para clientes</t>
  </si>
  <si>
    <t>Tiempo de espera de envió de correo</t>
  </si>
  <si>
    <t>Capacitacion con los bancos en quetzales y en dolares</t>
  </si>
  <si>
    <t>Problema con la cuenta en dólares</t>
  </si>
  <si>
    <t>Reunion para funcionamiento de la herramienta de cuadre de cartera</t>
  </si>
  <si>
    <t>Reunion para ver avances en la prueba piloto</t>
  </si>
  <si>
    <t>Problemas con cheques en dólares</t>
  </si>
  <si>
    <t>Revisión de series y análisis de integración de la nueva serie</t>
  </si>
  <si>
    <t>Verificación del origen del error en SP</t>
  </si>
  <si>
    <t>Verificación del origen del error en el código de STOD</t>
  </si>
  <si>
    <t>Se debbugeó la interfaz para saber que registro y en que parte genera problema, se reportó el problema ya que faltó agregar un dato relacionado al pago realizado con tarjeta</t>
  </si>
  <si>
    <t>Verificación de código al apuntar al servidor de Producción y Desarrollo</t>
  </si>
  <si>
    <t>Soporte por creación manual de expediente de cliente, validación de tipo de persona para carga de documentación de ventas, cambio de asignación de tareas a vendedor por reemplazo y validación de envío de FEIC correcto a vendedores</t>
  </si>
  <si>
    <t>Soporte por tarea suspendida y modificación por cambio de ejecutivo de ventas asignado</t>
  </si>
  <si>
    <t>Soporte por validación en Matriz de Riesgo y ONU</t>
  </si>
  <si>
    <t>Soporte por creación de usuarios</t>
  </si>
  <si>
    <t>Reporte proyección STOD TALLER ISUZU</t>
  </si>
  <si>
    <t>Capacitación combos MOTUL</t>
  </si>
  <si>
    <t>Revisión de tickets, corrección de malas practicas en grabado de tickets en Odoo</t>
  </si>
  <si>
    <t>Llenado de tickets, documentación de procesos y llenado de horas 13/02/2025</t>
  </si>
  <si>
    <t>Diapositivas para reunión de RPA Boletas de créditos y cobros</t>
  </si>
  <si>
    <t>Llenado de tickets, documentación de procesos y llenado de horas 05/02/2025</t>
  </si>
  <si>
    <t>Creacion de paquete para envio a canella</t>
  </si>
  <si>
    <t>Envio de correo para que publique equipo interno it</t>
  </si>
  <si>
    <t>pruebas de servicio</t>
  </si>
  <si>
    <t>Creacion de metodo en controlador</t>
  </si>
  <si>
    <t>Creacion de clase detalle de inventario</t>
  </si>
  <si>
    <t>Creacion de clase para inventario</t>
  </si>
  <si>
    <t>Creacion de sp para obtener informacion de sap y tabla creada de referencias</t>
  </si>
  <si>
    <t>programacion de metodo para llenar grid</t>
  </si>
  <si>
    <t>programacion de metodo para grabar data set este elimina antes de cargar</t>
  </si>
  <si>
    <t>Programacion de metodo para cargar excel</t>
  </si>
  <si>
    <t>Creacion de diseño de pagina de stod</t>
  </si>
  <si>
    <t>Creacion de archivo excel para cargar a pantalla</t>
  </si>
  <si>
    <t>Creacion de sp INTE_SelectVehiculos para validar la carga de informacion</t>
  </si>
  <si>
    <t>Creacion de sp INTE_InsertLinea para insertar la informacion del data set que se guarda en la tabla de usuario a la tabla princial</t>
  </si>
  <si>
    <t>Creacion de sp INTE_EliminarData para vaciar la tabla antes de realizar la carga</t>
  </si>
  <si>
    <t>Creacion de tipo de tablas definidas por el usuario para cargar el data set como un objeto directo a base de datos</t>
  </si>
  <si>
    <t>Prueba de cambios en cajas</t>
  </si>
  <si>
    <t>Ajuste al crystal report del reporte derivado de mal calculo en las facturas anuladas de otros días</t>
  </si>
  <si>
    <t>Reducir el tiempo de entrega del correo de los recibos de pagos</t>
  </si>
  <si>
    <t>Ajuste al tipo de cambio</t>
  </si>
  <si>
    <t>Soporte  en fallas del sistema</t>
  </si>
  <si>
    <t>Agregar el botón de seguimiento</t>
  </si>
  <si>
    <t>Problemas con la vista de las promesas</t>
  </si>
  <si>
    <t>Error de visualizacion de los botones en el movil (generar recibo de pago, registrar visita y registrar contraseña de pago)</t>
  </si>
  <si>
    <t>Reunion de avances Proyecto Creditos y Cobros Fase 2</t>
  </si>
  <si>
    <t>Duplicidad de las promesas a la hora de asignar una gestion a un cobrador</t>
  </si>
  <si>
    <t>Arreglo de las vistas en odoo</t>
  </si>
  <si>
    <t>Caso especial con facturas de Vesa</t>
  </si>
  <si>
    <t>Prueba de Duplicidad Con exito</t>
  </si>
  <si>
    <t>Creacion de SP  en Vesa caso especial</t>
  </si>
  <si>
    <t>Problema del SP con duplicidad de factura debido a la direccion Fiscal</t>
  </si>
  <si>
    <t>Identificación de origen de duplicidad de documentos en query que genera la cartera</t>
  </si>
  <si>
    <t>Descuadre de la cartera Canela</t>
  </si>
  <si>
    <t>Modificacion de tiempo y  revision de logs</t>
  </si>
  <si>
    <t>Fallo de la Cartera de Canella</t>
  </si>
  <si>
    <t>Cartera de Canella no corrio</t>
  </si>
  <si>
    <t>Reunion con Juan Carlos de piensom para arreglar loso problemas de Odoo</t>
  </si>
  <si>
    <t>Ciertos campos no lo visualizan los Telecobradores</t>
  </si>
  <si>
    <t>Fallo del WebService con Odoo</t>
  </si>
  <si>
    <t>Problemas de cuadre de Cartera</t>
  </si>
  <si>
    <t>Reunión para demostración del flujo completo a usuarios</t>
  </si>
  <si>
    <t>Reunión para validaciones y pruebas del proceso</t>
  </si>
  <si>
    <t>se crearon y probaron 2 validación para articulo y servicio en OC solo autorizados</t>
  </si>
  <si>
    <t>Reunión para pruebas y validaciones del flujo completo</t>
  </si>
  <si>
    <t>Modificaciones y mejoras en workflows y formularios por validaciones en pruebas</t>
  </si>
  <si>
    <t>Reunión para pruebas de proceso</t>
  </si>
  <si>
    <t>Reunión para pruebas del proceso</t>
  </si>
  <si>
    <t>pruebas de validación</t>
  </si>
  <si>
    <t>creación de validación</t>
  </si>
  <si>
    <t>Modificación de sdk del workflow para modificar tamaño de impresiones y pruebas con el cambio</t>
  </si>
  <si>
    <t>Impresión de lotes de expedientes completos para validar orden, reimpresión y cambios de estado de impresión por medio del API</t>
  </si>
  <si>
    <t>Implementación de workflow de expedientes completos con página en blanco para impresión a doble cara</t>
  </si>
  <si>
    <t>Pruebas de reimpresión y cambios de estado de expedientes</t>
  </si>
  <si>
    <t>Creación e implementación de workflow para armado de expedientes con hojas en blanco</t>
  </si>
  <si>
    <t>Análisis de tiempos y objetos para llevar a cabo el proceso</t>
  </si>
  <si>
    <t>Actualización de etapas basada en prosa del proceso</t>
  </si>
  <si>
    <t>Modificación de diagramas de procesos con validaciones y actualización de prosa</t>
  </si>
  <si>
    <t>Elaboración de prosa con etapas del proceso</t>
  </si>
  <si>
    <t>Elaboración de diagrama de proceso</t>
  </si>
  <si>
    <t>Se realizaran cambios al reporte y se estará probando</t>
  </si>
  <si>
    <t>Se tuvo la reunión con el usuario para entender el proceso para crear el reporte.</t>
  </si>
  <si>
    <t>Se tuvo una reunión con el usuario</t>
  </si>
  <si>
    <t>Modificación reporte de bodega PM001 y PT030</t>
  </si>
  <si>
    <t>Se modificó el reporte para que la información coincidiera con un reporte de Bodega Z13</t>
  </si>
  <si>
    <t>Se agregó la columna extra y se agregó el filtrado solicitado</t>
  </si>
  <si>
    <t>Investigación sobre la localización donde se genera el reporte a modificar</t>
  </si>
  <si>
    <t>Problemas con lso estados de cuenta Banrural</t>
  </si>
  <si>
    <t>Problemas con lso estados de cuenta BI</t>
  </si>
  <si>
    <t>Problemas con los flujos de los bancos</t>
  </si>
  <si>
    <t>Cambio de usuario y reasignación por reemplazo de vendedor</t>
  </si>
  <si>
    <t>Soporte y validación por facturas de Distribuidores</t>
  </si>
  <si>
    <t>Ajsute de sp para la aprobacion y anulacion de contratos con ajuste de vista hacia el vendedor</t>
  </si>
  <si>
    <t>Ajuste de sp para mostrar el listado y crearde Solicitudes</t>
  </si>
  <si>
    <t>Se hizo correcciones al SISCON de prueba del servidor 128.1.200.64 ya que dio unos errores en diferentes módulos de dicho sistema</t>
  </si>
  <si>
    <t>Se hizo pruebas para validar el correcto funcionamiento en el ambiente de prueba de SISCON en el servidor 128.1.200.64</t>
  </si>
  <si>
    <t>Se levanto el SISCON en un ambiente de prueba al servidor 128.1.200.64</t>
  </si>
  <si>
    <t>Se realizaron las correcciones en los cálculos solicitadas durante la reunión con Juan Manuel.</t>
  </si>
  <si>
    <t>Realizacion de Backup de cada SP de SISCON y Backup de BD</t>
  </si>
  <si>
    <t>Corrección de sp y estructura de base de datos para cotizaciones</t>
  </si>
  <si>
    <t>Correcciones de armado de equipo</t>
  </si>
  <si>
    <t>Correcciones de errores en la pantalla de cotizaciones</t>
  </si>
  <si>
    <t>Se realizan correcciones que reportaron soluciones digitales y se suben al servidor de pruebas.</t>
  </si>
  <si>
    <t>Se agrego cambios al formulario, para su funcionamiento y validaciones también</t>
  </si>
  <si>
    <t>Correcciones de sp para validar los calculos y validaciones de vistas de vendedores</t>
  </si>
  <si>
    <t>Presentación de la pantalla y realización de cambios para nueva funcionalidad de la cotización</t>
  </si>
  <si>
    <t>Elaborarion de SP como creacion de datos sobre el formulario para que los calculos en coberturas sean correctas</t>
  </si>
  <si>
    <t>Restauración de la base de datos de SISCON a una mas reciente y crear lo SP para GESCON</t>
  </si>
  <si>
    <t>Modificacion de SP para la funcionalidad del formulario</t>
  </si>
  <si>
    <t>Se incorporó la funcionalidad para agregar, eliminar y descargar archivos en la cotización.</t>
  </si>
  <si>
    <t>Creación de botones de cálculos de los botones a blanco y negro y color</t>
  </si>
  <si>
    <t>Creación de nuevos campos con funcionamiento completo en la vista de cotización</t>
  </si>
  <si>
    <t>Modificación de la tabla de Consulta de Cotización: se eliminaron columnas existentes y se añadieron nuevas.</t>
  </si>
  <si>
    <t>Creación de una tabla para visualizar los archivos cargados relacionados con la cotización.</t>
  </si>
  <si>
    <t>Ajuste de calculos y creacion de nuevos campos para el formulario y actualizacion de cotizacion.</t>
  </si>
  <si>
    <t>Funcionalidad de agregar coberturas a la cotización como también eliminarlas</t>
  </si>
  <si>
    <t>Actualización de validaciones de campos en el modal de agregación de equipos, arreglos de bug</t>
  </si>
  <si>
    <t>Validacion en la interaccion de los botones de Modificar, Copiar, Contrato, etc., Esto dependiendo del estado que valla la cotización</t>
  </si>
  <si>
    <t>Se realizo los ajuste de los cálculos para la vista de la cotización</t>
  </si>
  <si>
    <t>Se realiza la creación de SP para los cálculos de coberturas de las cotizaciones</t>
  </si>
  <si>
    <t>Elaboración de la funcionalidad de los botones de la cotizacion, como aprobación, cambios, aprobar, contrato etc.</t>
  </si>
  <si>
    <t>Se arreglo problemas de la carga de la vista para la solicitud a cotizacion</t>
  </si>
  <si>
    <t>Elaboración del diseño de los calculos como tambiern los botones de la cotizacion</t>
  </si>
  <si>
    <t>/Elaboración del diseño de los calculos como tambiern los botones de la cotizacion</t>
  </si>
  <si>
    <t>Se realizo una presentación para el día 06/02/2024 sobre el proyecto SISCON</t>
  </si>
  <si>
    <t>Se configura la vista para mostrar los equipos asignados</t>
  </si>
  <si>
    <t>Elaboración del diseño del formulario del detalle de la cotización</t>
  </si>
  <si>
    <t>Elaboración de funcionalidad del detalle de la cotización</t>
  </si>
  <si>
    <t>Elaboración de funcionalidad de tablas</t>
  </si>
  <si>
    <t>Elaboracion del diseño del formulario del detalle de la solicitud</t>
  </si>
  <si>
    <t>Elaboracion de funcionalidad del detalle de la solicitud</t>
  </si>
  <si>
    <t>Ajuste de tamaño de columna de la lista.</t>
  </si>
  <si>
    <t>Se amplia el Time Out del End Point de crear una llamada de servicio, y se realiza pruebas.</t>
  </si>
  <si>
    <t>Análisis e investigación para agregar el programa en el servidor</t>
  </si>
  <si>
    <t>Pruebas de correo con nuevo perfil de Correo Electrónico</t>
  </si>
  <si>
    <t>Creación, configuración perfil de Correo Electrónico</t>
  </si>
  <si>
    <t>Mini reunión para establecer posible puesta a Producción</t>
  </si>
  <si>
    <t>Agregada la variable que obtiene los correos de los clientes</t>
  </si>
  <si>
    <t>Monitoreo de creación correcta de PDF de recibos</t>
  </si>
  <si>
    <t>Validaciones de Series de Pago</t>
  </si>
  <si>
    <t>Modificación al SP que lleva control de los documentos creados en SAP</t>
  </si>
  <si>
    <t>Agregadas validaciones que permiten al programa funcionar de forma continua</t>
  </si>
  <si>
    <t>Prueba de estrés simulando varias creaciones en diferentes horarios</t>
  </si>
  <si>
    <t>Modificación del código con el nuevo formato del Pago Recibido</t>
  </si>
  <si>
    <t>Pruebas con datos en producción</t>
  </si>
  <si>
    <t>Validación código para lectura de parámetros en los 3 reportes</t>
  </si>
  <si>
    <t>División de subreportes con reporte para validación al envío de parámetros</t>
  </si>
  <si>
    <t>Validaciones en código para verificar lectura de parámetros en subreportes</t>
  </si>
  <si>
    <t>Validaciones y envío de parámetros por C# a los 3 reportes</t>
  </si>
  <si>
    <t>Tercera reestructuración de código para envío y lectura de parámetros de subreportes</t>
  </si>
  <si>
    <t>Validación código para lectura de parámetros a subreportes</t>
  </si>
  <si>
    <t>Segunda reestructuración de código para envío y lectura de parámetros de subreportes</t>
  </si>
  <si>
    <t>Validación envío y lectura de parámetros a subreportes</t>
  </si>
  <si>
    <t>Implementación código para envío de parámetros en reporte y subreportes</t>
  </si>
  <si>
    <t>Reestructuración código para creación de PDF en C#</t>
  </si>
  <si>
    <t>Validación envío de parámetros hacia archivo .rpt en C#</t>
  </si>
  <si>
    <t>Validación envío de parámetros hacia subreportes del archivo .rpt en C#</t>
  </si>
  <si>
    <t>Código para Creación de PDF por archivo .rpt en C#</t>
  </si>
  <si>
    <t>Creación Procedimientos para Carga de datos</t>
  </si>
  <si>
    <t>Implementación de SP para el envío de correo mediante SQL</t>
  </si>
  <si>
    <t>Verificación en curso de errores en el código implementado para credenciales del servidor de correos</t>
  </si>
  <si>
    <t>Implementación de código en aplicación de C# .Net para envío de correos</t>
  </si>
  <si>
    <t>Investigación e implementación mediante .NET en consola</t>
  </si>
  <si>
    <t>Investigación e implementación mediante Power Shell</t>
  </si>
  <si>
    <t>Investigación e implementación mediante Python</t>
  </si>
  <si>
    <t>Análisis de documentos, campos, información y etapas</t>
  </si>
  <si>
    <t>Validación de información de Proveedor en DB de SAP</t>
  </si>
  <si>
    <t>Elaboración de prosa para definir objetos y etapas</t>
  </si>
  <si>
    <t>Análisis de tabla y datos de Proveedores en SAP para validar estado y consumo de data en LF</t>
  </si>
  <si>
    <t>Elaboración de diagramas y documento de toma de requerimientos sobre etapas del proceso</t>
  </si>
  <si>
    <t>Diagramas sobre etapas del proceso</t>
  </si>
  <si>
    <t>Reunión para toma de requerimientos</t>
  </si>
  <si>
    <t>Validación de chasis pendientes de carga, por DUCAS e IPrimas faltantes y datos listos para carga masiva</t>
  </si>
  <si>
    <t>Validación de documentos de ventas y registro de etapa en Stod</t>
  </si>
  <si>
    <t>Carga de IPrimas y validación de DUCAS e IPrimas</t>
  </si>
  <si>
    <t>Carga de DUCAS</t>
  </si>
  <si>
    <t>Validación e inserción de registro para actualización de Bitácora en Stod</t>
  </si>
  <si>
    <t>Elaboración de guía de uso para el proceso de Lote de Expedientes de Placas</t>
  </si>
  <si>
    <t>Elaboración de guía de uso para el departamento de Placas Yamaha</t>
  </si>
  <si>
    <t>Validación de proceso de Bitácora de Yamaha</t>
  </si>
  <si>
    <t>Configuración de Import Agent en máquinas de departamento de Placas Yamaha</t>
  </si>
  <si>
    <t>Modificación de workflow y pruebas por OCR en formularios 8620 y constancias para extracción de chasis y número de formulario</t>
  </si>
  <si>
    <t>Modificación de formulario de Bitácora de Yamaha para agregar datos</t>
  </si>
  <si>
    <t>Análisis de OCR generado en formularios 8620 y constancias de recepción de formularios</t>
  </si>
  <si>
    <t>Reunión presencial del Yamaha Liberación para pruebas del flujo completo</t>
  </si>
  <si>
    <t>Validación de impresiones, orden y actualización de estado para bitácora y reimpresión de expedientes</t>
  </si>
  <si>
    <t>Validación de expedientes de ventas generados correctamente</t>
  </si>
  <si>
    <t>Validación de proceso de Bitácora con documentos cargados según etapa</t>
  </si>
  <si>
    <t>Carga y validación de documentos de ventas de los expedientes</t>
  </si>
  <si>
    <t>Carga de IPrimas y validación de nombre, ubicación y metadatos en repositorio</t>
  </si>
  <si>
    <t>Validación, búsqueda de IPrimas y modificación para generación de OCR</t>
  </si>
  <si>
    <t>Validación y carga de DUCAS individuales, conjuntos y páginas con OCR para búsqueda de chasis</t>
  </si>
  <si>
    <t>Pruebas de impresión de expedientes</t>
  </si>
  <si>
    <t>Validación de página en blanco en expedientes</t>
  </si>
  <si>
    <t>Validación de orden de expedientes</t>
  </si>
  <si>
    <t>Fallo de los Botones BI</t>
  </si>
  <si>
    <t>Fallo con la pagina del Banrural</t>
  </si>
  <si>
    <t>Fallo con las credenciales del BI</t>
  </si>
  <si>
    <t>Error en la aplicacion de Power Automate</t>
  </si>
  <si>
    <t>Problemas de duplicidad de Boletas por un usuario en especifico</t>
  </si>
  <si>
    <t>Problemas con modulo de boletas STOD</t>
  </si>
  <si>
    <t>Fallo de carga de estados Banrural</t>
  </si>
  <si>
    <t>Fallo de carga de estados BAM</t>
  </si>
  <si>
    <t>Seguimiento de cambio de registros y asignación de código de cobradores</t>
  </si>
  <si>
    <t>Prueba de cambios</t>
  </si>
  <si>
    <t>Desarrollo de ajustes de crystal report</t>
  </si>
  <si>
    <t>Desarrollo de ajustes en Query</t>
  </si>
  <si>
    <t>Reunión para acordar  horarios para el día 22/02</t>
  </si>
  <si>
    <t>Preparación de los cambios y puntos que de deben ajustar el día 22/02 para corregir los inconvenientes del reporte</t>
  </si>
  <si>
    <t>Revisión del reporte y problemas presentados</t>
  </si>
  <si>
    <t>Prueba en produccion funciona bien</t>
  </si>
  <si>
    <t>Funciono el correo, si manda las completadas y pendientes con relacion a las retenciones de ISR</t>
  </si>
  <si>
    <t>Configuración de botones</t>
  </si>
  <si>
    <t>Fallo de la pagina web SAT</t>
  </si>
  <si>
    <t>En Produccion</t>
  </si>
  <si>
    <t>El correo manda la información solicitada por Contabilidad</t>
  </si>
  <si>
    <t>Se modifico un sp para obtener las facturas de ISR</t>
  </si>
  <si>
    <t>Genero una retencion de prueba</t>
  </si>
  <si>
    <t>Se realizaron Pruebas y envía las retenciones</t>
  </si>
  <si>
    <t>Ya es funcional el flujo y asigna los escenarios</t>
  </si>
  <si>
    <t>Se realizaron Pruebas y es funcional</t>
  </si>
  <si>
    <t>Se realizaron  Pruebas y funciona bien</t>
  </si>
  <si>
    <t>Se creo el Flujo que enviara las retenciones</t>
  </si>
  <si>
    <t>Se realizaron Pruebas</t>
  </si>
  <si>
    <t>Creacion y prueba de validadcion para ISR</t>
  </si>
  <si>
    <t>Genera la retencion ISR</t>
  </si>
  <si>
    <t>/ Se creo un sub-flujo y ya ingresa a la plataforma de la SAT sin problema</t>
  </si>
  <si>
    <t>/ Se creo el sub-flujo y funciona sin problema</t>
  </si>
  <si>
    <t>Cambios realizados en los CC del mes de Febrero a Junio 2024</t>
  </si>
  <si>
    <t>Cambios realizados en los CC del mes de Enero 2024</t>
  </si>
  <si>
    <t>Reestructuración de pantalla de vista de llamadas de servicio permitidas</t>
  </si>
  <si>
    <t>Desarrollo de vista para usuario supervisor</t>
  </si>
  <si>
    <t>Desarrollo de opción de asignación de costos por código de mano de obra</t>
  </si>
  <si>
    <t>Desarrollo de opción para asignar 2 técnicos de lavado a una misma llamada de servicio</t>
  </si>
  <si>
    <t>Ajuste de módulo de asignación de llamadas de servicio</t>
  </si>
  <si>
    <t>Desarrollo de módulo de asignación de costo por código de mano de obra</t>
  </si>
  <si>
    <t>Desarrollo de módulo de asignación a otro lavador</t>
  </si>
  <si>
    <t>Arreglo de mensaje de error</t>
  </si>
  <si>
    <t>Verificaciones sobre la visualización de seleccionar</t>
  </si>
  <si>
    <t>Error de visualización de la pagina en producción</t>
  </si>
  <si>
    <t>Revisión de la pagina y revisión de los documentos para la publicación</t>
  </si>
  <si>
    <t>Verificando posibles errores en la pagina web</t>
  </si>
  <si>
    <t>Creación de la documentación</t>
  </si>
  <si>
    <t>Documentación de manual de uso</t>
  </si>
  <si>
    <t>Verificación de pruebas.</t>
  </si>
  <si>
    <t>Se verifico porque no funciona la pagina y se corrigió los bugs</t>
  </si>
  <si>
    <t>Revisión porque la pagina no funciona.</t>
  </si>
  <si>
    <t>Revisión para verificar porque se crea los activos fijos VH que tienen un numero de seria ya registrado</t>
  </si>
  <si>
    <t>Al usuario se le creara un manual para el funcionamiento del la creación de activos fijos.</t>
  </si>
  <si>
    <t>Se le informo al usuario para hacer pruebas en la creación de activos fijos y se procedió hacer creaciones de activos fijos</t>
  </si>
  <si>
    <t>Se configuro completamente el ambiente de pruebas para la creación de activos fijos.</t>
  </si>
  <si>
    <t>Se creo un entorno de pruebas y se arreglo el problema que no cargaba el documento.</t>
  </si>
  <si>
    <t>Se esta configurando un ambiente pruebas para no llevar la computadora</t>
  </si>
  <si>
    <t>Pruebas con el usuario usando computadora física se cancelo por mantenimiento de una base de datos y se procedió a crear un ambiente de pruebas</t>
  </si>
  <si>
    <t>Se esta corrigiendo los errores con los nombres y verificando los datos listos para registrar no se registraron</t>
  </si>
  <si>
    <t>Se realizo pruebas y se arreglo para que acepte dos nombres y un apellido pero sigue dando problemas</t>
  </si>
  <si>
    <t>Se trabajo en la verificación de los datos concuerden con el tipo de activo fijo</t>
  </si>
  <si>
    <t>Se realizo pruebas y se arreglo la seleccion de los grupos en excel</t>
  </si>
  <si>
    <t>Se trabajo en el DI-API</t>
  </si>
  <si>
    <t>Se trabajo en arreglar la carga para vehiculos y se realizo pruebas</t>
  </si>
  <si>
    <t>Se realizaron pruebas con solo un dato</t>
  </si>
  <si>
    <t>Se comenzó a realizar pruebas para ver si traía los datos correctos</t>
  </si>
  <si>
    <t>Se realizo código para extraer los datos y asignarlo a los objetos de la API</t>
  </si>
  <si>
    <t>Se creo la lógica para resivir los datos y como se va recorrer los datos</t>
  </si>
  <si>
    <t>Se comprobó las verificaciones de recolección del archivo de Excel para equipo de computo</t>
  </si>
  <si>
    <t>Se verifico la validaciones y se busca más escenarios en donde pueda fallar el prototipo</t>
  </si>
  <si>
    <t>Se creo un prototipo en el cual se pueda cargar el archivo de excel y hacer validaciones</t>
  </si>
  <si>
    <t>Se probo el SP para la extracción de los datos</t>
  </si>
  <si>
    <t>Se corrigió la lógica del SP</t>
  </si>
  <si>
    <t>Se realizaron pruebas para ver que mostraba el SP</t>
  </si>
  <si>
    <t>Se trabajo en la creación del SP</t>
  </si>
  <si>
    <t>Se busco la forma de relacionar las tablas para la extracción de datos que son necesario para insertar en la tabla de activo fijos por medio de SP.</t>
  </si>
  <si>
    <t>Se busco los datos que van por default para la tabla de activos fijos</t>
  </si>
  <si>
    <t>Se busco la relación de tablas que son necesarios para insertar en la tabla activo fijo</t>
  </si>
  <si>
    <t>Se solicito el archivo de excle</t>
  </si>
  <si>
    <t>Se me presentaron los requerimientos para el proyocto.</t>
  </si>
  <si>
    <t>Revisión en la conexión del módulo en STOD con Endpoint</t>
  </si>
  <si>
    <t>Revisión funcionalidad Endpoint de JANET</t>
  </si>
  <si>
    <t>seguimiento en implementación</t>
  </si>
  <si>
    <t>Traslado de fuentes y configuración del sitio web</t>
  </si>
  <si>
    <t>Configuración de la aplicación del IIS para la aplicación web</t>
  </si>
  <si>
    <t>Reestructuración de SP´s de inserción de solicitudes de contabilidad y créditos</t>
  </si>
  <si>
    <t>Reestructuración de SP´s de carga de estados de cuenta Industrial</t>
  </si>
  <si>
    <t>Reestructuración de SP´s de carga de estados de cuenta GYT</t>
  </si>
  <si>
    <t>Reestructuración de SP´s de carga de estados de cuenta BAN</t>
  </si>
  <si>
    <t>Reestructuración de SP´s de carga de estados de cuenta BANRURAL</t>
  </si>
  <si>
    <t>Reestructuración de SP´s de carga de estados de cuenta Banrural</t>
  </si>
  <si>
    <t>Reestructuración de SP´s de carga de estados de cuenta BAM</t>
  </si>
  <si>
    <t>Reestructuración de SP´s de carga de estados de cuenta BAC</t>
  </si>
  <si>
    <t>Se realizaron ajustes en la pantalla de carga de boletas para tomar los nuevos estados de cuenta</t>
  </si>
  <si>
    <t>Revisión de flujo de banco Bantrab</t>
  </si>
  <si>
    <t>Revisión de flujo de banco Interbanco</t>
  </si>
  <si>
    <t>Revisión de flujo de banco promerica</t>
  </si>
  <si>
    <t>Reunión de presentación del proyecto con los departamentos de Contabilidad y Créditos y Cobros</t>
  </si>
  <si>
    <t>Creación de la presentación del proyecto</t>
  </si>
  <si>
    <t>Desarrollo del plan de trabajo</t>
  </si>
  <si>
    <t>Reestructuración del procedimiento encargado de agregar solicitudes de confirmación y su tabla</t>
  </si>
  <si>
    <t>Revisión del procedimiento de agregar solicitudes de confirmación</t>
  </si>
  <si>
    <t>Corrección del subflujo de envío de facturas a certificar</t>
  </si>
  <si>
    <t>Revisión del proceso, monitoreo de los pasos</t>
  </si>
  <si>
    <t>se pasaron todos los sp, instalación de servicio y validación de conexión</t>
  </si>
  <si>
    <t>validación y corrección de información</t>
  </si>
  <si>
    <t>se añadió una validación</t>
  </si>
  <si>
    <t>consulta para obtener estado de cuenta</t>
  </si>
  <si>
    <t>agrupar referencia</t>
  </si>
  <si>
    <t>cuadre de estado de cuenta SAP</t>
  </si>
  <si>
    <t>creacion de reporte</t>
  </si>
  <si>
    <t>parametrización y capacitación caja minimarket</t>
  </si>
  <si>
    <t>pruebas de entorno</t>
  </si>
  <si>
    <t>revision y pruebas de conexion pinpad y computadora</t>
  </si>
  <si>
    <t>creación de 5 reportes de anticipos para Vesa</t>
  </si>
  <si>
    <t>se realizaron las pruebas correspondientes con Integra y el usuario</t>
  </si>
  <si>
    <t>inconvenientes para subir archivo al banco</t>
  </si>
  <si>
    <t>Ticket de enero</t>
  </si>
  <si>
    <t>ph ID</t>
  </si>
  <si>
    <t>ph Id Proyecto</t>
  </si>
  <si>
    <t>ph Titulo</t>
  </si>
  <si>
    <t>ph Fecha</t>
  </si>
  <si>
    <t>ph Horas</t>
  </si>
  <si>
    <t>ph Fecha Creacion</t>
  </si>
  <si>
    <t>Suma de ph Horas</t>
  </si>
  <si>
    <t>Proyecto WMS</t>
  </si>
  <si>
    <t>Se finalizo el query solicitado y fue probado por el usuario solicitante</t>
  </si>
  <si>
    <t>Se me capacito con temas relacionados a eWMS</t>
  </si>
  <si>
    <t>Se comenzó un query que permite visualizar que documentos tiene facturas. Solicitado por Esteban</t>
  </si>
  <si>
    <t>Se brindo soporte y la instalación correspondiente al área de encomienda</t>
  </si>
  <si>
    <t>Proyecto de Ensamble</t>
  </si>
  <si>
    <t>HEBER ENRIQUE CONTRERAS IZQUIERDO</t>
  </si>
  <si>
    <t>Se tuvo reunion con el programador de la APP de ensamble</t>
  </si>
  <si>
    <t>Soporte al crear factura proveedores validación Transaction SAP</t>
  </si>
  <si>
    <t>validación 1820008</t>
  </si>
  <si>
    <t>Modificacion de pantalla de pagos proveedores Cpro</t>
  </si>
  <si>
    <t>modifcacion de envió de correo y documento adjunto</t>
  </si>
  <si>
    <t>Se capacito al usuario con temas relacionados a eWMS y ensamble</t>
  </si>
  <si>
    <t>Se finalizó el query y fue testeado por el usuario</t>
  </si>
  <si>
    <t>Se capacito al usuario con temas relacionados a eWMS</t>
  </si>
  <si>
    <t>Se inicio con el query solicitado por Esteban que permitirá validar que documentos contienen facturas</t>
  </si>
  <si>
    <t>Se brindo el soporte y la instalación correspondiente al área de encomienda</t>
  </si>
  <si>
    <t>•	Se programó una reunión con el equipo de proyectos de Canella y el equipo outsourcing de REDECON con el objetivo de revisar los avances del proyecto general del sistema WMS.</t>
  </si>
  <si>
    <t>Se realizaron correcciones en los LPS para garantizar que no aparezcan en minúsculas al momento de ser enviados al sistema WMS.</t>
  </si>
  <si>
    <t>Se modificó una validación en el transaction de DM_ARTICULOS para que los usuarios no tengan inconveniente al momento de asignar bodega a los artículos, pero no debe dejarlos modificar la descripción de este mismo.</t>
  </si>
  <si>
    <t>•	Se efectuó la creación de la nueva bodega PD030 en el sistema WMS.</t>
  </si>
  <si>
    <t>Se le dio acceso al equipo al servidor 64</t>
  </si>
  <si>
    <t>Se le dio acceso a 4 usuarios a la bodega PM999 de Refacturación</t>
  </si>
  <si>
    <t>Se le dio acceso al equipo al servidor 58</t>
  </si>
  <si>
    <t>•	Se depuro el código de un transaction que no permitía el correcto funcionamiento de la orden de traslados porque el campo almacén destino y el detalle de almacén destino no eran los mismos según la validación.</t>
  </si>
  <si>
    <t>Se realizó la consulta correspondiente ya que tenian que verse reflejadas las OF y OD de la misma forma en WMS</t>
  </si>
  <si>
    <t>Se realizó la consulta en el Query Manager para SAP</t>
  </si>
  <si>
    <t>ph Horas Decimal</t>
  </si>
  <si>
    <t>Creación de SP para obtener las facturas con exento de IVA e ISR</t>
  </si>
  <si>
    <t>Creacion del excel con los campos solicitados</t>
  </si>
  <si>
    <t>Ajustes del sistema del IVE solicitados por Depto Cumplimiento</t>
  </si>
  <si>
    <t>&lt;p&gt;Derivado de la auditoria de la IVE realizada a Canella es ** necesario su pronta colaboración para cumplir con los requerimientos los cuales ** tienen fecha limite&lt;/p&gt;&lt;p&gt;Los requerimientos son:&lt;/p&gt;&lt;ol&gt; **  &lt;li&gt;Creación de políticas&lt;/li&gt; **  &lt;li&gt;Documentación de **      procesos&lt;/li&gt; **  &lt;li&gt;Reportes de control&lt;/li&gt; **  &lt;li&gt;Mejoras al FEIC&lt;/li&gt; **  &lt;li&gt;Robot para realizar **      revisiones &lt;/li&gt; **  &lt;li&gt;Robot para realizar **      comparaciones entre banco y SAP&lt;/li&gt; **  &lt;li&gt;Otros procesos, **      políticas, reportes, programas, controles, procesos de robot que indique **      Luis Fernando Barrios&lt;/li&gt; ** &lt;/ol&gt;&lt;p&gt;&amp;nbsp;&lt;/p&gt;&lt;p&gt;Esto es urgente y de obligación legal, por lo tanto, les ** solicito asignar a una persona de su departamento para realizar estas tareas y ** ponerse de acuerdo con Fernando para recibir los requerimientos y detalles&lt;/p&gt;&lt;p&gt; **  **  **  **  **  ** &lt;/p&gt;</t>
  </si>
  <si>
    <t>Se instalo el driver de la impresora canon y revisión de la configuración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</si>
</sst>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hh:mm:ss"/>
    <numFmt numFmtId="165" formatCode="dd:hh:mm:ss"/>
    <numFmt numFmtId="166" formatCode="[h]:mm"/>
  </numFmts>
  <fonts count="7" x14ac:knownFonts="1">
    <font>
      <sz val="11"/>
      <color theme="1"/>
      <name val="Calibri"/>
      <family val="2"/>
      <scheme val="minor"/>
    </font>
    <font>
      <sz val="11"/>
      <color rgb="FF006100"/>
      <name val="Calibri"/>
      <family val="2"/>
      <scheme val="minor"/>
    </font>
    <font>
      <b/>
      <sz val="14"/>
      <color theme="1"/>
      <name val="Calibri"/>
      <family val="2"/>
      <scheme val="minor"/>
    </font>
    <font>
      <u/>
      <sz val="11"/>
      <color theme="1"/>
      <name val="Calibri"/>
      <family val="2"/>
      <scheme val="minor"/>
    </font>
    <font>
      <sz val="8"/>
      <name val="Calibri"/>
      <family val="2"/>
      <scheme val="minor"/>
    </font>
    <font>
      <sz val="11"/>
      <name val="Calibri"/>
      <family val="2"/>
      <scheme val="minor"/>
    </font>
    <font>
      <b/>
      <sz val="11"/>
      <color theme="0"/>
      <name val="Calibri"/>
      <family val="2"/>
      <scheme val="minor"/>
    </font>
  </fonts>
  <fills count="7">
    <fill>
      <patternFill patternType="none"/>
    </fill>
    <fill>
      <patternFill patternType="gray125"/>
    </fill>
    <fill>
      <patternFill patternType="solid">
        <fgColor rgb="FFC6EFCE"/>
      </patternFill>
    </fill>
    <fill>
      <patternFill patternType="solid">
        <fgColor rgb="FFCC99FF"/>
        <bgColor indexed="64"/>
      </patternFill>
    </fill>
    <fill>
      <patternFill patternType="solid">
        <fgColor theme="0" tint="-0.34998626667073579"/>
        <bgColor indexed="64"/>
      </patternFill>
    </fill>
    <fill>
      <patternFill patternType="solid">
        <fgColor rgb="FFFFFF00"/>
        <bgColor indexed="64"/>
      </patternFill>
    </fill>
    <fill>
      <patternFill patternType="solid">
        <fgColor theme="4"/>
        <bgColor theme="4"/>
      </patternFill>
    </fill>
  </fills>
  <borders count="4">
    <border>
      <left/>
      <right/>
      <top/>
      <bottom/>
      <diagonal/>
    </border>
    <border>
      <left/>
      <right/>
      <top/>
      <bottom style="hair">
        <color auto="1"/>
      </bottom>
      <diagonal/>
    </border>
    <border>
      <left/>
      <right/>
      <top style="hair">
        <color auto="1"/>
      </top>
      <bottom style="hair">
        <color auto="1"/>
      </bottom>
      <diagonal/>
    </border>
    <border>
      <left/>
      <right/>
      <top style="thin">
        <color theme="4" tint="0.39997558519241921"/>
      </top>
      <bottom style="thin">
        <color theme="4" tint="0.39997558519241921"/>
      </bottom>
      <diagonal/>
    </border>
  </borders>
  <cellStyleXfs count="2">
    <xf numFmtId="0" fontId="0" fillId="0" borderId="0"/>
    <xf numFmtId="0" fontId="1" fillId="2" borderId="0" applyNumberFormat="0" applyBorder="0" applyAlignment="0" applyProtection="0"/>
  </cellStyleXfs>
  <cellXfs count="19">
    <xf numFmtId="0" fontId="0" fillId="0" borderId="0" xfId="0"/>
    <xf numFmtId="0" fontId="3" fillId="0" borderId="0" xfId="0" applyFont="1"/>
    <xf numFmtId="14" fontId="0" fillId="0" borderId="0" xfId="0" applyNumberFormat="1"/>
    <xf numFmtId="0" fontId="0" fillId="0" borderId="1" xfId="0" applyBorder="1" applyAlignment="1">
      <alignment horizontal="right" vertical="top"/>
    </xf>
    <xf numFmtId="0" fontId="0" fillId="0" borderId="2" xfId="0" applyBorder="1" applyAlignment="1">
      <alignment horizontal="right" vertical="top"/>
    </xf>
    <xf numFmtId="0" fontId="1" fillId="2" borderId="2" xfId="1" applyBorder="1" applyAlignment="1">
      <alignment vertical="top" wrapText="1"/>
    </xf>
    <xf numFmtId="164" fontId="0" fillId="0" borderId="0" xfId="0" applyNumberFormat="1"/>
    <xf numFmtId="165" fontId="0" fillId="0" borderId="0" xfId="0" applyNumberFormat="1"/>
    <xf numFmtId="0" fontId="0" fillId="0" borderId="0" xfId="0" applyAlignment="1">
      <alignment horizontal="center"/>
    </xf>
    <xf numFmtId="0" fontId="2" fillId="3" borderId="0" xfId="0" applyFont="1" applyFill="1"/>
    <xf numFmtId="14" fontId="1" fillId="4" borderId="2" xfId="1" applyNumberFormat="1" applyFill="1" applyBorder="1" applyAlignment="1">
      <alignment horizontal="left" vertical="top" wrapText="1"/>
    </xf>
    <xf numFmtId="0" fontId="5" fillId="5" borderId="0" xfId="1" applyFont="1" applyFill="1" applyBorder="1" applyAlignment="1">
      <alignment vertical="top" wrapText="1"/>
    </xf>
    <xf numFmtId="1" fontId="0" fillId="0" borderId="0" xfId="0" applyNumberFormat="1"/>
    <xf numFmtId="164" fontId="0" fillId="0" borderId="0" xfId="0" applyNumberFormat="1" applyAlignment="1">
      <alignment horizontal="center"/>
    </xf>
    <xf numFmtId="0" fontId="0" fillId="0" borderId="0" xfId="0" pivotButton="1"/>
    <xf numFmtId="0" fontId="0" fillId="0" borderId="0" xfId="0" applyAlignment="1">
      <alignment horizontal="left"/>
    </xf>
    <xf numFmtId="0" fontId="0" fillId="0" borderId="0" xfId="0" applyAlignment="1">
      <alignment horizontal="left" indent="1"/>
    </xf>
    <xf numFmtId="166" fontId="0" fillId="0" borderId="0" xfId="0" applyNumberFormat="1"/>
    <xf numFmtId="14" fontId="6" fillId="6" borderId="3" xfId="0" applyNumberFormat="1" applyFont="1" applyFill="1" applyBorder="1"/>
  </cellXfs>
  <cellStyles count="2">
    <cellStyle name="Bueno" xfId="1" builtinId="26"/>
    <cellStyle name="Normal" xfId="0" builtinId="0"/>
  </cellStyles>
  <dxfs count="39">
    <dxf>
      <font>
        <color rgb="FF9C0006"/>
      </font>
      <fill>
        <patternFill>
          <bgColor rgb="FFFFC7CE"/>
        </patternFill>
      </fill>
    </dxf>
    <dxf>
      <numFmt numFmtId="19" formatCode="yyyy/mm/dd"/>
    </dxf>
    <dxf>
      <numFmt numFmtId="166" formatCode="[h]:mm"/>
    </dxf>
    <dxf>
      <numFmt numFmtId="0" formatCode="General"/>
    </dxf>
    <dxf>
      <numFmt numFmtId="19" formatCode="yyyy/mm/dd"/>
    </dxf>
    <dxf>
      <numFmt numFmtId="0" formatCode="General"/>
    </dxf>
    <dxf>
      <numFmt numFmtId="0" formatCode="General"/>
    </dxf>
    <dxf>
      <numFmt numFmtId="0" formatCode="General"/>
    </dxf>
    <dxf>
      <numFmt numFmtId="0" formatCode="General"/>
    </dxf>
    <dxf>
      <numFmt numFmtId="19" formatCode="yyyy/mm/dd"/>
    </dxf>
    <dxf>
      <numFmt numFmtId="19" formatCode="yyyy/mm/dd"/>
    </dxf>
    <dxf>
      <numFmt numFmtId="19" formatCode="yyyy/mm/dd"/>
    </dxf>
    <dxf>
      <numFmt numFmtId="19" formatCode="yyyy/mm/dd"/>
    </dxf>
    <dxf>
      <numFmt numFmtId="19" formatCode="yyyy/mm/dd"/>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1" formatCode="0"/>
    </dxf>
    <dxf>
      <numFmt numFmtId="0" formatCode="General"/>
    </dxf>
    <dxf>
      <numFmt numFmtId="0" formatCode="General"/>
    </dxf>
    <dxf>
      <numFmt numFmtId="0" formatCode="General"/>
    </dxf>
    <dxf>
      <numFmt numFmtId="0" formatCode="General"/>
    </dxf>
    <dxf>
      <numFmt numFmtId="0" formatCode="General"/>
    </dxf>
    <dxf>
      <numFmt numFmtId="1" formatCode="0"/>
    </dxf>
    <dxf>
      <numFmt numFmtId="0" formatCode="General"/>
      <alignment horizontal="center" vertical="bottom" textRotation="0" wrapText="0" indent="0" justifyLastLine="0" shrinkToFit="0" readingOrder="0"/>
    </dxf>
    <dxf>
      <numFmt numFmtId="1" formatCode="0"/>
    </dxf>
    <dxf>
      <numFmt numFmtId="0" formatCode="General"/>
      <alignment horizontal="center" vertical="bottom" textRotation="0" wrapText="0" indent="0" justifyLastLine="0" shrinkToFit="0" readingOrder="0"/>
    </dxf>
    <dxf>
      <numFmt numFmtId="0" formatCode="General"/>
    </dxf>
    <dxf>
      <numFmt numFmtId="0" formatCode="General"/>
    </dxf>
    <dxf>
      <numFmt numFmtId="1" formatCode="0"/>
    </dxf>
    <dxf>
      <numFmt numFmtId="1" formatCode="0"/>
    </dxf>
    <dxf>
      <numFmt numFmtId="0" formatCode="General"/>
    </dxf>
    <dxf>
      <numFmt numFmtId="19" formatCode="yyyy/mm/dd"/>
    </dxf>
    <dxf>
      <numFmt numFmtId="166" formatCode="[h]:mm"/>
    </dxf>
    <dxf>
      <numFmt numFmtId="166" formatCode="[h]:mm"/>
    </dxf>
  </dxfs>
  <tableStyles count="0" defaultTableStyle="TableStyleMedium9" defaultPivotStyle="PivotStyleLight16"/>
  <colors>
    <mruColors>
      <color rgb="FFCC99FF"/>
      <color rgb="FFFFFF99"/>
      <color rgb="FF66FFFF"/>
      <color rgb="FFCCFFCC"/>
      <color rgb="FFCC9900"/>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onnections" Target="connections.xml"/><Relationship Id="rId12" Type="http://schemas.microsoft.com/office/2023/09/relationships/Python" Target="pyth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lj153 Julio de León" refreshedDate="45727.493308101853" createdVersion="8" refreshedVersion="8" minRefreshableVersion="3" recordCount="805" xr:uid="{F72B885A-103E-4B47-8708-5A489AE9B58F}">
  <cacheSource type="worksheet">
    <worksheetSource name="_tbl_odoo_datos"/>
  </cacheSource>
  <cacheFields count="38">
    <cacheField name="PROYECTO ID" numFmtId="1">
      <sharedItems containsSemiMixedTypes="0" containsString="0" containsNumber="1" containsInteger="1" minValue="8246" maxValue="8554"/>
    </cacheField>
    <cacheField name="STOD Ref." numFmtId="1">
      <sharedItems containsSemiMixedTypes="0" containsString="0" containsNumber="1" containsInteger="1" minValue="0" maxValue="374" count="93">
        <n v="275"/>
        <n v="278"/>
        <n v="280"/>
        <n v="281"/>
        <n v="282"/>
        <n v="283"/>
        <n v="284"/>
        <n v="285"/>
        <n v="286"/>
        <n v="287"/>
        <n v="289"/>
        <n v="291"/>
        <n v="293"/>
        <n v="294"/>
        <n v="296"/>
        <n v="298"/>
        <n v="300"/>
        <n v="301"/>
        <n v="302"/>
        <n v="309"/>
        <n v="310"/>
        <n v="312"/>
        <n v="313"/>
        <n v="314"/>
        <n v="315"/>
        <n v="316"/>
        <n v="318"/>
        <n v="319"/>
        <n v="320"/>
        <n v="321"/>
        <n v="322"/>
        <n v="323"/>
        <n v="324"/>
        <n v="326"/>
        <n v="330"/>
        <n v="331"/>
        <n v="337"/>
        <n v="341"/>
        <n v="342"/>
        <n v="343"/>
        <n v="345"/>
        <n v="346"/>
        <n v="347"/>
        <n v="348"/>
        <n v="349"/>
        <n v="350"/>
        <n v="351"/>
        <n v="359"/>
        <n v="363"/>
        <n v="367"/>
        <n v="368"/>
        <n v="0"/>
        <n v="277"/>
        <n v="288"/>
        <n v="304"/>
        <n v="325"/>
        <n v="327"/>
        <n v="329"/>
        <n v="352"/>
        <n v="369"/>
        <n v="276"/>
        <n v="279"/>
        <n v="295"/>
        <n v="307"/>
        <n v="333"/>
        <n v="354"/>
        <n v="360"/>
        <n v="374"/>
        <n v="297"/>
        <n v="305"/>
        <n v="317"/>
        <n v="334"/>
        <n v="361"/>
        <n v="362"/>
        <n v="303"/>
        <n v="308"/>
        <n v="339"/>
        <n v="336"/>
        <n v="366"/>
        <n v="299"/>
        <n v="332"/>
        <n v="373"/>
        <n v="370"/>
        <n v="292"/>
        <n v="290"/>
        <n v="371"/>
        <n v="372"/>
        <n v="344"/>
        <n v="340"/>
        <n v="338"/>
        <n v="335"/>
        <n v="328" u="1"/>
        <n v="353" u="1"/>
      </sharedItems>
    </cacheField>
    <cacheField name="Proyecto" numFmtId="0">
      <sharedItems count="177" longText="1">
        <s v="(275) PROCESO  ** Cambios para grabar presupuestos pintura en SAP, reporte y validaciones"/>
        <s v="(278) BI  ** Configuración de puerta de enlace para Power BI para Douglas Maldonado"/>
        <s v="(280) SOPORTE Soporte y Capacitación de plantilla con Framework REACT/C Sharp para implementarlo en el sistema de SCONWEB del Departamento de Servicio Técnico"/>
        <s v="(281) PROCESO ** Implementación de Contabilidad NIIF"/>
        <s v="(282) MEJORAS  ** Mejoras al proceso de órdenes de entrega para sótano deben agregarse los campos indicados por Douglas Montoya"/>
        <s v="(283) (Integra) CARGA DE DATOSClasificación de clientes para carga masiva de SAP solicitada por Rene Cotto"/>
        <s v="(284) PROCESO ** Actualizacion de tablas de catálogos de SAP de acuerdo con 24 puntos que contiene el archivo enviado a Marisol Recinos"/>
        <s v="(285) PROCESO ** Cubo para analisis de personal activo y retirado, para realizar un kpi de rotación de personal"/>
        <s v="(286) (Integra) PROCESOSeguimiento a Cuadtratica para Vesa"/>
        <s v="(287) (Integra) MEJORAS Procesos de anulación en medios de pago SAP"/>
        <s v="(289) MEJORAS ** Implementacion de Combos en GrafiPronto"/>
        <s v="(291) PROCESO ** Estandarización de las instancias SAP MAQUIPOS Y VESA"/>
        <s v="(293) PROCESO ** Seguimiento a Cuadtratica para Canella ** "/>
        <s v="(294) PROCESO ** Implementación del Sistema de Inventario en tránsito VESA Y MAQUIPOS"/>
        <s v="(296) ACTUALIZACION ESTADOS DE CUENTA DE BANCOS (CN006)"/>
        <s v="(298) Actualizar campo de usuario y creación PDF con dato Autorizador en la orden de compra. (CN006)"/>
        <s v="(300) 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
        <s v="(301) Ajustes a los libros fiscales en todos los SAP (CN006)"/>
        <s v="(302) Proceso para cargas masivas de medios de pago (CN006)"/>
        <s v="(309) (Marvin Vargas) PROCESO Implementación del Sistema de PinPads para el manejo de Cajas en Facturación Fase 1"/>
        <s v="(310) Ajustes de sistema estados de cuentas (CN006)"/>
        <s v="(312) PROCESO ** Conexión a SAP para  consultas de CQM Yamaha"/>
        <s v="(313) Información sobre la data del FEIC distribuidores para que se ingresen en un sitio web"/>
        <s v="(314) PROCESO ** Tiendas en línea Motul-Interstate - Ipone, desarrollo de webservices con SAP"/>
        <s v="(315) PROCESO ** Modificación al reporte de la IVE y el nombre del reporte IVE-INF-05, Carlos Rosales hizo los ultimos ajustes por la auditoria de la IVE.  Luis enviara un correo detallando los ajustes a realizar"/>
        <s v="(316) PROCESO ** Conexión a página web de distribuidores Canon y tienda en línea para interfaces con SAP"/>
        <s v="(318) (MARVIN VARGAS) PROCESOSeguimiento al proceso cotización de equipos y respuetos de Maquinaria, realizar webservices con SAP"/>
        <s v="(319)SEGUIMIENTO A PEDIDOS (TRACKING) - KRAS(CN006)"/>
        <s v="(320) MEJORAS ** 2da fase de tablero de atención al clientes para cajas del departamento de Repuestos"/>
        <s v="(321)Creditos y Cobros Fase 2 - Cobro a domiciliario(CN006)"/>
        <s v="(322) CONSULTA EN SISTEMA DE PEDIDOS DISTRIBUIDORES - KRAS ** Consulta de estados de cuenta por el cliente en la web. Desde la página de pedidos del distribuidor se podrá accesar a la página de estados de cuenta"/>
        <s v="(323) PROCESO ** KPIS de rendimiento para personal de créditos y cobros"/>
        <s v="(324) PROCESO ** Seguimiento al proceso de entrega y preparación de vehículos, realizar webservices con SAP"/>
        <s v="(326) PROCESO ** Conexión a SAP para retroalimentación de etapas de reparación de un vehículo"/>
        <s v="(330)PROCESO Plantilla para grabar extensiones e ISR(CN006)"/>
        <s v="(331) WMS  ** Implementación de WMS en Elisur. Las otras bodegas serán tickets adicionales (Bodega zona4, Taller Automotriz, Bodega Hyundai)"/>
        <s v="(337) ENSAMBLE DE MOTOS   - KRAS ** Implementación del Módulo de Ensamble de Motocicletas en Elizur Fase 1"/>
        <s v="(341) PROCESO ** Implementación de EVOLUTION sistema de RRHH"/>
        <s v="(342) PROCESO Mejoras en los tiempos de impresión de facturas y certificación con Guatefacturas(CN006)"/>
        <s v="(343) PROCESO ** Implementación de SAP 10 para la Empresa Canella"/>
        <s v="(345) PROCESO ** Seguimiento al Sistema SAP para mejorar la estabilidad, bloqueos y mejoras en redimiento. Identificar procesos clave y hacer un plan de trabajo"/>
        <s v="(346) PANTALLA  ** Creación de pantalla para cambiar códigos de artículos que tengan pase en el contrato, debido que a la hora de despachar no cuentan con el artículo.  "/>
        <s v="(347) MODULO DE COMISIONES ** Creación de modulo de comisiones con las indicaciones de Auditoría y Gerencia"/>
        <s v="(348) PROCESO ** Necesitamos realizar un desarrollo en SAP, practicamente es que cuando un cliente con facturas en mora se ponga al día, el sistema lo desbloquee en automático sin la intervención de Créditos. Edward Garcia fue el solicitante"/>
        <s v="(349) PROCESO  ** Implementación tarifario de mano de obra Isuzu (Esto está detenido por Douglas porque necesita un reporte de líneas de vehículo de José Roberto para depurar las líneas en SAP)"/>
        <s v="(350) REPORTE ** Realizar un reporte de Inventario con las columnas indicadas por Rene Cotto"/>
        <s v="(351) PROCESO  ** Cambio de códigos de mano de obra en el módulo de contratos de mantenimiento para salir en vivo con el tarifario de mano de obra isuzu (en espera de listado de códigos de parte de Douglas)."/>
        <s v="(359) Reporte facturas Admin Seguridad (CN006)"/>
        <s v="(363) FEIC Jurídico Representante Legal (Crear)"/>
        <s v="(367) Mejoras al sistema SQM y STOD en la parte de registro de Leas y Cotizaciones para que no exista doble digitación"/>
        <s v="(368) Cerrar todas las ordenes abiertas de la División Soluciones de Oficina hasta el 30 de septiembre de 2024"/>
        <s v="(NT) Test"/>
        <s v="(NT) Test Williams Galván"/>
        <s v="Ajuste de reporte de contratos SISCON"/>
        <s v="Ajustes de JANET"/>
        <s v="Ajustes del sistema del IVE solicitados por Depto Cumplimiento"/>
        <s v="Autorización de facturas de Proveedores externos"/>
        <s v="Backup de código fuente de interfaces SAP al servidor 70"/>
        <s v="Cambios a reporte ventas Yamaha"/>
        <s v="Creacion de Alerta de SAP para stock TONNER"/>
        <s v="Entrega de proyecto Placas Yamaha"/>
        <s v="FEIC Fase dos"/>
        <s v="Hacer cubo Power BI para U-Contact"/>
        <s v="Implementar Odoo - Proyectos"/>
        <s v="Mejoras a reporte compras para Auditoria"/>
        <s v="Migracion se SISCON SAP 10"/>
        <s v="Modificación cubo talleres autos"/>
        <s v="Proyecto WMS"/>
        <s v="Proyecto de Ensamble"/>
        <s v="Reporte analisis suministros"/>
        <s v="Reporte compras para Auditoria"/>
        <s v="Reporte entregas que integran reporte gerencia"/>
        <s v="Restauración de correlativo de Identity de contratos de mantenimiento"/>
        <s v="Revisar y optimizar transaction orden de venta"/>
        <s v="Soporte  Creditos y Cobros Fase 2 - Cobro Domiciliario(CN006)"/>
        <s v="Soporte (CN006)"/>
        <s v="Soporte Módulo de Recibos STOD"/>
        <s v="Soporte Módulo de Recibos de Caja"/>
        <s v="Soporte a Raul Perez para grabar factura clientes"/>
        <s v="Soporte al crear factura proveedores validación Transaction SAP"/>
        <s v="Soporte configuración impresora"/>
        <s v="Soporte de STOD módulo Facturación Corporativo"/>
        <s v="Soporte en la eliminación de cookies"/>
        <s v="Soporte enero (CN006)"/>
        <s v="Soporte febrero (CN006)"/>
        <s v="Soporte query proyección vehiculos"/>
        <s v="Ticket Administrativo"/>
        <s v="WS Interstate inventario de baterias por referencia de vehiculo"/>
        <s v="WS etapa entrega vehiculos"/>
        <s v="WS etapas taller"/>
        <s v="WS inventario home office"/>
        <s v="WS oferta de venta Motul"/>
        <s v="cambios a cubo EERR Serv. Compartidos"/>
        <s v="cubo planilla altas bajas Taller Autos"/>
        <s v="modificar cubo llamadas"/>
        <s v="(277) Reporte de inventario Motul (CN006)"/>
        <s v="(288) 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
        <s v="(304) Consultas para reconciliaciones operados en Banco Industrial (CN006)"/>
        <s v="(325)Soporte Creditos y Cobros General"/>
        <s v="(327) Implementación de Sistema de Contraseñas de Proveedores Locales"/>
        <s v="(329) Cubos de BI sobre plataforma de Ucontact para análisis de datos (CN006)"/>
        <s v="(352) Placas Yamaha (CN006)"/>
        <s v="(369) Reporte de SAP sobre las cajas de repuestos"/>
        <s v="Ajustes al reporte - REP - TableroDistribuicion Z13 - Entregas Pendientes (Caja)"/>
        <s v="Modificacion de pantalla de pagos proveedores Cpro"/>
        <s v="Proyecto eWMS"/>
        <s v="Reserva de vehículo - Isuzu Subdistribuidor"/>
        <s v="Soporte  RPA Boletas de Bancos(CN006)"/>
        <s v="Soporte marzo"/>
        <s v="(276) Renovación de SISCON (CN006)"/>
        <s v="(279) Mejora interface API SCON WEB (CN006)"/>
        <s v="(295) MEJORAS: Traslado del módulo de pases de salida de SAP a STOD"/>
        <s v="(307) Envío de correo al crear Pagos Recibidos en SAP (CN006)"/>
        <s v="(333) Reporte Traslado Tecnología V2 (CN006)"/>
        <s v="(354) Subdistribuidores Isuzu (CN006)"/>
        <s v="(360) Digitalización y clasificación de DUCAS e IPrimas (CN006)"/>
        <s v="(374) Soporte impresión Yamaha (CN006)"/>
        <s v="Soporte Banco BI"/>
        <s v="Soporte RPA - Boletas"/>
        <s v="(297) REPORTE DE SAP CAJA GENERAL"/>
        <s v="(305) PROCESO ** Implementación de RPA para confirmación de boletas de deposito"/>
        <s v="(317) RPA Retenciones - ISR(CN006)"/>
        <s v="(334) Optimizacion de Llamadas de Servicio (CN006)"/>
        <s v="(361) Optimización de creación y actualización de Proveedores (CN006)"/>
        <s v="(362) Actualización Masiva de Asientos Contables (CN006)"/>
        <s v="Reporte del detalle de usuario en entregas SAP (CN006)"/>
        <s v="SIFCO facturas no certificadas, cancelación y reenvió"/>
        <s v="(303) Desarrollo de modulo de lavado de vehículos"/>
        <s v="(308) Carga masiva de Activo Fijo (CN006)"/>
        <s v="(339) Modificación de Transaction SAP para ELIZUR (CN006)"/>
        <s v="Soporte Carga de Excel a STOD (CN006)"/>
        <s v="Soporte PinPad Servicio de NeoNet no funciona"/>
        <s v="Verificación de API DE Lecturas de SISCON"/>
        <s v="(336) Mejoras a SAP"/>
        <s v="(366) Desarrollo de reporte de personal 2024 de Taller Isuzu (CN006)"/>
        <s v="Reporte de interfaces"/>
        <s v="Soporte SAP VESA tarjeta de BAC CREDOMATIC"/>
        <s v="Soporte en creación Recibos de Pago"/>
        <s v="(299) Agregar la opción &quot;Depósitos Mixtos&quot; al módulo de Recibos de Caja (CN006)"/>
        <s v="Cambio de End Point Lecturas SISCON"/>
        <s v="Soporte Factura NO Operada  SAP INTERSTATE"/>
        <s v="Traslado de sitio web Dashboard MOTUL"/>
        <s v="(332) RPA de confirmación de boletas bancarias Créditos y Cobros"/>
        <s v="Soporte Facturas interstate vendedores no colocan datos de voucher"/>
        <s v="(373) RPA Mr Credit - Envío de facturas (CN006)"/>
        <s v="Soporte SAP  ARANCELES"/>
        <s v="(370) Corrección de pantalla de gestión de correos de contratos de mantenimiento"/>
        <s v="Soporte Service unavailable STOD"/>
        <s v="(292) Sistema de encuestas Taller Isuzu (CN006)"/>
        <s v="Implementación de pinpad para Caja primer nivel"/>
        <s v="(290) Módulo de RECALL taller ISUZU (CN006)"/>
        <s v="Soporte Archivo duplicado ACH BI"/>
        <s v="(371) Soporte de ingreso de datos para presupuestos de pintura (CN006)"/>
        <s v="Soporte para SAP Maquipos y vesa Actualización"/>
        <s v="(372) Se da soporte al proceso de confirmación de boletas en el caso donde se confirmo una boleta con banco incorrecto y en donde el detalle de montos"/>
        <s v="Seguimiento automatización proveedores del exterior"/>
        <s v="Soporte con SAP lento"/>
        <s v="(344) PROCESO Automatización de carga extracto bancario de las cuentas BANRURAL para la empresa CANELLA - MT940(CN006)"/>
        <s v="Capacitación combos Motul"/>
        <s v="Soporte de carga masiva transfer y efectivo"/>
        <s v="Soporte MT940 GYT"/>
        <s v="Soporte Carga masiva Contabilidad TC Credomatic"/>
        <s v="Soporte PINPAD"/>
        <s v="Soporte query saldo de cuenta"/>
        <s v="Soporte Contabilidad Corte de Caja"/>
        <s v="Reporte Proyección PROY_PROCESARACTUALIZACION"/>
        <s v="Soporte eSFA corte de caja"/>
        <s v="soporte instalación y pruebas DTW"/>
        <s v="Reunion eSFA SAP 10"/>
        <s v="soporte Pagos por anticipo ( medios de pago)."/>
        <s v="Soporte Certificación Facturas Mr. Credit"/>
        <s v="(340) MEJORAS Ajustes a eSFA para que se muestre la trazabilidad de tiempo de atención de visitas al cliente (CN006)"/>
        <s v="Implementación de Sistema de Contraseñas de Proveedores Exterior"/>
        <s v="(338) Reporte de Geolocalizacion interstate (CN006)"/>
        <s v="Soporte Archivo Carga hacia banca BI"/>
        <s v="(335) Conciliación bancaria MT940BI(CN006)"/>
        <s v="Soporte SIFCO no crea cliente por data en JSON"/>
      </sharedItems>
    </cacheField>
    <cacheField name="Solicitante ID" numFmtId="0">
      <sharedItems containsString="0" containsBlank="1" containsNumber="1" containsInteger="1" minValue="246824" maxValue="293171"/>
    </cacheField>
    <cacheField name="Solicitante" numFmtId="0">
      <sharedItems containsBlank="1"/>
    </cacheField>
    <cacheField name="Etapa ID" numFmtId="1">
      <sharedItems containsSemiMixedTypes="0" containsString="0" containsNumber="1" containsInteger="1" minValue="21" maxValue="30"/>
    </cacheField>
    <cacheField name="Etapa" numFmtId="0">
      <sharedItems count="6">
        <s v="40-DESARROLLO"/>
        <s v="10-COLA"/>
        <s v="20-ASIGNADO"/>
        <s v="60-CERTIFICADO"/>
        <s v="50-IMPLEMENTACION"/>
        <s v="30-ANALISIS"/>
      </sharedItems>
    </cacheField>
    <cacheField name="Asignado ID" numFmtId="1">
      <sharedItems containsString="0" containsBlank="1" containsNumber="1" containsInteger="1" minValue="195" maxValue="3241"/>
    </cacheField>
    <cacheField name="Asignado" numFmtId="0">
      <sharedItems containsBlank="1" count="21">
        <s v="Carlos Enrique Rosales Guerra"/>
        <s v="Josue Eleazar Chet Cuellar"/>
        <m/>
        <s v="Antonio Manuel Alejandro García González"/>
        <s v="Cristian Daniel Castillo Camposeco"/>
        <s v="Carlos Eduardo Galindo Miranda"/>
        <s v="Erick Estuardo Hernandez Andrino"/>
        <s v="Gerson Alejandro Perez Castro"/>
        <s v="Jose Pablo Reyes Gonzalez"/>
        <s v="Williams Giovanni Galván Estrada"/>
        <s v="Gerson Gabriel Flores Montúfar"/>
        <s v="Jose Andres Chajon Cueto"/>
        <s v="Olga María Hinestroza Lima"/>
        <s v="Julio de León"/>
        <s v="Brayan Roberto Alexander Solorzano Aguilar"/>
        <s v="Marvin Leonel Vargas Piedrasanta"/>
        <s v="Carlos Rosales" u="1"/>
        <s v="Daniel Castillo" u="1"/>
        <s v="Gerson Castro" u="1"/>
        <s v="Williams Galvan" u="1"/>
        <s v="Alex Solorzano" u="1"/>
      </sharedItems>
    </cacheField>
    <cacheField name="Es único?" numFmtId="0">
      <sharedItems containsBlank="1"/>
    </cacheField>
    <cacheField name="Emergente" numFmtId="0">
      <sharedItems count="2">
        <s v="PLANIFICADO"/>
        <s v="EMERGENTE"/>
      </sharedItems>
    </cacheField>
    <cacheField name="Clasificación ID" numFmtId="0">
      <sharedItems containsString="0" containsBlank="1" containsNumber="1" containsInteger="1" minValue="1" maxValue="4"/>
    </cacheField>
    <cacheField name="Clasificación" numFmtId="0">
      <sharedItems containsBlank="1"/>
    </cacheField>
    <cacheField name="Complejidad ID" numFmtId="1">
      <sharedItems containsString="0" containsBlank="1" containsNumber="1" containsInteger="1" minValue="1" maxValue="3"/>
    </cacheField>
    <cacheField name="Complejidad" numFmtId="0">
      <sharedItems containsBlank="1"/>
    </cacheField>
    <cacheField name="Importancia ID" numFmtId="0">
      <sharedItems containsString="0" containsBlank="1" containsNumber="1" containsInteger="1" minValue="1" maxValue="3"/>
    </cacheField>
    <cacheField name="Importancia" numFmtId="0">
      <sharedItems containsString="0" containsBlank="1" containsNumber="1" containsInteger="1" minValue="1" maxValue="3"/>
    </cacheField>
    <cacheField name="Urgencia ID" numFmtId="1">
      <sharedItems containsString="0" containsBlank="1" containsNumber="1" containsInteger="1" minValue="1" maxValue="3"/>
    </cacheField>
    <cacheField name="Urgencia" numFmtId="0">
      <sharedItems containsString="0" containsBlank="1" containsNumber="1" containsInteger="1" minValue="1" maxValue="3"/>
    </cacheField>
    <cacheField name="Tamaño ID" numFmtId="1">
      <sharedItems containsString="0" containsBlank="1" containsNumber="1" containsInteger="1" minValue="1" maxValue="3"/>
    </cacheField>
    <cacheField name="Tamaño" numFmtId="0">
      <sharedItems containsBlank="1"/>
    </cacheField>
    <cacheField name="Fecha Creación" numFmtId="14">
      <sharedItems containsNonDate="0" containsDate="1" containsString="0" containsBlank="1" minDate="2024-12-27T00:00:00" maxDate="2025-03-12T00:00:00"/>
    </cacheField>
    <cacheField name="Fecha Inicio" numFmtId="14">
      <sharedItems containsNonDate="0" containsDate="1" containsString="0" containsBlank="1" minDate="1899-12-31T00:00:00" maxDate="2025-03-18T00:00:00"/>
    </cacheField>
    <cacheField name="Fecha Informática" numFmtId="14">
      <sharedItems containsNonDate="0" containsDate="1" containsString="0" containsBlank="1" minDate="2025-01-15T00:00:00" maxDate="2025-11-01T00:00:00"/>
    </cacheField>
    <cacheField name="Fecha Gerencia" numFmtId="14">
      <sharedItems containsNonDate="0" containsDate="1" containsString="0" containsBlank="1" minDate="2025-01-18T00:00:00" maxDate="2025-10-31T00:00:00" count="46">
        <d v="2025-05-30T00:00:00"/>
        <d v="2025-05-28T00:00:00"/>
        <d v="2025-03-28T00:00:00"/>
        <d v="2025-01-31T00:00:00"/>
        <d v="2025-04-30T00:00:00"/>
        <d v="2025-02-28T00:00:00"/>
        <d v="2025-04-14T00:00:00"/>
        <d v="2025-04-28T00:00:00"/>
        <d v="2025-05-14T00:00:00"/>
        <d v="2025-03-10T00:00:00"/>
        <d v="2025-02-24T00:00:00"/>
        <d v="2025-04-10T00:00:00"/>
        <d v="2025-03-24T00:00:00"/>
        <d v="2025-07-31T00:00:00"/>
        <d v="2025-04-13T00:00:00"/>
        <d v="2025-05-13T00:00:00"/>
        <d v="2025-02-14T00:00:00"/>
        <d v="2025-03-07T00:00:00"/>
        <d v="2025-02-07T00:00:00"/>
        <m/>
        <d v="2025-02-20T00:00:00"/>
        <d v="2025-03-31T00:00:00"/>
        <d v="2025-02-27T00:00:00"/>
        <d v="2025-03-05T00:00:00"/>
        <d v="2025-02-26T00:00:00"/>
        <d v="2025-02-22T00:00:00"/>
        <d v="2025-03-08T00:00:00"/>
        <d v="2025-02-21T00:00:00"/>
        <d v="2025-03-03T00:00:00"/>
        <d v="2025-03-06T00:00:00"/>
        <d v="2025-03-11T00:00:00"/>
        <d v="2025-02-12T00:00:00"/>
        <d v="2025-10-30T00:00:00"/>
        <d v="2025-03-04T00:00:00"/>
        <d v="2025-01-27T00:00:00"/>
        <d v="2025-02-05T00:00:00"/>
        <d v="2025-02-13T00:00:00"/>
        <d v="2025-01-18T00:00:00"/>
        <d v="2025-02-04T00:00:00"/>
        <d v="2025-02-03T00:00:00"/>
        <d v="2025-02-25T00:00:00"/>
        <d v="2025-02-11T00:00:00"/>
        <d v="2025-02-10T00:00:00"/>
        <d v="2025-02-18T00:00:00"/>
        <d v="2025-02-17T00:00:00"/>
        <d v="2025-02-06T00:00:00" u="1"/>
      </sharedItems>
      <fieldGroup par="35"/>
    </cacheField>
    <cacheField name="Fecha Cierre" numFmtId="14">
      <sharedItems containsNonDate="0" containsDate="1" containsString="0" containsBlank="1" minDate="2025-01-31T00:00:00" maxDate="2025-04-01T00:00:00"/>
    </cacheField>
    <cacheField name="Descripción" numFmtId="0">
      <sharedItems containsBlank="1" longText="1"/>
    </cacheField>
    <cacheField name="ph ID" numFmtId="0">
      <sharedItems containsString="0" containsBlank="1" containsNumber="1" containsInteger="1" minValue="8246" maxValue="8553"/>
    </cacheField>
    <cacheField name="ph Id Proyecto" numFmtId="0">
      <sharedItems containsString="0" containsBlank="1" containsNumber="1" containsInteger="1" minValue="65791" maxValue="77064"/>
    </cacheField>
    <cacheField name="ph Titulo" numFmtId="0">
      <sharedItems containsBlank="1"/>
    </cacheField>
    <cacheField name="ph Fecha" numFmtId="14">
      <sharedItems containsNonDate="0" containsDate="1" containsString="0" containsBlank="1" minDate="2025-01-15T00:00:00" maxDate="2025-03-28T00:00:00" count="51">
        <d v="2025-02-21T00:00:00"/>
        <d v="2025-02-20T00:00:00"/>
        <d v="2025-02-19T00:00:00"/>
        <d v="2025-02-18T00:00:00"/>
        <d v="2025-02-07T00:00:00"/>
        <m/>
        <d v="2025-03-05T00:00:00"/>
        <d v="2025-03-01T00:00:00"/>
        <d v="2025-02-28T00:00:00"/>
        <d v="2025-02-27T00:00:00"/>
        <d v="2025-02-26T00:00:00"/>
        <d v="2025-02-25T00:00:00"/>
        <d v="2025-02-24T00:00:00"/>
        <d v="2025-02-17T00:00:00"/>
        <d v="2025-02-14T00:00:00"/>
        <d v="2025-02-13T00:00:00"/>
        <d v="2025-02-12T00:00:00"/>
        <d v="2025-02-11T00:00:00"/>
        <d v="2025-02-06T00:00:00"/>
        <d v="2025-02-05T00:00:00"/>
        <d v="2025-01-29T00:00:00"/>
        <d v="2025-01-28T00:00:00"/>
        <d v="2025-01-27T00:00:00"/>
        <d v="2025-02-22T00:00:00"/>
        <d v="2025-02-15T00:00:00"/>
        <d v="2025-02-04T00:00:00"/>
        <d v="2025-02-03T00:00:00"/>
        <d v="2025-03-11T00:00:00"/>
        <d v="2025-03-10T00:00:00"/>
        <d v="2025-03-03T00:00:00"/>
        <d v="2025-02-10T00:00:00"/>
        <d v="2025-01-30T00:00:00"/>
        <d v="2025-01-23T00:00:00"/>
        <d v="2025-01-22T00:00:00"/>
        <d v="2025-01-31T00:00:00"/>
        <d v="2025-03-06T00:00:00"/>
        <d v="2025-03-04T00:00:00"/>
        <d v="2025-03-08T00:00:00"/>
        <d v="2025-03-07T00:00:00"/>
        <d v="2025-03-27T00:00:00"/>
        <d v="2025-03-02T00:00:00"/>
        <d v="2025-01-24T00:00:00"/>
        <d v="2025-02-08T00:00:00"/>
        <d v="2025-02-01T00:00:00"/>
        <d v="2025-01-25T00:00:00"/>
        <d v="2025-01-21T00:00:00"/>
        <d v="2025-01-20T00:00:00"/>
        <d v="2025-01-18T00:00:00"/>
        <d v="2025-01-17T00:00:00"/>
        <d v="2025-01-16T00:00:00"/>
        <d v="2025-01-15T00:00:00"/>
      </sharedItems>
      <fieldGroup par="37"/>
    </cacheField>
    <cacheField name="ph Horas Decimal" numFmtId="0">
      <sharedItems containsString="0" containsBlank="1" containsNumber="1" minValue="0" maxValue="9"/>
    </cacheField>
    <cacheField name="ph Horas" numFmtId="166">
      <sharedItems containsNonDate="0" containsDate="1" containsString="0" containsBlank="1" minDate="1899-12-30T00:00:00" maxDate="1899-12-30T09:00:00"/>
    </cacheField>
    <cacheField name="ph Fecha Creacion" numFmtId="14">
      <sharedItems containsNonDate="0" containsDate="1" containsString="0" containsBlank="1" minDate="2025-01-28T00:00:00" maxDate="2025-03-12T00:00:00"/>
    </cacheField>
    <cacheField name="Días (Fecha Gerencia)" numFmtId="0" databaseField="0">
      <fieldGroup base="24">
        <rangePr groupBy="days" startDate="2025-01-18T00:00:00" endDate="2025-10-31T00:00:00"/>
        <groupItems count="368">
          <s v="&lt;2025-01-18"/>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25-10-31"/>
        </groupItems>
      </fieldGroup>
    </cacheField>
    <cacheField name="Meses (Fecha Gerencia)" numFmtId="0" databaseField="0">
      <fieldGroup base="24">
        <rangePr groupBy="months" startDate="2025-01-18T00:00:00" endDate="2025-10-31T00:00:00"/>
        <groupItems count="14">
          <s v="&lt;2025-01-18"/>
          <s v="Jan"/>
          <s v="Feb"/>
          <s v="Mar"/>
          <s v="Apr"/>
          <s v="May"/>
          <s v="Jun"/>
          <s v="Jul"/>
          <s v="Aug"/>
          <s v="Sep"/>
          <s v="Oct"/>
          <s v="Nov"/>
          <s v="Dec"/>
          <s v="&gt;2025-10-31"/>
        </groupItems>
      </fieldGroup>
    </cacheField>
    <cacheField name="Días (ph Fecha)" numFmtId="0" databaseField="0">
      <fieldGroup base="30">
        <rangePr groupBy="days" startDate="2025-01-15T00:00:00" endDate="2025-03-28T00:00:00"/>
        <groupItems count="368">
          <s v="&lt;2025-01-1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025-03-28"/>
        </groupItems>
      </fieldGroup>
    </cacheField>
    <cacheField name="Meses (ph Fecha)" numFmtId="0" databaseField="0">
      <fieldGroup base="30">
        <rangePr groupBy="months" startDate="2025-01-15T00:00:00" endDate="2025-03-28T00:00:00"/>
        <groupItems count="14">
          <s v="&lt;2025-01-15"/>
          <s v="Jan"/>
          <s v="Feb"/>
          <s v="Mar"/>
          <s v="Apr"/>
          <s v="May"/>
          <s v="Jun"/>
          <s v="Jul"/>
          <s v="Aug"/>
          <s v="Sep"/>
          <s v="Oct"/>
          <s v="Nov"/>
          <s v="Dec"/>
          <s v="&gt;2025-03-28"/>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05">
  <r>
    <n v="8392"/>
    <x v="0"/>
    <x v="0"/>
    <n v="247828"/>
    <s v="DOUGLAS ALEJANDRO MALDONADO DUMAS"/>
    <n v="30"/>
    <x v="0"/>
    <n v="3233"/>
    <x v="0"/>
    <s v="x"/>
    <x v="0"/>
    <m/>
    <m/>
    <m/>
    <m/>
    <n v="1"/>
    <n v="1"/>
    <n v="1"/>
    <n v="1"/>
    <m/>
    <m/>
    <d v="2025-01-31T00:00:00"/>
    <d v="2025-02-01T00:00:00"/>
    <d v="2025-05-30T00:00:00"/>
    <x v="0"/>
    <m/>
    <s v="&lt;p&gt;PROCESO  ** Cambios para grabar presupuestos pintura en SAP, reporte y validaciones&lt;/p&gt;"/>
    <n v="8392"/>
    <n v="73103"/>
    <s v="hacer layout impresion y colocarlo en SAP"/>
    <x v="0"/>
    <n v="1.5"/>
    <d v="1899-12-30T01:30:00"/>
    <d v="2025-02-24T00:00:00"/>
  </r>
  <r>
    <n v="8392"/>
    <x v="0"/>
    <x v="0"/>
    <n v="247828"/>
    <s v="DOUGLAS ALEJANDRO MALDONADO DUMAS"/>
    <n v="30"/>
    <x v="0"/>
    <n v="3233"/>
    <x v="0"/>
    <m/>
    <x v="0"/>
    <m/>
    <m/>
    <m/>
    <m/>
    <n v="1"/>
    <n v="1"/>
    <n v="1"/>
    <n v="1"/>
    <m/>
    <m/>
    <d v="2025-01-31T00:00:00"/>
    <d v="2025-02-01T00:00:00"/>
    <d v="2025-05-30T00:00:00"/>
    <x v="0"/>
    <m/>
    <s v="&lt;p&gt;PROCESO  ** Cambios para grabar presupuestos pintura en SAP, reporte y validaciones&lt;/p&gt;"/>
    <n v="8392"/>
    <n v="72109"/>
    <s v="hacer layout de impresion"/>
    <x v="1"/>
    <n v="1"/>
    <d v="1899-12-30T01:00:00"/>
    <d v="2025-02-20T00:00:00"/>
  </r>
  <r>
    <n v="8392"/>
    <x v="0"/>
    <x v="0"/>
    <n v="247828"/>
    <s v="DOUGLAS ALEJANDRO MALDONADO DUMAS"/>
    <n v="30"/>
    <x v="0"/>
    <n v="3233"/>
    <x v="0"/>
    <m/>
    <x v="0"/>
    <m/>
    <m/>
    <m/>
    <m/>
    <n v="1"/>
    <n v="1"/>
    <n v="1"/>
    <n v="1"/>
    <m/>
    <m/>
    <d v="2025-01-31T00:00:00"/>
    <d v="2025-02-01T00:00:00"/>
    <d v="2025-05-30T00:00:00"/>
    <x v="0"/>
    <m/>
    <s v="&lt;p&gt;PROCESO  ** Cambios para grabar presupuestos pintura en SAP, reporte y validaciones&lt;/p&gt;"/>
    <n v="8392"/>
    <n v="72108"/>
    <s v="hacer layout impresion"/>
    <x v="2"/>
    <n v="2.5"/>
    <d v="1899-12-30T02:30:00"/>
    <d v="2025-02-20T00:00:00"/>
  </r>
  <r>
    <n v="8392"/>
    <x v="0"/>
    <x v="0"/>
    <n v="247828"/>
    <s v="DOUGLAS ALEJANDRO MALDONADO DUMAS"/>
    <n v="30"/>
    <x v="0"/>
    <n v="3233"/>
    <x v="0"/>
    <m/>
    <x v="0"/>
    <m/>
    <m/>
    <m/>
    <m/>
    <n v="1"/>
    <n v="1"/>
    <n v="1"/>
    <n v="1"/>
    <m/>
    <m/>
    <d v="2025-01-31T00:00:00"/>
    <d v="2025-02-01T00:00:00"/>
    <d v="2025-05-30T00:00:00"/>
    <x v="0"/>
    <m/>
    <s v="&lt;p&gt;PROCESO  ** Cambios para grabar presupuestos pintura en SAP, reporte y validaciones&lt;/p&gt;"/>
    <n v="8392"/>
    <n v="72107"/>
    <s v="hacer layout impresion"/>
    <x v="3"/>
    <n v="3.5"/>
    <d v="1899-12-30T03:30:00"/>
    <d v="2025-02-20T00:00:00"/>
  </r>
  <r>
    <n v="8392"/>
    <x v="0"/>
    <x v="0"/>
    <n v="247828"/>
    <s v="DOUGLAS ALEJANDRO MALDONADO DUMAS"/>
    <n v="30"/>
    <x v="0"/>
    <n v="3233"/>
    <x v="0"/>
    <m/>
    <x v="0"/>
    <m/>
    <m/>
    <m/>
    <m/>
    <n v="1"/>
    <n v="1"/>
    <n v="1"/>
    <n v="1"/>
    <m/>
    <m/>
    <d v="2025-01-31T00:00:00"/>
    <d v="2025-02-01T00:00:00"/>
    <d v="2025-05-30T00:00:00"/>
    <x v="0"/>
    <m/>
    <s v="&lt;p&gt;PROCESO  ** Cambios para grabar presupuestos pintura en SAP, reporte y validaciones&lt;/p&gt;"/>
    <n v="8392"/>
    <n v="72106"/>
    <s v="cambios cotizaciones"/>
    <x v="4"/>
    <n v="2"/>
    <d v="1899-12-30T02:00:00"/>
    <d v="2025-02-20T00:00:00"/>
  </r>
  <r>
    <n v="8395"/>
    <x v="1"/>
    <x v="1"/>
    <n v="247828"/>
    <s v="DOUGLAS ALEJANDRO MALDONADO DUMAS"/>
    <n v="29"/>
    <x v="1"/>
    <n v="3233"/>
    <x v="0"/>
    <s v="x"/>
    <x v="0"/>
    <m/>
    <m/>
    <m/>
    <m/>
    <n v="1"/>
    <n v="1"/>
    <n v="3"/>
    <n v="3"/>
    <m/>
    <m/>
    <d v="2025-01-31T00:00:00"/>
    <d v="2025-02-01T00:00:00"/>
    <d v="2025-05-28T00:00:00"/>
    <x v="1"/>
    <m/>
    <s v="&lt;p&gt;BI  ** Configuración de puerta de enlace para Power BI para Douglas Maldonado&lt;/p&gt;"/>
    <m/>
    <m/>
    <m/>
    <x v="5"/>
    <m/>
    <m/>
    <m/>
  </r>
  <r>
    <n v="8396"/>
    <x v="2"/>
    <x v="2"/>
    <n v="247541"/>
    <s v="ALEJANDRO ALBERTO GARCIA ARRECIS"/>
    <n v="28"/>
    <x v="2"/>
    <n v="3198"/>
    <x v="1"/>
    <s v="x"/>
    <x v="0"/>
    <m/>
    <m/>
    <m/>
    <m/>
    <n v="3"/>
    <n v="3"/>
    <n v="3"/>
    <n v="3"/>
    <m/>
    <m/>
    <d v="2025-01-01T00:00:00"/>
    <d v="1899-12-31T00:00:00"/>
    <d v="2025-03-28T00:00:00"/>
    <x v="2"/>
    <m/>
    <s v="&lt;p&gt;SOPORTE Soporte y Capacitación de plantilla con Framework REACT/C Sharp para implementarlo en el sistema de SCONWEB del Departamento de Servicio Técnico&lt;/p&gt;"/>
    <m/>
    <m/>
    <m/>
    <x v="5"/>
    <m/>
    <m/>
    <m/>
  </r>
  <r>
    <n v="8397"/>
    <x v="3"/>
    <x v="3"/>
    <n v="247795"/>
    <s v="SANDRA JUDITH LOARCA HERNANDEZ de PEREZ"/>
    <n v="28"/>
    <x v="2"/>
    <n v="3233"/>
    <x v="0"/>
    <s v="x"/>
    <x v="0"/>
    <m/>
    <m/>
    <m/>
    <m/>
    <n v="1"/>
    <n v="1"/>
    <n v="1"/>
    <n v="1"/>
    <m/>
    <m/>
    <d v="2025-01-01T00:00:00"/>
    <d v="1899-12-31T00:00:00"/>
    <d v="2025-03-28T00:00:00"/>
    <x v="2"/>
    <m/>
    <s v="&lt;p&gt;PROCESO ** Implementación de Contabilidad NIIF&lt;/p&gt;"/>
    <m/>
    <m/>
    <m/>
    <x v="5"/>
    <m/>
    <m/>
    <m/>
  </r>
  <r>
    <n v="8398"/>
    <x v="4"/>
    <x v="4"/>
    <n v="247556"/>
    <s v="DOUGLAS MONTOYA MONTAVES"/>
    <n v="28"/>
    <x v="2"/>
    <n v="3233"/>
    <x v="0"/>
    <s v="x"/>
    <x v="0"/>
    <m/>
    <m/>
    <m/>
    <m/>
    <n v="1"/>
    <n v="1"/>
    <n v="3"/>
    <n v="3"/>
    <m/>
    <m/>
    <d v="2025-01-01T00:00:00"/>
    <d v="1899-12-31T00:00:00"/>
    <d v="2025-05-30T00:00:00"/>
    <x v="0"/>
    <m/>
    <s v="&lt;p&gt;MEJORAS  ** Mejoras al proceso de órdenes de entrega para sótano deben agregarse los campos indicados por Douglas Montoya&lt;/p&gt;"/>
    <m/>
    <m/>
    <m/>
    <x v="5"/>
    <m/>
    <m/>
    <m/>
  </r>
  <r>
    <n v="8399"/>
    <x v="5"/>
    <x v="5"/>
    <n v="247857"/>
    <s v="ARNALDO RENE COTTO STREMS"/>
    <n v="28"/>
    <x v="2"/>
    <m/>
    <x v="2"/>
    <s v="x"/>
    <x v="0"/>
    <m/>
    <m/>
    <m/>
    <m/>
    <n v="1"/>
    <n v="1"/>
    <n v="2"/>
    <n v="2"/>
    <m/>
    <m/>
    <d v="2025-01-01T00:00:00"/>
    <d v="1899-12-31T00:00:00"/>
    <d v="2025-01-31T00:00:00"/>
    <x v="3"/>
    <m/>
    <s v="&lt;p&gt;CARGA DE DATOS ** Clasificación de clientes para carga masiva de SAP solicitada por Rene Cotto&lt;/p&gt;&lt;p&gt;PENDIENTE ASIGNAR LUIS GONZALEZ&lt;/p&gt;"/>
    <m/>
    <m/>
    <m/>
    <x v="5"/>
    <m/>
    <m/>
    <m/>
  </r>
  <r>
    <n v="8400"/>
    <x v="6"/>
    <x v="6"/>
    <n v="247885"/>
    <s v="AMABILIA MARISOL RECINOS ARGUETA"/>
    <n v="28"/>
    <x v="2"/>
    <n v="3233"/>
    <x v="0"/>
    <s v="x"/>
    <x v="0"/>
    <m/>
    <m/>
    <m/>
    <m/>
    <n v="1"/>
    <n v="1"/>
    <n v="1"/>
    <n v="1"/>
    <m/>
    <m/>
    <d v="2025-01-01T00:00:00"/>
    <d v="1899-12-31T00:00:00"/>
    <d v="2025-04-30T00:00:00"/>
    <x v="4"/>
    <m/>
    <s v="&lt;p&gt;PROCESO ** Actualizacion de tablas de catálogos de SAP de acuerdo con 24 puntos que contiene el archivo enviado a Marisol Recinos&lt;/p&gt;"/>
    <m/>
    <m/>
    <m/>
    <x v="5"/>
    <m/>
    <m/>
    <m/>
  </r>
  <r>
    <n v="8401"/>
    <x v="7"/>
    <x v="7"/>
    <n v="247277"/>
    <s v="JOSE ROBERTO AGUIRRE CANELLA"/>
    <n v="21"/>
    <x v="3"/>
    <n v="3233"/>
    <x v="0"/>
    <s v="x"/>
    <x v="0"/>
    <m/>
    <m/>
    <m/>
    <m/>
    <n v="1"/>
    <n v="1"/>
    <n v="1"/>
    <n v="1"/>
    <m/>
    <m/>
    <d v="2025-01-01T00:00:00"/>
    <d v="1899-12-31T00:00:00"/>
    <d v="2025-01-31T00:00:00"/>
    <x v="3"/>
    <m/>
    <s v="&lt;p&gt;PROCESO ** Cubo para analisis de personal activo y retirado, para realizar un kpi de rotación de personal&lt;/p&gt;"/>
    <m/>
    <m/>
    <m/>
    <x v="5"/>
    <m/>
    <m/>
    <m/>
  </r>
  <r>
    <n v="8402"/>
    <x v="8"/>
    <x v="8"/>
    <n v="247795"/>
    <s v="SANDRA JUDITH LOARCA HERNANDEZ de PEREZ"/>
    <n v="28"/>
    <x v="2"/>
    <m/>
    <x v="2"/>
    <s v="x"/>
    <x v="0"/>
    <m/>
    <m/>
    <m/>
    <m/>
    <n v="2"/>
    <n v="2"/>
    <n v="2"/>
    <n v="2"/>
    <m/>
    <m/>
    <d v="2025-01-01T00:00:00"/>
    <d v="1899-12-31T00:00:00"/>
    <d v="2025-02-28T00:00:00"/>
    <x v="5"/>
    <m/>
    <s v="&lt;p&gt;PROCESO ** Seguimiento a Cuadtratica para Vesa&lt;/p&gt;&lt;p&gt;PENDIENTE DE ASIGNAR LUIS GONZALEZ&lt;/p&gt;"/>
    <m/>
    <m/>
    <m/>
    <x v="5"/>
    <m/>
    <m/>
    <m/>
  </r>
  <r>
    <n v="8403"/>
    <x v="9"/>
    <x v="9"/>
    <n v="289004"/>
    <s v="DOUGLAS MONTOYA MONTAVES"/>
    <n v="28"/>
    <x v="2"/>
    <m/>
    <x v="2"/>
    <s v="x"/>
    <x v="0"/>
    <m/>
    <m/>
    <m/>
    <m/>
    <n v="2"/>
    <n v="2"/>
    <n v="2"/>
    <n v="2"/>
    <m/>
    <m/>
    <d v="2025-01-01T00:00:00"/>
    <d v="1899-12-31T00:00:00"/>
    <d v="2025-02-28T00:00:00"/>
    <x v="5"/>
    <m/>
    <s v="&lt;p&gt;MEJORAS  ** Procesos de anulación en medios de pago SAP&lt;/p&gt;&lt;p&gt;PENDIENTE DE ASIGNAR LUIS GONZALEZ&lt;/p&gt;"/>
    <m/>
    <m/>
    <m/>
    <x v="5"/>
    <m/>
    <m/>
    <m/>
  </r>
  <r>
    <n v="8405"/>
    <x v="10"/>
    <x v="10"/>
    <n v="247729"/>
    <s v="OLGA MARIA DE LA CRUZ VALLADARES GUILLEN de OVALLE"/>
    <n v="29"/>
    <x v="1"/>
    <m/>
    <x v="2"/>
    <s v="x"/>
    <x v="0"/>
    <m/>
    <m/>
    <m/>
    <m/>
    <n v="3"/>
    <n v="3"/>
    <n v="3"/>
    <n v="3"/>
    <m/>
    <m/>
    <d v="2025-01-01T00:00:00"/>
    <d v="1899-12-31T00:00:00"/>
    <d v="2025-03-28T00:00:00"/>
    <x v="2"/>
    <m/>
    <s v="&lt;p&gt;MEJORAS ** Implementacion de Combos en GrafiPronto&lt;/p&gt;&lt;p&gt;PENDIENTE DE ASIGNAR LUIS GONZALEZ&lt;/p&gt;"/>
    <m/>
    <m/>
    <m/>
    <x v="5"/>
    <m/>
    <m/>
    <m/>
  </r>
  <r>
    <n v="8406"/>
    <x v="11"/>
    <x v="11"/>
    <n v="247393"/>
    <s v="MIGUEL EDUARDO PEREZ LOPEZ"/>
    <n v="28"/>
    <x v="2"/>
    <m/>
    <x v="2"/>
    <s v="x"/>
    <x v="0"/>
    <m/>
    <m/>
    <m/>
    <m/>
    <n v="3"/>
    <n v="3"/>
    <n v="3"/>
    <n v="3"/>
    <m/>
    <m/>
    <d v="2025-01-01T00:00:00"/>
    <d v="1899-12-31T00:00:00"/>
    <d v="2025-04-14T00:00:00"/>
    <x v="6"/>
    <m/>
    <s v="&lt;p&gt;PROCESO ** Estandarización de las instancias SAP MAQUIPOS Y VESA&lt;/p&gt;&lt;p&gt;PENDIENTE DE ASIGNAR LUIS GONZALEZ&lt;/p&gt;"/>
    <m/>
    <m/>
    <m/>
    <x v="5"/>
    <m/>
    <m/>
    <m/>
  </r>
  <r>
    <n v="8407"/>
    <x v="12"/>
    <x v="12"/>
    <n v="247795"/>
    <s v="SANDRA JUDITH LOARCA HERNANDEZ de PEREZ"/>
    <n v="28"/>
    <x v="2"/>
    <m/>
    <x v="2"/>
    <s v="x"/>
    <x v="0"/>
    <m/>
    <m/>
    <m/>
    <m/>
    <n v="2"/>
    <n v="2"/>
    <n v="2"/>
    <n v="2"/>
    <m/>
    <m/>
    <d v="2025-01-01T00:00:00"/>
    <d v="1899-12-31T00:00:00"/>
    <d v="2025-03-28T00:00:00"/>
    <x v="7"/>
    <m/>
    <s v="&lt;p&gt;PROCESO ** Seguimiento a Cuadtratica para Canella&lt;/p&gt;&lt;p&gt;PENNDIENTE DE ASIGNAR LUIS GONZALEZ&lt;/p&gt;"/>
    <m/>
    <m/>
    <m/>
    <x v="5"/>
    <m/>
    <m/>
    <m/>
  </r>
  <r>
    <n v="8408"/>
    <x v="13"/>
    <x v="13"/>
    <n v="247795"/>
    <s v="SANDRA JUDITH LOARCA HERNANDEZ de PEREZ"/>
    <n v="28"/>
    <x v="2"/>
    <m/>
    <x v="2"/>
    <s v="x"/>
    <x v="0"/>
    <m/>
    <m/>
    <m/>
    <m/>
    <n v="1"/>
    <n v="1"/>
    <n v="2"/>
    <n v="2"/>
    <m/>
    <m/>
    <d v="2025-01-01T00:00:00"/>
    <d v="1899-12-31T00:00:00"/>
    <d v="2025-04-14T00:00:00"/>
    <x v="8"/>
    <m/>
    <s v="&lt;p&gt;PROCESO ** Implementación del Sistema de Inventario en tránsito VESA Y MAQUIPOS&lt;/p&gt;&lt;p&gt;PENDIENTE DE ASIGNAR LUIS GONNZALEZ&lt;/p&gt;"/>
    <m/>
    <m/>
    <m/>
    <x v="5"/>
    <m/>
    <m/>
    <m/>
  </r>
  <r>
    <n v="8263"/>
    <x v="14"/>
    <x v="14"/>
    <m/>
    <m/>
    <n v="29"/>
    <x v="1"/>
    <n v="3202"/>
    <x v="3"/>
    <s v="x"/>
    <x v="0"/>
    <m/>
    <m/>
    <m/>
    <m/>
    <n v="3"/>
    <n v="3"/>
    <n v="1"/>
    <n v="1"/>
    <m/>
    <m/>
    <d v="2025-01-01T00:00:00"/>
    <d v="1899-12-31T00:00:00"/>
    <d v="2025-03-14T00:00:00"/>
    <x v="6"/>
    <m/>
    <m/>
    <m/>
    <m/>
    <m/>
    <x v="5"/>
    <m/>
    <m/>
    <m/>
  </r>
  <r>
    <n v="8259"/>
    <x v="15"/>
    <x v="15"/>
    <n v="247002"/>
    <s v="AMI PAOLA YOC LOPEZ"/>
    <n v="21"/>
    <x v="3"/>
    <n v="3202"/>
    <x v="3"/>
    <s v="x"/>
    <x v="0"/>
    <m/>
    <m/>
    <m/>
    <m/>
    <n v="1"/>
    <n v="1"/>
    <n v="1"/>
    <n v="1"/>
    <m/>
    <m/>
    <d v="2025-01-01T00:00:00"/>
    <d v="1899-12-31T00:00:00"/>
    <d v="2025-02-03T00:00:00"/>
    <x v="3"/>
    <m/>
    <m/>
    <n v="8259"/>
    <n v="75563"/>
    <s v="/"/>
    <x v="6"/>
    <n v="0.25"/>
    <d v="1899-12-30T00:15:00"/>
    <d v="2025-03-05T00:00:00"/>
  </r>
  <r>
    <n v="8259"/>
    <x v="15"/>
    <x v="15"/>
    <n v="247002"/>
    <s v="AMI PAOLA YOC LOPEZ"/>
    <n v="21"/>
    <x v="3"/>
    <n v="3202"/>
    <x v="3"/>
    <m/>
    <x v="0"/>
    <m/>
    <m/>
    <m/>
    <m/>
    <n v="1"/>
    <n v="1"/>
    <n v="1"/>
    <n v="1"/>
    <m/>
    <m/>
    <d v="2025-01-01T00:00:00"/>
    <d v="1899-12-31T00:00:00"/>
    <d v="2025-02-03T00:00:00"/>
    <x v="3"/>
    <m/>
    <m/>
    <n v="8259"/>
    <n v="75482"/>
    <s v="Solución error SP para consumir EndPoint de actualización Factura Proveedores"/>
    <x v="7"/>
    <n v="1.1499999999999999"/>
    <d v="1899-12-30T01:09:00"/>
    <d v="2025-03-05T00:00:00"/>
  </r>
  <r>
    <n v="8259"/>
    <x v="15"/>
    <x v="15"/>
    <n v="247002"/>
    <s v="AMI PAOLA YOC LOPEZ"/>
    <n v="21"/>
    <x v="3"/>
    <n v="3202"/>
    <x v="3"/>
    <m/>
    <x v="0"/>
    <m/>
    <m/>
    <m/>
    <m/>
    <n v="1"/>
    <n v="1"/>
    <n v="1"/>
    <n v="1"/>
    <m/>
    <m/>
    <d v="2025-01-01T00:00:00"/>
    <d v="1899-12-31T00:00:00"/>
    <d v="2025-02-03T00:00:00"/>
    <x v="3"/>
    <m/>
    <m/>
    <n v="8259"/>
    <n v="75481"/>
    <s v="Optimización código de crear PDF y SP's"/>
    <x v="7"/>
    <n v="1"/>
    <d v="1899-12-30T01:00:00"/>
    <d v="2025-03-05T00:00:00"/>
  </r>
  <r>
    <n v="8259"/>
    <x v="15"/>
    <x v="15"/>
    <n v="247002"/>
    <s v="AMI PAOLA YOC LOPEZ"/>
    <n v="21"/>
    <x v="3"/>
    <n v="3202"/>
    <x v="3"/>
    <m/>
    <x v="0"/>
    <m/>
    <m/>
    <m/>
    <m/>
    <n v="1"/>
    <n v="1"/>
    <n v="1"/>
    <n v="1"/>
    <m/>
    <m/>
    <d v="2025-01-01T00:00:00"/>
    <d v="1899-12-31T00:00:00"/>
    <d v="2025-02-03T00:00:00"/>
    <x v="3"/>
    <m/>
    <m/>
    <n v="8259"/>
    <n v="75480"/>
    <s v="Validación ruta carpeta Laserfiche de Facturas, modificación SP de rutas y prueba traslado de documento a Laserfiche"/>
    <x v="7"/>
    <n v="2"/>
    <d v="1899-12-30T02:00:00"/>
    <d v="2025-03-05T00:00:00"/>
  </r>
  <r>
    <n v="8259"/>
    <x v="15"/>
    <x v="15"/>
    <n v="247002"/>
    <s v="AMI PAOLA YOC LOPEZ"/>
    <n v="21"/>
    <x v="3"/>
    <n v="3202"/>
    <x v="3"/>
    <m/>
    <x v="0"/>
    <m/>
    <m/>
    <m/>
    <m/>
    <n v="1"/>
    <n v="1"/>
    <n v="1"/>
    <n v="1"/>
    <m/>
    <m/>
    <d v="2025-01-01T00:00:00"/>
    <d v="1899-12-31T00:00:00"/>
    <d v="2025-02-03T00:00:00"/>
    <x v="3"/>
    <m/>
    <m/>
    <n v="8259"/>
    <n v="75470"/>
    <s v="Creación SP's para consumo EndPoint de traslado archivo, nombramiento de documento PDF"/>
    <x v="8"/>
    <n v="2"/>
    <d v="1899-12-30T02:00:00"/>
    <d v="2025-03-05T00:00:00"/>
  </r>
  <r>
    <n v="8259"/>
    <x v="15"/>
    <x v="15"/>
    <n v="247002"/>
    <s v="AMI PAOLA YOC LOPEZ"/>
    <n v="21"/>
    <x v="3"/>
    <n v="3202"/>
    <x v="3"/>
    <m/>
    <x v="0"/>
    <m/>
    <m/>
    <m/>
    <m/>
    <n v="1"/>
    <n v="1"/>
    <n v="1"/>
    <n v="1"/>
    <m/>
    <m/>
    <d v="2025-01-01T00:00:00"/>
    <d v="1899-12-31T00:00:00"/>
    <d v="2025-02-03T00:00:00"/>
    <x v="3"/>
    <m/>
    <m/>
    <n v="8259"/>
    <n v="75469"/>
    <s v="Modificación SP's Transaction en SAP para creación y traslado de PDF automático"/>
    <x v="8"/>
    <n v="1"/>
    <d v="1899-12-30T01:00:00"/>
    <d v="2025-03-05T00:00:00"/>
  </r>
  <r>
    <n v="8259"/>
    <x v="15"/>
    <x v="15"/>
    <n v="247002"/>
    <s v="AMI PAOLA YOC LOPEZ"/>
    <n v="21"/>
    <x v="3"/>
    <n v="3202"/>
    <x v="3"/>
    <m/>
    <x v="0"/>
    <m/>
    <m/>
    <m/>
    <m/>
    <n v="1"/>
    <n v="1"/>
    <n v="1"/>
    <n v="1"/>
    <m/>
    <m/>
    <d v="2025-01-01T00:00:00"/>
    <d v="1899-12-31T00:00:00"/>
    <d v="2025-02-03T00:00:00"/>
    <x v="3"/>
    <m/>
    <m/>
    <n v="8259"/>
    <n v="75468"/>
    <s v="Desarrollo y Pruebas Endpoint para actualizar Factura Proveedores, agregar el documento PDF adjunto en SAP y trasladar documento a Laserfiche"/>
    <x v="8"/>
    <n v="5.0999999999999996"/>
    <d v="1899-12-30T05:06:00"/>
    <d v="2025-03-05T00:00:00"/>
  </r>
  <r>
    <n v="8259"/>
    <x v="15"/>
    <x v="15"/>
    <n v="247002"/>
    <s v="AMI PAOLA YOC LOPEZ"/>
    <n v="21"/>
    <x v="3"/>
    <n v="3202"/>
    <x v="3"/>
    <m/>
    <x v="0"/>
    <m/>
    <m/>
    <m/>
    <m/>
    <n v="1"/>
    <n v="1"/>
    <n v="1"/>
    <n v="1"/>
    <m/>
    <m/>
    <d v="2025-01-01T00:00:00"/>
    <d v="1899-12-31T00:00:00"/>
    <d v="2025-02-03T00:00:00"/>
    <x v="3"/>
    <m/>
    <m/>
    <n v="8259"/>
    <n v="75467"/>
    <s v="Desarrollo Endpoint para actualizar Factura Proveedores y agregar el documento PDF adjunto"/>
    <x v="9"/>
    <n v="0.86666666666666603"/>
    <d v="1899-12-30T00:52:00"/>
    <d v="2025-03-05T00:00:00"/>
  </r>
  <r>
    <n v="8259"/>
    <x v="15"/>
    <x v="15"/>
    <n v="247002"/>
    <s v="AMI PAOLA YOC LOPEZ"/>
    <n v="21"/>
    <x v="3"/>
    <n v="3202"/>
    <x v="3"/>
    <m/>
    <x v="0"/>
    <m/>
    <m/>
    <m/>
    <m/>
    <n v="1"/>
    <n v="1"/>
    <n v="1"/>
    <n v="1"/>
    <m/>
    <m/>
    <d v="2025-01-01T00:00:00"/>
    <d v="1899-12-31T00:00:00"/>
    <d v="2025-02-03T00:00:00"/>
    <x v="3"/>
    <m/>
    <m/>
    <n v="8259"/>
    <n v="75466"/>
    <s v="Creación, modificación y prueba de SP's en la BD para la ejecución del método de crear PDF"/>
    <x v="9"/>
    <n v="2.5"/>
    <d v="1899-12-30T02:30:00"/>
    <d v="2025-03-05T00:00:00"/>
  </r>
  <r>
    <n v="8259"/>
    <x v="15"/>
    <x v="15"/>
    <n v="247002"/>
    <s v="AMI PAOLA YOC LOPEZ"/>
    <n v="21"/>
    <x v="3"/>
    <n v="3202"/>
    <x v="3"/>
    <m/>
    <x v="0"/>
    <m/>
    <m/>
    <m/>
    <m/>
    <n v="1"/>
    <n v="1"/>
    <n v="1"/>
    <n v="1"/>
    <m/>
    <m/>
    <d v="2025-01-01T00:00:00"/>
    <d v="1899-12-31T00:00:00"/>
    <d v="2025-02-03T00:00:00"/>
    <x v="3"/>
    <m/>
    <m/>
    <n v="8259"/>
    <n v="75465"/>
    <s v="Desarrollo del método para crear PDF automático"/>
    <x v="9"/>
    <n v="2.5"/>
    <d v="1899-12-30T02:30:00"/>
    <d v="2025-03-05T00:00:00"/>
  </r>
  <r>
    <n v="8259"/>
    <x v="15"/>
    <x v="15"/>
    <n v="247002"/>
    <s v="AMI PAOLA YOC LOPEZ"/>
    <n v="21"/>
    <x v="3"/>
    <n v="3202"/>
    <x v="3"/>
    <m/>
    <x v="0"/>
    <m/>
    <m/>
    <m/>
    <m/>
    <n v="1"/>
    <n v="1"/>
    <n v="1"/>
    <n v="1"/>
    <m/>
    <m/>
    <d v="2025-01-01T00:00:00"/>
    <d v="1899-12-31T00:00:00"/>
    <d v="2025-02-03T00:00:00"/>
    <x v="3"/>
    <m/>
    <m/>
    <n v="8259"/>
    <n v="75464"/>
    <s v="Prueba de creación Factura y traslado documento a Laserfiche"/>
    <x v="9"/>
    <n v="0.5"/>
    <d v="1899-12-30T00:30:00"/>
    <d v="2025-03-05T00:00:00"/>
  </r>
  <r>
    <n v="8259"/>
    <x v="15"/>
    <x v="15"/>
    <n v="247002"/>
    <s v="AMI PAOLA YOC LOPEZ"/>
    <n v="21"/>
    <x v="3"/>
    <n v="3202"/>
    <x v="3"/>
    <m/>
    <x v="0"/>
    <m/>
    <m/>
    <m/>
    <m/>
    <n v="1"/>
    <n v="1"/>
    <n v="1"/>
    <n v="1"/>
    <m/>
    <m/>
    <d v="2025-01-01T00:00:00"/>
    <d v="1899-12-31T00:00:00"/>
    <d v="2025-02-03T00:00:00"/>
    <x v="3"/>
    <m/>
    <m/>
    <n v="8259"/>
    <n v="75463"/>
    <s v="Modificación EndPoint y SP para traslado de archivo PDF a Laserfiche"/>
    <x v="9"/>
    <n v="2"/>
    <d v="1899-12-30T02:00:00"/>
    <d v="2025-03-05T00:00:00"/>
  </r>
  <r>
    <n v="8259"/>
    <x v="15"/>
    <x v="15"/>
    <n v="247002"/>
    <s v="AMI PAOLA YOC LOPEZ"/>
    <n v="21"/>
    <x v="3"/>
    <n v="3202"/>
    <x v="3"/>
    <m/>
    <x v="0"/>
    <m/>
    <m/>
    <m/>
    <m/>
    <n v="1"/>
    <n v="1"/>
    <n v="1"/>
    <n v="1"/>
    <m/>
    <m/>
    <d v="2025-01-01T00:00:00"/>
    <d v="1899-12-31T00:00:00"/>
    <d v="2025-02-03T00:00:00"/>
    <x v="3"/>
    <m/>
    <m/>
    <n v="8259"/>
    <n v="75501"/>
    <s v="Prueba funcionalidad de creación y traslado PDF"/>
    <x v="10"/>
    <n v="1.3333333333333299"/>
    <d v="1899-12-30T01:20:00"/>
    <d v="2025-03-05T00:00:00"/>
  </r>
  <r>
    <n v="8259"/>
    <x v="15"/>
    <x v="15"/>
    <n v="247002"/>
    <s v="AMI PAOLA YOC LOPEZ"/>
    <n v="21"/>
    <x v="3"/>
    <n v="3202"/>
    <x v="3"/>
    <m/>
    <x v="0"/>
    <m/>
    <m/>
    <m/>
    <m/>
    <n v="1"/>
    <n v="1"/>
    <n v="1"/>
    <n v="1"/>
    <m/>
    <m/>
    <d v="2025-01-01T00:00:00"/>
    <d v="1899-12-31T00:00:00"/>
    <d v="2025-02-03T00:00:00"/>
    <x v="3"/>
    <m/>
    <m/>
    <n v="8259"/>
    <n v="75500"/>
    <s v="Configuración y puesta en Producción programa para crear PDF OC con autorizador y trasladar a Laserfiche"/>
    <x v="10"/>
    <n v="2.0833333333333299"/>
    <d v="1899-12-30T02:05:00"/>
    <d v="2025-03-05T00:00:00"/>
  </r>
  <r>
    <n v="8259"/>
    <x v="15"/>
    <x v="15"/>
    <n v="247002"/>
    <s v="AMI PAOLA YOC LOPEZ"/>
    <n v="21"/>
    <x v="3"/>
    <n v="3202"/>
    <x v="3"/>
    <m/>
    <x v="0"/>
    <m/>
    <m/>
    <m/>
    <m/>
    <n v="1"/>
    <n v="1"/>
    <n v="1"/>
    <n v="1"/>
    <m/>
    <m/>
    <d v="2025-01-01T00:00:00"/>
    <d v="1899-12-31T00:00:00"/>
    <d v="2025-02-03T00:00:00"/>
    <x v="3"/>
    <m/>
    <m/>
    <n v="8259"/>
    <n v="75499"/>
    <s v="Modificación validaciones de creación documentos en SAP, segmentados para usuarios participantes en el proceso"/>
    <x v="11"/>
    <n v="1.13333333333333"/>
    <d v="1899-12-30T01:08:00"/>
    <d v="2025-03-05T00:00:00"/>
  </r>
  <r>
    <n v="8259"/>
    <x v="15"/>
    <x v="15"/>
    <n v="247002"/>
    <s v="AMI PAOLA YOC LOPEZ"/>
    <n v="21"/>
    <x v="3"/>
    <n v="3202"/>
    <x v="3"/>
    <m/>
    <x v="0"/>
    <m/>
    <m/>
    <m/>
    <m/>
    <n v="1"/>
    <n v="1"/>
    <n v="1"/>
    <n v="1"/>
    <m/>
    <m/>
    <d v="2025-01-01T00:00:00"/>
    <d v="1899-12-31T00:00:00"/>
    <d v="2025-02-03T00:00:00"/>
    <x v="3"/>
    <m/>
    <m/>
    <n v="8259"/>
    <n v="75498"/>
    <s v="Modificación en segmentación y lógica SP's que consumen Endpoints de traslado de archivos"/>
    <x v="11"/>
    <n v="1.25"/>
    <d v="1899-12-30T01:15:00"/>
    <d v="2025-03-05T00:00:00"/>
  </r>
  <r>
    <n v="8259"/>
    <x v="15"/>
    <x v="15"/>
    <n v="247002"/>
    <s v="AMI PAOLA YOC LOPEZ"/>
    <n v="21"/>
    <x v="3"/>
    <n v="3202"/>
    <x v="3"/>
    <m/>
    <x v="0"/>
    <m/>
    <m/>
    <m/>
    <m/>
    <n v="1"/>
    <n v="1"/>
    <n v="1"/>
    <n v="1"/>
    <m/>
    <m/>
    <d v="2025-01-01T00:00:00"/>
    <d v="1899-12-31T00:00:00"/>
    <d v="2025-02-03T00:00:00"/>
    <x v="3"/>
    <m/>
    <m/>
    <n v="8259"/>
    <n v="75496"/>
    <s v="Pruebas de traslados de documentos a Laserfiche y creación factura proveedores desde cliente SAP simulando el proceso completo"/>
    <x v="11"/>
    <n v="2"/>
    <d v="1899-12-30T02:00:00"/>
    <d v="2025-03-05T00:00:00"/>
  </r>
  <r>
    <n v="8259"/>
    <x v="15"/>
    <x v="15"/>
    <n v="247002"/>
    <s v="AMI PAOLA YOC LOPEZ"/>
    <n v="21"/>
    <x v="3"/>
    <n v="3202"/>
    <x v="3"/>
    <m/>
    <x v="0"/>
    <m/>
    <m/>
    <m/>
    <m/>
    <n v="1"/>
    <n v="1"/>
    <n v="1"/>
    <n v="1"/>
    <m/>
    <m/>
    <d v="2025-01-01T00:00:00"/>
    <d v="1899-12-31T00:00:00"/>
    <d v="2025-02-03T00:00:00"/>
    <x v="3"/>
    <m/>
    <m/>
    <n v="8259"/>
    <n v="75495"/>
    <s v="Corrección de errores y pruebas de rendimiento para consumir EndPoint por SP y Job en SAP"/>
    <x v="11"/>
    <n v="4"/>
    <d v="1899-12-30T04:00:00"/>
    <d v="2025-03-05T00:00:00"/>
  </r>
  <r>
    <n v="8259"/>
    <x v="15"/>
    <x v="15"/>
    <n v="247002"/>
    <s v="AMI PAOLA YOC LOPEZ"/>
    <n v="21"/>
    <x v="3"/>
    <n v="3202"/>
    <x v="3"/>
    <m/>
    <x v="0"/>
    <m/>
    <m/>
    <m/>
    <m/>
    <n v="1"/>
    <n v="1"/>
    <n v="1"/>
    <n v="1"/>
    <m/>
    <m/>
    <d v="2025-01-01T00:00:00"/>
    <d v="1899-12-31T00:00:00"/>
    <d v="2025-02-03T00:00:00"/>
    <x v="3"/>
    <m/>
    <m/>
    <n v="8259"/>
    <n v="75494"/>
    <s v="Creación SP's, tablas y Job que ejecutarán en 2do plano los EndPoint de API JANET"/>
    <x v="12"/>
    <n v="0.51666666666666605"/>
    <d v="1899-12-30T00:31:00"/>
    <d v="2025-03-05T00:00:00"/>
  </r>
  <r>
    <n v="8259"/>
    <x v="15"/>
    <x v="15"/>
    <n v="247002"/>
    <s v="AMI PAOLA YOC LOPEZ"/>
    <n v="21"/>
    <x v="3"/>
    <n v="3202"/>
    <x v="3"/>
    <m/>
    <x v="0"/>
    <m/>
    <m/>
    <m/>
    <m/>
    <n v="1"/>
    <n v="1"/>
    <n v="1"/>
    <n v="1"/>
    <m/>
    <m/>
    <d v="2025-01-01T00:00:00"/>
    <d v="1899-12-31T00:00:00"/>
    <d v="2025-02-03T00:00:00"/>
    <x v="3"/>
    <m/>
    <m/>
    <n v="8259"/>
    <n v="75493"/>
    <s v="Pruebas para consumir SP con Endpoint de traslado archivo a Laserfiche"/>
    <x v="12"/>
    <n v="1"/>
    <d v="1899-12-30T01:00:00"/>
    <d v="2025-03-05T00:00:00"/>
  </r>
  <r>
    <n v="8259"/>
    <x v="15"/>
    <x v="15"/>
    <n v="247002"/>
    <s v="AMI PAOLA YOC LOPEZ"/>
    <n v="21"/>
    <x v="3"/>
    <n v="3202"/>
    <x v="3"/>
    <m/>
    <x v="0"/>
    <m/>
    <m/>
    <m/>
    <m/>
    <n v="1"/>
    <n v="1"/>
    <n v="1"/>
    <n v="1"/>
    <m/>
    <m/>
    <d v="2025-01-01T00:00:00"/>
    <d v="1899-12-31T00:00:00"/>
    <d v="2025-02-03T00:00:00"/>
    <x v="3"/>
    <m/>
    <m/>
    <n v="8259"/>
    <n v="75492"/>
    <s v="Modificación y puesta en producción de EndPoint de crear factura proveedores"/>
    <x v="12"/>
    <n v="4"/>
    <d v="1899-12-30T04:00:00"/>
    <d v="2025-03-05T00:00:00"/>
  </r>
  <r>
    <n v="8259"/>
    <x v="15"/>
    <x v="15"/>
    <n v="247002"/>
    <s v="AMI PAOLA YOC LOPEZ"/>
    <n v="21"/>
    <x v="3"/>
    <n v="3202"/>
    <x v="3"/>
    <m/>
    <x v="0"/>
    <m/>
    <m/>
    <m/>
    <m/>
    <n v="1"/>
    <n v="1"/>
    <n v="1"/>
    <n v="1"/>
    <m/>
    <m/>
    <d v="2025-01-01T00:00:00"/>
    <d v="1899-12-31T00:00:00"/>
    <d v="2025-02-03T00:00:00"/>
    <x v="3"/>
    <m/>
    <m/>
    <n v="8259"/>
    <n v="75491"/>
    <s v="Habilitación condiciones en SP's de SAP producción segmentados por los primeros usuarios que participarán en el proceso"/>
    <x v="12"/>
    <n v="3"/>
    <d v="1899-12-30T03:00:00"/>
    <d v="2025-03-05T00:00:00"/>
  </r>
  <r>
    <n v="8259"/>
    <x v="15"/>
    <x v="15"/>
    <n v="247002"/>
    <s v="AMI PAOLA YOC LOPEZ"/>
    <n v="21"/>
    <x v="3"/>
    <n v="3202"/>
    <x v="3"/>
    <m/>
    <x v="0"/>
    <m/>
    <m/>
    <m/>
    <m/>
    <n v="1"/>
    <n v="1"/>
    <n v="1"/>
    <n v="1"/>
    <m/>
    <m/>
    <d v="2025-01-01T00:00:00"/>
    <d v="1899-12-31T00:00:00"/>
    <d v="2025-02-03T00:00:00"/>
    <x v="3"/>
    <m/>
    <m/>
    <n v="8259"/>
    <n v="72916"/>
    <s v="Creación nuevos SP y modificación del proceso para traslado de documentos a Laserfiche"/>
    <x v="0"/>
    <n v="3.5"/>
    <d v="1899-12-30T03:30:00"/>
    <d v="2025-02-22T00:00:00"/>
  </r>
  <r>
    <n v="8259"/>
    <x v="15"/>
    <x v="15"/>
    <n v="247002"/>
    <s v="AMI PAOLA YOC LOPEZ"/>
    <n v="21"/>
    <x v="3"/>
    <n v="3202"/>
    <x v="3"/>
    <m/>
    <x v="0"/>
    <m/>
    <m/>
    <m/>
    <m/>
    <n v="1"/>
    <n v="1"/>
    <n v="1"/>
    <n v="1"/>
    <m/>
    <m/>
    <d v="2025-01-01T00:00:00"/>
    <d v="1899-12-31T00:00:00"/>
    <d v="2025-02-03T00:00:00"/>
    <x v="3"/>
    <m/>
    <m/>
    <n v="8259"/>
    <n v="72915"/>
    <s v="Modificación EndPoint Janet para trasladar documentos a Laserfiche"/>
    <x v="0"/>
    <n v="1"/>
    <d v="1899-12-30T01:00:00"/>
    <d v="2025-02-22T00:00:00"/>
  </r>
  <r>
    <n v="8259"/>
    <x v="15"/>
    <x v="15"/>
    <n v="247002"/>
    <s v="AMI PAOLA YOC LOPEZ"/>
    <n v="21"/>
    <x v="3"/>
    <n v="3202"/>
    <x v="3"/>
    <m/>
    <x v="0"/>
    <m/>
    <m/>
    <m/>
    <m/>
    <n v="1"/>
    <n v="1"/>
    <n v="1"/>
    <n v="1"/>
    <m/>
    <m/>
    <d v="2025-01-01T00:00:00"/>
    <d v="1899-12-31T00:00:00"/>
    <d v="2025-02-03T00:00:00"/>
    <x v="3"/>
    <m/>
    <m/>
    <n v="8259"/>
    <n v="72914"/>
    <s v="Configuración de las rutas en SPs"/>
    <x v="0"/>
    <n v="0.5"/>
    <d v="1899-12-30T00:30:00"/>
    <d v="2025-02-22T00:00:00"/>
  </r>
  <r>
    <n v="8259"/>
    <x v="15"/>
    <x v="15"/>
    <n v="247002"/>
    <s v="AMI PAOLA YOC LOPEZ"/>
    <n v="21"/>
    <x v="3"/>
    <n v="3202"/>
    <x v="3"/>
    <m/>
    <x v="0"/>
    <m/>
    <m/>
    <m/>
    <m/>
    <n v="1"/>
    <n v="1"/>
    <n v="1"/>
    <n v="1"/>
    <m/>
    <m/>
    <d v="2025-01-01T00:00:00"/>
    <d v="1899-12-31T00:00:00"/>
    <d v="2025-02-03T00:00:00"/>
    <x v="3"/>
    <m/>
    <m/>
    <n v="8259"/>
    <n v="72913"/>
    <s v="Configuración del sistema que actualiza el PDF de la OC"/>
    <x v="0"/>
    <n v="1.5"/>
    <d v="1899-12-30T01:30:00"/>
    <d v="2025-02-22T00:00:00"/>
  </r>
  <r>
    <n v="8259"/>
    <x v="15"/>
    <x v="15"/>
    <n v="247002"/>
    <s v="AMI PAOLA YOC LOPEZ"/>
    <n v="21"/>
    <x v="3"/>
    <n v="3202"/>
    <x v="3"/>
    <m/>
    <x v="0"/>
    <m/>
    <m/>
    <m/>
    <m/>
    <n v="1"/>
    <n v="1"/>
    <n v="1"/>
    <n v="1"/>
    <m/>
    <m/>
    <d v="2025-01-01T00:00:00"/>
    <d v="1899-12-31T00:00:00"/>
    <d v="2025-02-03T00:00:00"/>
    <x v="3"/>
    <m/>
    <m/>
    <n v="8259"/>
    <n v="72912"/>
    <s v="Modificación en código para evitar el cálculo de descuentos negativos en las líneas de la Factura (Se eliminaron todos los campos relacionados al precio o total de línea en el detalle de la factura)"/>
    <x v="1"/>
    <n v="1.7666666666666599"/>
    <d v="1899-12-30T01:46:00"/>
    <d v="2025-02-22T00:00:00"/>
  </r>
  <r>
    <n v="8259"/>
    <x v="15"/>
    <x v="15"/>
    <n v="247002"/>
    <s v="AMI PAOLA YOC LOPEZ"/>
    <n v="21"/>
    <x v="3"/>
    <n v="3202"/>
    <x v="3"/>
    <m/>
    <x v="0"/>
    <m/>
    <m/>
    <m/>
    <m/>
    <n v="1"/>
    <n v="1"/>
    <n v="1"/>
    <n v="1"/>
    <m/>
    <m/>
    <d v="2025-01-01T00:00:00"/>
    <d v="1899-12-31T00:00:00"/>
    <d v="2025-02-03T00:00:00"/>
    <x v="3"/>
    <m/>
    <m/>
    <n v="8259"/>
    <n v="72906"/>
    <s v="Preparación y configuración del entorno de desarrollo para realizar la prueba con Usuarios"/>
    <x v="1"/>
    <n v="2"/>
    <d v="1899-12-30T02:00:00"/>
    <d v="2025-02-22T00:00:00"/>
  </r>
  <r>
    <n v="8259"/>
    <x v="15"/>
    <x v="15"/>
    <n v="247002"/>
    <s v="AMI PAOLA YOC LOPEZ"/>
    <n v="21"/>
    <x v="3"/>
    <n v="3202"/>
    <x v="3"/>
    <m/>
    <x v="0"/>
    <m/>
    <m/>
    <m/>
    <m/>
    <n v="1"/>
    <n v="1"/>
    <n v="1"/>
    <n v="1"/>
    <m/>
    <m/>
    <d v="2025-01-01T00:00:00"/>
    <d v="1899-12-31T00:00:00"/>
    <d v="2025-02-03T00:00:00"/>
    <x v="3"/>
    <m/>
    <m/>
    <n v="8259"/>
    <n v="72905"/>
    <s v="Reunión para presentar proyecto y que los usuarios realicen el proceso"/>
    <x v="1"/>
    <n v="2.5"/>
    <d v="1899-12-30T02:30:00"/>
    <d v="2025-02-22T00:00:00"/>
  </r>
  <r>
    <n v="8259"/>
    <x v="15"/>
    <x v="15"/>
    <n v="247002"/>
    <s v="AMI PAOLA YOC LOPEZ"/>
    <n v="21"/>
    <x v="3"/>
    <n v="3202"/>
    <x v="3"/>
    <m/>
    <x v="0"/>
    <m/>
    <m/>
    <m/>
    <m/>
    <n v="1"/>
    <n v="1"/>
    <n v="1"/>
    <n v="1"/>
    <m/>
    <m/>
    <d v="2025-01-01T00:00:00"/>
    <d v="1899-12-31T00:00:00"/>
    <d v="2025-02-03T00:00:00"/>
    <x v="3"/>
    <m/>
    <m/>
    <n v="8259"/>
    <n v="72075"/>
    <s v="Reunión de pruebas simulando el flujo completo del proceso a solicitud de Luis Gonzalez (Flujo completo)"/>
    <x v="1"/>
    <n v="2"/>
    <d v="1899-12-30T02:00:00"/>
    <d v="2025-02-20T00:00:00"/>
  </r>
  <r>
    <n v="8259"/>
    <x v="15"/>
    <x v="15"/>
    <n v="247002"/>
    <s v="AMI PAOLA YOC LOPEZ"/>
    <n v="21"/>
    <x v="3"/>
    <n v="3202"/>
    <x v="3"/>
    <m/>
    <x v="0"/>
    <m/>
    <m/>
    <m/>
    <m/>
    <n v="1"/>
    <n v="1"/>
    <n v="1"/>
    <n v="1"/>
    <m/>
    <m/>
    <d v="2025-01-01T00:00:00"/>
    <d v="1899-12-31T00:00:00"/>
    <d v="2025-02-03T00:00:00"/>
    <x v="3"/>
    <m/>
    <m/>
    <n v="8259"/>
    <n v="72911"/>
    <s v="Modificación en código para evitar el cálculo de descuentos negativos en las líneas de la Factura ( Se realizó el cálculo de forma manual para el total de línea aproximando a 6 decimales, se eliminaron las 2 modificaciones anteriores)"/>
    <x v="2"/>
    <n v="2"/>
    <d v="1899-12-30T02:00:00"/>
    <d v="2025-02-22T00:00:00"/>
  </r>
  <r>
    <n v="8259"/>
    <x v="15"/>
    <x v="15"/>
    <n v="247002"/>
    <s v="AMI PAOLA YOC LOPEZ"/>
    <n v="21"/>
    <x v="3"/>
    <n v="3202"/>
    <x v="3"/>
    <m/>
    <x v="0"/>
    <m/>
    <m/>
    <m/>
    <m/>
    <n v="1"/>
    <n v="1"/>
    <n v="1"/>
    <n v="1"/>
    <m/>
    <m/>
    <d v="2025-01-01T00:00:00"/>
    <d v="1899-12-31T00:00:00"/>
    <d v="2025-02-03T00:00:00"/>
    <x v="3"/>
    <m/>
    <m/>
    <n v="8259"/>
    <n v="72910"/>
    <s v="Modificación en código para evitar el cálculo de descuentos negativos en las líneas de la Factura ( Se agregaron los datos de las líneas a variables y se redondearon a 6 decimales)"/>
    <x v="2"/>
    <n v="2"/>
    <d v="1899-12-30T02:00:00"/>
    <d v="2025-02-22T00:00:00"/>
  </r>
  <r>
    <n v="8259"/>
    <x v="15"/>
    <x v="15"/>
    <n v="247002"/>
    <s v="AMI PAOLA YOC LOPEZ"/>
    <n v="21"/>
    <x v="3"/>
    <n v="3202"/>
    <x v="3"/>
    <m/>
    <x v="0"/>
    <m/>
    <m/>
    <m/>
    <m/>
    <n v="1"/>
    <n v="1"/>
    <n v="1"/>
    <n v="1"/>
    <m/>
    <m/>
    <d v="2025-01-01T00:00:00"/>
    <d v="1899-12-31T00:00:00"/>
    <d v="2025-02-03T00:00:00"/>
    <x v="3"/>
    <m/>
    <m/>
    <n v="8259"/>
    <n v="72060"/>
    <s v="Modificación en código para evitar el cálculo de descuentos negativos en las líneas de la Factura (Se dejó una condición para que si existe un valor en el descuento menor a 0 entonces se iguale a 0 )"/>
    <x v="2"/>
    <n v="2"/>
    <d v="1899-12-30T02:00:00"/>
    <d v="2025-02-20T00:00:00"/>
  </r>
  <r>
    <n v="8259"/>
    <x v="15"/>
    <x v="15"/>
    <n v="247002"/>
    <s v="AMI PAOLA YOC LOPEZ"/>
    <n v="21"/>
    <x v="3"/>
    <n v="3202"/>
    <x v="3"/>
    <m/>
    <x v="0"/>
    <m/>
    <m/>
    <m/>
    <m/>
    <n v="1"/>
    <n v="1"/>
    <n v="1"/>
    <n v="1"/>
    <m/>
    <m/>
    <d v="2025-01-01T00:00:00"/>
    <d v="1899-12-31T00:00:00"/>
    <d v="2025-02-03T00:00:00"/>
    <x v="3"/>
    <m/>
    <m/>
    <n v="8259"/>
    <n v="71708"/>
    <s v="Agregadas consultas SQL que limpian campos de usuario"/>
    <x v="3"/>
    <n v="1"/>
    <d v="1899-12-30T01:00:00"/>
    <d v="2025-02-19T00:00:00"/>
  </r>
  <r>
    <n v="8259"/>
    <x v="15"/>
    <x v="15"/>
    <n v="247002"/>
    <s v="AMI PAOLA YOC LOPEZ"/>
    <n v="21"/>
    <x v="3"/>
    <n v="3202"/>
    <x v="3"/>
    <m/>
    <x v="0"/>
    <m/>
    <m/>
    <m/>
    <m/>
    <n v="1"/>
    <n v="1"/>
    <n v="1"/>
    <n v="1"/>
    <m/>
    <m/>
    <d v="2025-01-01T00:00:00"/>
    <d v="1899-12-31T00:00:00"/>
    <d v="2025-02-03T00:00:00"/>
    <x v="3"/>
    <m/>
    <m/>
    <n v="8259"/>
    <n v="71491"/>
    <s v="Reunión de pruebas simulando el flujo completo del proceso (Desde creación OC hasta creación Factura Proveedores)"/>
    <x v="3"/>
    <n v="5.5"/>
    <d v="1899-12-30T05:30:00"/>
    <d v="2025-02-18T00:00:00"/>
  </r>
  <r>
    <n v="8259"/>
    <x v="15"/>
    <x v="15"/>
    <n v="247002"/>
    <s v="AMI PAOLA YOC LOPEZ"/>
    <n v="21"/>
    <x v="3"/>
    <n v="3202"/>
    <x v="3"/>
    <m/>
    <x v="0"/>
    <m/>
    <m/>
    <m/>
    <m/>
    <n v="1"/>
    <n v="1"/>
    <n v="1"/>
    <n v="1"/>
    <m/>
    <m/>
    <d v="2025-01-01T00:00:00"/>
    <d v="1899-12-31T00:00:00"/>
    <d v="2025-02-03T00:00:00"/>
    <x v="3"/>
    <m/>
    <m/>
    <n v="8259"/>
    <n v="71490"/>
    <s v="Reunión de pruebas simulando el flujo completo del proceso (Desde creación OC hasta creación Factura Proveedores)"/>
    <x v="13"/>
    <n v="5.7"/>
    <d v="1899-12-30T05:42:00"/>
    <d v="2025-02-18T00:00:00"/>
  </r>
  <r>
    <n v="8259"/>
    <x v="15"/>
    <x v="15"/>
    <n v="247002"/>
    <s v="AMI PAOLA YOC LOPEZ"/>
    <n v="21"/>
    <x v="3"/>
    <n v="3202"/>
    <x v="3"/>
    <m/>
    <x v="0"/>
    <m/>
    <m/>
    <m/>
    <m/>
    <n v="1"/>
    <n v="1"/>
    <n v="1"/>
    <n v="1"/>
    <m/>
    <m/>
    <d v="2025-01-01T00:00:00"/>
    <d v="1899-12-31T00:00:00"/>
    <d v="2025-02-03T00:00:00"/>
    <x v="3"/>
    <m/>
    <m/>
    <n v="8259"/>
    <n v="70860"/>
    <s v="Creación de documentos para pruebas que validen Creación de EM con items parciales"/>
    <x v="14"/>
    <n v="1"/>
    <d v="1899-12-30T01:00:00"/>
    <d v="2025-02-14T00:00:00"/>
  </r>
  <r>
    <n v="8259"/>
    <x v="15"/>
    <x v="15"/>
    <n v="247002"/>
    <s v="AMI PAOLA YOC LOPEZ"/>
    <n v="21"/>
    <x v="3"/>
    <n v="3202"/>
    <x v="3"/>
    <m/>
    <x v="0"/>
    <m/>
    <m/>
    <m/>
    <m/>
    <n v="1"/>
    <n v="1"/>
    <n v="1"/>
    <n v="1"/>
    <m/>
    <m/>
    <d v="2025-01-01T00:00:00"/>
    <d v="1899-12-31T00:00:00"/>
    <d v="2025-02-03T00:00:00"/>
    <x v="3"/>
    <m/>
    <m/>
    <n v="8259"/>
    <n v="70841"/>
    <s v="Modificación SP que valida la Creación de EM con items parciales autorizados de OC"/>
    <x v="14"/>
    <n v="3"/>
    <d v="1899-12-30T03:00:00"/>
    <d v="2025-02-14T00:00:00"/>
  </r>
  <r>
    <n v="8259"/>
    <x v="15"/>
    <x v="15"/>
    <n v="247002"/>
    <s v="AMI PAOLA YOC LOPEZ"/>
    <n v="21"/>
    <x v="3"/>
    <n v="3202"/>
    <x v="3"/>
    <m/>
    <x v="0"/>
    <m/>
    <m/>
    <m/>
    <m/>
    <n v="1"/>
    <n v="1"/>
    <n v="1"/>
    <n v="1"/>
    <m/>
    <m/>
    <d v="2025-01-01T00:00:00"/>
    <d v="1899-12-31T00:00:00"/>
    <d v="2025-02-03T00:00:00"/>
    <x v="3"/>
    <m/>
    <m/>
    <n v="8259"/>
    <n v="70805"/>
    <s v="Reunión de pruebas para Validar Creación EM con items parciales autorizados de OC"/>
    <x v="14"/>
    <n v="4"/>
    <d v="1899-12-30T04:00:00"/>
    <d v="2025-02-14T00:00:00"/>
  </r>
  <r>
    <n v="8259"/>
    <x v="15"/>
    <x v="15"/>
    <n v="247002"/>
    <s v="AMI PAOLA YOC LOPEZ"/>
    <n v="21"/>
    <x v="3"/>
    <n v="3202"/>
    <x v="3"/>
    <m/>
    <x v="0"/>
    <m/>
    <m/>
    <m/>
    <m/>
    <n v="1"/>
    <n v="1"/>
    <n v="1"/>
    <n v="1"/>
    <m/>
    <m/>
    <d v="2025-01-01T00:00:00"/>
    <d v="1899-12-31T00:00:00"/>
    <d v="2025-02-03T00:00:00"/>
    <x v="3"/>
    <m/>
    <m/>
    <n v="8259"/>
    <n v="70836"/>
    <s v="Validación de permisos y usuario en servidor donde se ubica el API JANET"/>
    <x v="15"/>
    <n v="3"/>
    <d v="1899-12-30T03:00:00"/>
    <d v="2025-02-14T00:00:00"/>
  </r>
  <r>
    <n v="8259"/>
    <x v="15"/>
    <x v="15"/>
    <n v="247002"/>
    <s v="AMI PAOLA YOC LOPEZ"/>
    <n v="21"/>
    <x v="3"/>
    <n v="3202"/>
    <x v="3"/>
    <m/>
    <x v="0"/>
    <m/>
    <m/>
    <m/>
    <m/>
    <n v="1"/>
    <n v="1"/>
    <n v="1"/>
    <n v="1"/>
    <m/>
    <m/>
    <d v="2025-01-01T00:00:00"/>
    <d v="1899-12-31T00:00:00"/>
    <d v="2025-02-03T00:00:00"/>
    <x v="3"/>
    <m/>
    <m/>
    <n v="8259"/>
    <n v="69976"/>
    <s v="Corrección SP que valida creación EM con items Autorizados"/>
    <x v="16"/>
    <n v="1.2"/>
    <d v="1899-12-30T01:12:00"/>
    <d v="2025-02-12T00:00:00"/>
  </r>
  <r>
    <n v="8259"/>
    <x v="15"/>
    <x v="15"/>
    <n v="247002"/>
    <s v="AMI PAOLA YOC LOPEZ"/>
    <n v="21"/>
    <x v="3"/>
    <n v="3202"/>
    <x v="3"/>
    <m/>
    <x v="0"/>
    <m/>
    <m/>
    <m/>
    <m/>
    <n v="1"/>
    <n v="1"/>
    <n v="1"/>
    <n v="1"/>
    <m/>
    <m/>
    <d v="2025-01-01T00:00:00"/>
    <d v="1899-12-31T00:00:00"/>
    <d v="2025-02-03T00:00:00"/>
    <x v="3"/>
    <m/>
    <m/>
    <n v="8259"/>
    <n v="69975"/>
    <s v="Se realizó una reunión para integrar y realizar pruebas del proceso junto con el equipo de Laserfiche"/>
    <x v="16"/>
    <n v="8"/>
    <d v="1899-12-30T08:00:00"/>
    <d v="2025-02-12T00:00:00"/>
  </r>
  <r>
    <n v="8259"/>
    <x v="15"/>
    <x v="15"/>
    <n v="247002"/>
    <s v="AMI PAOLA YOC LOPEZ"/>
    <n v="21"/>
    <x v="3"/>
    <n v="3202"/>
    <x v="3"/>
    <m/>
    <x v="0"/>
    <m/>
    <m/>
    <m/>
    <m/>
    <n v="1"/>
    <n v="1"/>
    <n v="1"/>
    <n v="1"/>
    <m/>
    <m/>
    <d v="2025-01-01T00:00:00"/>
    <d v="1899-12-31T00:00:00"/>
    <d v="2025-02-03T00:00:00"/>
    <x v="3"/>
    <m/>
    <m/>
    <n v="8259"/>
    <n v="69977"/>
    <s v="Creación nuevo parámetro para guardado PDF en servidor Laserfiche"/>
    <x v="17"/>
    <n v="0.68333333333333302"/>
    <d v="1899-12-30T00:41:00"/>
    <d v="2025-02-12T00:00:00"/>
  </r>
  <r>
    <n v="8259"/>
    <x v="15"/>
    <x v="15"/>
    <n v="247002"/>
    <s v="AMI PAOLA YOC LOPEZ"/>
    <n v="21"/>
    <x v="3"/>
    <n v="3202"/>
    <x v="3"/>
    <m/>
    <x v="0"/>
    <m/>
    <m/>
    <m/>
    <m/>
    <n v="1"/>
    <n v="1"/>
    <n v="1"/>
    <n v="1"/>
    <m/>
    <m/>
    <d v="2025-01-01T00:00:00"/>
    <d v="1899-12-31T00:00:00"/>
    <d v="2025-02-03T00:00:00"/>
    <x v="3"/>
    <m/>
    <m/>
    <n v="8259"/>
    <n v="69974"/>
    <s v="Se realizó una reunión para integrar y realizar pruebas del proceso junto con el equipo de Laserfiche"/>
    <x v="17"/>
    <n v="8"/>
    <d v="1899-12-30T08:00:00"/>
    <d v="2025-02-12T00:00:00"/>
  </r>
  <r>
    <n v="8259"/>
    <x v="15"/>
    <x v="15"/>
    <n v="247002"/>
    <s v="AMI PAOLA YOC LOPEZ"/>
    <n v="21"/>
    <x v="3"/>
    <n v="3202"/>
    <x v="3"/>
    <m/>
    <x v="0"/>
    <m/>
    <m/>
    <m/>
    <m/>
    <n v="1"/>
    <n v="1"/>
    <n v="1"/>
    <n v="1"/>
    <m/>
    <m/>
    <d v="2025-01-01T00:00:00"/>
    <d v="1899-12-31T00:00:00"/>
    <d v="2025-02-03T00:00:00"/>
    <x v="3"/>
    <m/>
    <m/>
    <n v="8259"/>
    <n v="69098"/>
    <s v="Validación en creación PDF y guardado en carpeta SAP con segunda versión archivo .rpt"/>
    <x v="18"/>
    <n v="3"/>
    <d v="1899-12-30T03:00:00"/>
    <d v="2025-02-08T00:00:00"/>
  </r>
  <r>
    <n v="8259"/>
    <x v="15"/>
    <x v="15"/>
    <n v="247002"/>
    <s v="AMI PAOLA YOC LOPEZ"/>
    <n v="21"/>
    <x v="3"/>
    <n v="3202"/>
    <x v="3"/>
    <m/>
    <x v="0"/>
    <m/>
    <m/>
    <m/>
    <m/>
    <n v="1"/>
    <n v="1"/>
    <n v="1"/>
    <n v="1"/>
    <m/>
    <m/>
    <d v="2025-01-01T00:00:00"/>
    <d v="1899-12-31T00:00:00"/>
    <d v="2025-02-03T00:00:00"/>
    <x v="3"/>
    <m/>
    <m/>
    <n v="8259"/>
    <n v="68013"/>
    <s v="Validación errores al crear PDF con segunda versión de archivo .rpt"/>
    <x v="19"/>
    <n v="2"/>
    <d v="1899-12-30T02:00:00"/>
    <d v="2025-02-05T00:00:00"/>
  </r>
  <r>
    <n v="8259"/>
    <x v="15"/>
    <x v="15"/>
    <n v="247002"/>
    <s v="AMI PAOLA YOC LOPEZ"/>
    <n v="21"/>
    <x v="3"/>
    <n v="3202"/>
    <x v="3"/>
    <m/>
    <x v="0"/>
    <m/>
    <m/>
    <m/>
    <m/>
    <n v="1"/>
    <n v="1"/>
    <n v="1"/>
    <n v="1"/>
    <m/>
    <m/>
    <d v="2025-01-01T00:00:00"/>
    <d v="1899-12-31T00:00:00"/>
    <d v="2025-02-03T00:00:00"/>
    <x v="3"/>
    <m/>
    <m/>
    <n v="8259"/>
    <n v="68012"/>
    <s v="Modificación SP y tabla donde se almacena el autorizador"/>
    <x v="20"/>
    <n v="2"/>
    <d v="1899-12-30T02:00:00"/>
    <d v="2025-02-05T00:00:00"/>
  </r>
  <r>
    <n v="8259"/>
    <x v="15"/>
    <x v="15"/>
    <n v="247002"/>
    <s v="AMI PAOLA YOC LOPEZ"/>
    <n v="21"/>
    <x v="3"/>
    <n v="3202"/>
    <x v="3"/>
    <m/>
    <x v="0"/>
    <m/>
    <m/>
    <m/>
    <m/>
    <n v="1"/>
    <n v="1"/>
    <n v="1"/>
    <n v="1"/>
    <m/>
    <m/>
    <d v="2025-01-01T00:00:00"/>
    <d v="1899-12-31T00:00:00"/>
    <d v="2025-02-03T00:00:00"/>
    <x v="3"/>
    <m/>
    <m/>
    <n v="8259"/>
    <n v="68011"/>
    <s v="Creación SP para obtención datos Laserfiche y obtención de ruta carpetas Laserfiche y SAP"/>
    <x v="20"/>
    <n v="1.5"/>
    <d v="1899-12-30T01:30:00"/>
    <d v="2025-02-05T00:00:00"/>
  </r>
  <r>
    <n v="8259"/>
    <x v="15"/>
    <x v="15"/>
    <n v="247002"/>
    <s v="AMI PAOLA YOC LOPEZ"/>
    <n v="21"/>
    <x v="3"/>
    <n v="3202"/>
    <x v="3"/>
    <m/>
    <x v="0"/>
    <m/>
    <m/>
    <m/>
    <m/>
    <n v="1"/>
    <n v="1"/>
    <n v="1"/>
    <n v="1"/>
    <m/>
    <m/>
    <d v="2025-01-01T00:00:00"/>
    <d v="1899-12-31T00:00:00"/>
    <d v="2025-02-03T00:00:00"/>
    <x v="3"/>
    <m/>
    <m/>
    <n v="8259"/>
    <n v="68010"/>
    <s v="Código para guardado en carpeta Laserfiche y SAP"/>
    <x v="20"/>
    <n v="1.5"/>
    <d v="1899-12-30T01:30:00"/>
    <d v="2025-02-05T00:00:00"/>
  </r>
  <r>
    <n v="8259"/>
    <x v="15"/>
    <x v="15"/>
    <n v="247002"/>
    <s v="AMI PAOLA YOC LOPEZ"/>
    <n v="21"/>
    <x v="3"/>
    <n v="3202"/>
    <x v="3"/>
    <m/>
    <x v="0"/>
    <m/>
    <m/>
    <m/>
    <m/>
    <n v="1"/>
    <n v="1"/>
    <n v="1"/>
    <n v="1"/>
    <m/>
    <m/>
    <d v="2025-01-01T00:00:00"/>
    <d v="1899-12-31T00:00:00"/>
    <d v="2025-02-03T00:00:00"/>
    <x v="3"/>
    <m/>
    <m/>
    <n v="8259"/>
    <n v="68009"/>
    <s v="Código para creación PDF de archivo .rpt"/>
    <x v="20"/>
    <n v="3"/>
    <d v="1899-12-30T03:00:00"/>
    <d v="2025-02-05T00:00:00"/>
  </r>
  <r>
    <n v="8259"/>
    <x v="15"/>
    <x v="15"/>
    <n v="247002"/>
    <s v="AMI PAOLA YOC LOPEZ"/>
    <n v="21"/>
    <x v="3"/>
    <n v="3202"/>
    <x v="3"/>
    <m/>
    <x v="0"/>
    <m/>
    <m/>
    <m/>
    <m/>
    <n v="1"/>
    <n v="1"/>
    <n v="1"/>
    <n v="1"/>
    <m/>
    <m/>
    <d v="2025-01-01T00:00:00"/>
    <d v="1899-12-31T00:00:00"/>
    <d v="2025-02-03T00:00:00"/>
    <x v="3"/>
    <m/>
    <m/>
    <n v="8259"/>
    <n v="68008"/>
    <s v="Validaciones y agregado de SP's en C#"/>
    <x v="21"/>
    <n v="5"/>
    <d v="1899-12-30T05:00:00"/>
    <d v="2025-02-05T00:00:00"/>
  </r>
  <r>
    <n v="8259"/>
    <x v="15"/>
    <x v="15"/>
    <n v="247002"/>
    <s v="AMI PAOLA YOC LOPEZ"/>
    <n v="21"/>
    <x v="3"/>
    <n v="3202"/>
    <x v="3"/>
    <m/>
    <x v="0"/>
    <m/>
    <m/>
    <m/>
    <m/>
    <n v="1"/>
    <n v="1"/>
    <n v="1"/>
    <n v="1"/>
    <m/>
    <m/>
    <d v="2025-01-01T00:00:00"/>
    <d v="1899-12-31T00:00:00"/>
    <d v="2025-02-03T00:00:00"/>
    <x v="3"/>
    <m/>
    <m/>
    <n v="8259"/>
    <n v="68007"/>
    <s v="Creación SP's iniciales en SQL"/>
    <x v="21"/>
    <n v="3"/>
    <d v="1899-12-30T03:00:00"/>
    <d v="2025-02-05T00:00:00"/>
  </r>
  <r>
    <n v="8259"/>
    <x v="15"/>
    <x v="15"/>
    <n v="247002"/>
    <s v="AMI PAOLA YOC LOPEZ"/>
    <n v="21"/>
    <x v="3"/>
    <n v="3202"/>
    <x v="3"/>
    <m/>
    <x v="0"/>
    <m/>
    <m/>
    <m/>
    <m/>
    <n v="1"/>
    <n v="1"/>
    <n v="1"/>
    <n v="1"/>
    <m/>
    <m/>
    <d v="2025-01-01T00:00:00"/>
    <d v="1899-12-31T00:00:00"/>
    <d v="2025-02-03T00:00:00"/>
    <x v="3"/>
    <m/>
    <m/>
    <n v="8259"/>
    <n v="68006"/>
    <s v="Implementación en C#"/>
    <x v="22"/>
    <n v="2"/>
    <d v="1899-12-30T02:00:00"/>
    <d v="2025-02-05T00:00:00"/>
  </r>
  <r>
    <n v="8410"/>
    <x v="16"/>
    <x v="16"/>
    <n v="293171"/>
    <s v="GABRIEL EFRAIN MELENDEZ MARROQUIN"/>
    <n v="21"/>
    <x v="3"/>
    <n v="195"/>
    <x v="4"/>
    <s v="x"/>
    <x v="1"/>
    <m/>
    <m/>
    <m/>
    <m/>
    <n v="1"/>
    <n v="1"/>
    <n v="2"/>
    <n v="2"/>
    <m/>
    <m/>
    <d v="2025-01-01T00:00:00"/>
    <d v="1899-12-31T00:00:00"/>
    <d v="2025-03-10T00:00:00"/>
    <x v="9"/>
    <m/>
    <s v="&lt;p&gt;REPORTE ** Se solicita agregar a nuevo personal al reporte, además de que se presenta el inconveniente ya que no aparecen ciertos mecánicos dentro de los registros. El usuario comenta lo siguiente: &quot;Me falta Kevin Raul España, Bryan Erickson Gomez Hernandez, y Anferny Antonio Lopez para que por favor sean agregados en ambos reportes&lt;/p&gt;"/>
    <m/>
    <m/>
    <m/>
    <x v="5"/>
    <m/>
    <m/>
    <m/>
  </r>
  <r>
    <n v="8264"/>
    <x v="17"/>
    <x v="17"/>
    <m/>
    <m/>
    <n v="29"/>
    <x v="1"/>
    <n v="3202"/>
    <x v="3"/>
    <s v="x"/>
    <x v="0"/>
    <m/>
    <m/>
    <m/>
    <m/>
    <n v="3"/>
    <n v="3"/>
    <n v="3"/>
    <n v="3"/>
    <m/>
    <m/>
    <d v="2025-01-01T00:00:00"/>
    <d v="1899-12-31T00:00:00"/>
    <d v="2025-03-28T00:00:00"/>
    <x v="8"/>
    <m/>
    <m/>
    <m/>
    <m/>
    <m/>
    <x v="5"/>
    <m/>
    <m/>
    <m/>
  </r>
  <r>
    <n v="8262"/>
    <x v="18"/>
    <x v="18"/>
    <m/>
    <m/>
    <n v="28"/>
    <x v="2"/>
    <n v="3202"/>
    <x v="3"/>
    <s v="x"/>
    <x v="0"/>
    <m/>
    <m/>
    <m/>
    <m/>
    <n v="3"/>
    <n v="3"/>
    <n v="1"/>
    <n v="1"/>
    <m/>
    <m/>
    <d v="2025-01-01T00:00:00"/>
    <d v="1899-12-31T00:00:00"/>
    <d v="2025-02-28T00:00:00"/>
    <x v="9"/>
    <m/>
    <m/>
    <m/>
    <m/>
    <m/>
    <x v="5"/>
    <m/>
    <m/>
    <m/>
  </r>
  <r>
    <n v="8412"/>
    <x v="19"/>
    <x v="19"/>
    <n v="247795"/>
    <s v="SANDRA JUDITH LOARCA HERNANDEZ de PEREZ"/>
    <n v="21"/>
    <x v="3"/>
    <m/>
    <x v="2"/>
    <s v="x"/>
    <x v="0"/>
    <m/>
    <m/>
    <m/>
    <m/>
    <n v="1"/>
    <n v="1"/>
    <n v="1"/>
    <n v="1"/>
    <m/>
    <m/>
    <d v="2025-01-01T00:00:00"/>
    <d v="1899-12-31T00:00:00"/>
    <d v="2025-01-31T00:00:00"/>
    <x v="3"/>
    <m/>
    <s v="&lt;p&gt;PROCESO  ** Implementación del Sistema de PinPads para el manejo de Cajas en Facturación Fase 1&lt;/p&gt;&lt;p&gt;PENDIENTE DE ASIGNAR MARVIN VARGAS&lt;/p&gt;"/>
    <m/>
    <m/>
    <m/>
    <x v="5"/>
    <m/>
    <m/>
    <m/>
  </r>
  <r>
    <n v="8253"/>
    <x v="20"/>
    <x v="20"/>
    <m/>
    <m/>
    <n v="21"/>
    <x v="3"/>
    <n v="3200"/>
    <x v="5"/>
    <s v="x"/>
    <x v="0"/>
    <m/>
    <m/>
    <m/>
    <m/>
    <n v="1"/>
    <n v="1"/>
    <n v="2"/>
    <n v="2"/>
    <m/>
    <m/>
    <d v="2025-01-01T00:00:00"/>
    <d v="1899-12-31T00:00:00"/>
    <d v="2025-02-24T00:00:00"/>
    <x v="10"/>
    <m/>
    <s v="&lt;p&gt;Se necesita enviar un correo por el cual se avisara a los socios de negocio de distribución Yamaha que tiene un portal en el cual pueden ingresar para ver su estado de cuentas.&lt;/p&gt;"/>
    <n v="8253"/>
    <n v="72076"/>
    <s v="Se está investigando como crear un JOB para ejecutar el SP."/>
    <x v="1"/>
    <n v="4"/>
    <d v="1899-12-30T04:00:00"/>
    <d v="2025-02-20T00:00:00"/>
  </r>
  <r>
    <n v="8253"/>
    <x v="20"/>
    <x v="20"/>
    <m/>
    <m/>
    <n v="21"/>
    <x v="3"/>
    <n v="3200"/>
    <x v="5"/>
    <m/>
    <x v="0"/>
    <m/>
    <m/>
    <m/>
    <m/>
    <n v="1"/>
    <n v="1"/>
    <n v="2"/>
    <n v="2"/>
    <m/>
    <m/>
    <d v="2025-01-01T00:00:00"/>
    <d v="1899-12-31T00:00:00"/>
    <d v="2025-02-24T00:00:00"/>
    <x v="10"/>
    <m/>
    <s v="&lt;p&gt;Se necesita enviar un correo por el cual se avisara a los socios de negocio de distribución Yamaha que tiene un portal en el cual pueden ingresar para ver su estado de cuentas.&lt;/p&gt;"/>
    <n v="8253"/>
    <n v="72074"/>
    <s v="Se le envío correos al usuario y se está investigando como se va ejecutar el procedimiento almacenado."/>
    <x v="2"/>
    <n v="5.5"/>
    <d v="1899-12-30T05:30:00"/>
    <d v="2025-02-20T00:00:00"/>
  </r>
  <r>
    <n v="8253"/>
    <x v="20"/>
    <x v="20"/>
    <m/>
    <m/>
    <n v="21"/>
    <x v="3"/>
    <n v="3200"/>
    <x v="5"/>
    <m/>
    <x v="0"/>
    <m/>
    <m/>
    <m/>
    <m/>
    <n v="1"/>
    <n v="1"/>
    <n v="2"/>
    <n v="2"/>
    <m/>
    <m/>
    <d v="2025-01-01T00:00:00"/>
    <d v="1899-12-31T00:00:00"/>
    <d v="2025-02-24T00:00:00"/>
    <x v="10"/>
    <m/>
    <s v="&lt;p&gt;Se necesita enviar un correo por el cual se avisara a los socios de negocio de distribución Yamaha que tiene un portal en el cual pueden ingresar para ver su estado de cuentas.&lt;/p&gt;"/>
    <n v="8253"/>
    <n v="72069"/>
    <s v="Se configuro el envío de correo y se procedió a ejecutar el envío de correos, únicamente al personal."/>
    <x v="3"/>
    <n v="3"/>
    <d v="1899-12-30T03:00:00"/>
    <d v="2025-02-20T00:00:00"/>
  </r>
  <r>
    <n v="8253"/>
    <x v="20"/>
    <x v="20"/>
    <m/>
    <m/>
    <n v="21"/>
    <x v="3"/>
    <n v="3200"/>
    <x v="5"/>
    <m/>
    <x v="0"/>
    <m/>
    <m/>
    <m/>
    <m/>
    <n v="1"/>
    <n v="1"/>
    <n v="2"/>
    <n v="2"/>
    <m/>
    <m/>
    <d v="2025-01-01T00:00:00"/>
    <d v="1899-12-31T00:00:00"/>
    <d v="2025-02-24T00:00:00"/>
    <x v="10"/>
    <m/>
    <s v="&lt;p&gt;Se necesita enviar un correo por el cual se avisara a los socios de negocio de distribución Yamaha que tiene un portal en el cual pueden ingresar para ver su estado de cuentas.&lt;/p&gt;"/>
    <n v="8253"/>
    <n v="71277"/>
    <s v="Se creo un SP que permita enviar correo"/>
    <x v="13"/>
    <n v="2"/>
    <d v="1899-12-30T02:00:00"/>
    <d v="2025-02-17T00:00:00"/>
  </r>
  <r>
    <n v="8253"/>
    <x v="20"/>
    <x v="20"/>
    <m/>
    <m/>
    <n v="21"/>
    <x v="3"/>
    <n v="3200"/>
    <x v="5"/>
    <m/>
    <x v="0"/>
    <m/>
    <m/>
    <m/>
    <m/>
    <n v="1"/>
    <n v="1"/>
    <n v="2"/>
    <n v="2"/>
    <m/>
    <m/>
    <d v="2025-01-01T00:00:00"/>
    <d v="1899-12-31T00:00:00"/>
    <d v="2025-02-24T00:00:00"/>
    <x v="10"/>
    <m/>
    <s v="&lt;p&gt;Se necesita enviar un correo por el cual se avisara a los socios de negocio de distribución Yamaha que tiene un portal en el cual pueden ingresar para ver su estado de cuentas.&lt;/p&gt;"/>
    <n v="8253"/>
    <n v="71121"/>
    <s v="Se creara un SP que traiga los datos de los usuario para revisar su correo para luego ver como se manda el correo."/>
    <x v="13"/>
    <n v="2"/>
    <d v="1899-12-30T02:00:00"/>
    <d v="2025-02-17T00:00:00"/>
  </r>
  <r>
    <n v="8253"/>
    <x v="20"/>
    <x v="20"/>
    <m/>
    <m/>
    <n v="21"/>
    <x v="3"/>
    <n v="3200"/>
    <x v="5"/>
    <m/>
    <x v="0"/>
    <m/>
    <m/>
    <m/>
    <m/>
    <n v="1"/>
    <n v="1"/>
    <n v="2"/>
    <n v="2"/>
    <m/>
    <m/>
    <d v="2025-01-01T00:00:00"/>
    <d v="1899-12-31T00:00:00"/>
    <d v="2025-02-24T00:00:00"/>
    <x v="10"/>
    <m/>
    <s v="&lt;p&gt;Se necesita enviar un correo por el cual se avisara a los socios de negocio de distribución Yamaha que tiene un portal en el cual pueden ingresar para ver su estado de cuentas.&lt;/p&gt;"/>
    <n v="8253"/>
    <n v="68152"/>
    <s v="Se discutió los requerimientos"/>
    <x v="19"/>
    <n v="0.5"/>
    <d v="1899-12-30T00:30:00"/>
    <d v="2025-02-06T00:00:00"/>
  </r>
  <r>
    <n v="8413"/>
    <x v="21"/>
    <x v="21"/>
    <n v="247807"/>
    <s v="EDUARDO JACOBO ARA GÓMEZ"/>
    <n v="28"/>
    <x v="2"/>
    <m/>
    <x v="2"/>
    <s v="x"/>
    <x v="1"/>
    <m/>
    <m/>
    <m/>
    <m/>
    <n v="2"/>
    <n v="2"/>
    <n v="2"/>
    <n v="2"/>
    <m/>
    <m/>
    <d v="2025-01-01T00:00:00"/>
    <d v="1899-12-31T00:00:00"/>
    <d v="2025-01-31T00:00:00"/>
    <x v="8"/>
    <m/>
    <s v="&lt;p&gt;PROCESO ** Conexión a SAP para  consultas de CQM Yamaha&lt;/p&gt;&lt;p&gt;PENDIENTE DE ASIGNAR MARVIN VARGAS&lt;/p&gt;"/>
    <m/>
    <m/>
    <m/>
    <x v="5"/>
    <m/>
    <m/>
    <m/>
  </r>
  <r>
    <n v="8451"/>
    <x v="22"/>
    <x v="22"/>
    <m/>
    <m/>
    <n v="28"/>
    <x v="2"/>
    <n v="3199"/>
    <x v="6"/>
    <s v="x"/>
    <x v="0"/>
    <m/>
    <m/>
    <m/>
    <m/>
    <n v="1"/>
    <n v="1"/>
    <n v="1"/>
    <n v="1"/>
    <m/>
    <m/>
    <d v="2025-01-01T00:00:00"/>
    <d v="1899-12-31T00:00:00"/>
    <d v="2025-02-21T00:00:00"/>
    <x v="11"/>
    <m/>
    <m/>
    <m/>
    <m/>
    <m/>
    <x v="5"/>
    <m/>
    <m/>
    <m/>
  </r>
  <r>
    <n v="8414"/>
    <x v="23"/>
    <x v="23"/>
    <n v="247857"/>
    <s v="ARNALDO RENE COTTO STREMS"/>
    <n v="29"/>
    <x v="1"/>
    <m/>
    <x v="2"/>
    <s v="x"/>
    <x v="0"/>
    <m/>
    <m/>
    <m/>
    <m/>
    <n v="2"/>
    <n v="2"/>
    <n v="2"/>
    <n v="2"/>
    <m/>
    <m/>
    <d v="2025-01-01T00:00:00"/>
    <d v="1899-12-31T00:00:00"/>
    <d v="2025-02-14T00:00:00"/>
    <x v="9"/>
    <m/>
    <s v="&lt;p&gt;PROCESO ** Tiendas en línea Motul-Interstate - Ipone, desarrollo de webservices con SAP&lt;/p&gt;&lt;p&gt;PENDIENTE DE ASIGNAR MARVINN VARGAS&lt;/p&gt;"/>
    <m/>
    <m/>
    <m/>
    <x v="5"/>
    <m/>
    <m/>
    <m/>
  </r>
  <r>
    <n v="8415"/>
    <x v="24"/>
    <x v="24"/>
    <n v="247651"/>
    <s v="LUIS FERNANDO BARRIOS MATIAS"/>
    <n v="21"/>
    <x v="3"/>
    <n v="3199"/>
    <x v="6"/>
    <s v="x"/>
    <x v="0"/>
    <m/>
    <m/>
    <m/>
    <m/>
    <n v="1"/>
    <n v="1"/>
    <n v="3"/>
    <n v="3"/>
    <m/>
    <m/>
    <d v="2025-01-01T00:00:00"/>
    <d v="1899-12-31T00:00:00"/>
    <d v="2025-02-28T00:00:00"/>
    <x v="9"/>
    <m/>
    <s v="&lt;p&gt;PROCESO ** Modificación al reporte de la IVE y el nombre del reporte IVE-INF-05, Carlos Rosales hizo los ultimos ajustes por la auditoria de la IVE.  Luis enviara un correo detallando los ajustes a realizar&lt;/p&gt;"/>
    <m/>
    <m/>
    <m/>
    <x v="5"/>
    <m/>
    <m/>
    <m/>
  </r>
  <r>
    <n v="8416"/>
    <x v="25"/>
    <x v="25"/>
    <n v="247770"/>
    <s v="JORGE LUIS MURALLES PAPPA"/>
    <n v="29"/>
    <x v="1"/>
    <m/>
    <x v="2"/>
    <s v="x"/>
    <x v="0"/>
    <m/>
    <m/>
    <m/>
    <m/>
    <n v="2"/>
    <n v="2"/>
    <n v="2"/>
    <n v="2"/>
    <m/>
    <m/>
    <d v="2025-01-01T00:00:00"/>
    <d v="1899-12-31T00:00:00"/>
    <d v="2025-02-14T00:00:00"/>
    <x v="9"/>
    <m/>
    <s v="&lt;p&gt;PROCESO ** Conexión a página web de distribuidores Canon y tienda en línea para interfaces con SAP&lt;/p&gt;&lt;p&gt;PENDIENTE DE ASIGNAR MARVIN VARGAS&lt;/p&gt;"/>
    <m/>
    <m/>
    <m/>
    <x v="5"/>
    <m/>
    <m/>
    <m/>
  </r>
  <r>
    <n v="8418"/>
    <x v="26"/>
    <x v="26"/>
    <n v="247068"/>
    <s v="YESVI AVIGAIL ELIAS ORIZABAL"/>
    <n v="28"/>
    <x v="2"/>
    <m/>
    <x v="2"/>
    <s v="x"/>
    <x v="0"/>
    <m/>
    <m/>
    <m/>
    <m/>
    <n v="2"/>
    <n v="2"/>
    <n v="2"/>
    <n v="2"/>
    <m/>
    <m/>
    <d v="2025-01-02T00:00:00"/>
    <d v="1899-12-31T00:00:00"/>
    <d v="2025-02-24T00:00:00"/>
    <x v="10"/>
    <m/>
    <s v="&lt;p&gt;PROCESO ** Seguimiento al proceso cotización de equipos y respuetos de Maquinaria, realizar webservices con SAP&lt;/p&gt;&lt;p&gt;PENDIENTE DE ASIGNAR MARVIN VARGAS&lt;/p&gt;"/>
    <m/>
    <m/>
    <m/>
    <x v="5"/>
    <m/>
    <m/>
    <m/>
  </r>
  <r>
    <n v="8331"/>
    <x v="27"/>
    <x v="27"/>
    <n v="247857"/>
    <s v="ARNALDO RENE COTTO STREMS"/>
    <n v="28"/>
    <x v="2"/>
    <n v="2767"/>
    <x v="7"/>
    <s v="x"/>
    <x v="0"/>
    <m/>
    <m/>
    <m/>
    <m/>
    <n v="1"/>
    <n v="1"/>
    <n v="1"/>
    <n v="1"/>
    <m/>
    <m/>
    <d v="2025-01-01T00:00:00"/>
    <d v="1899-12-31T00:00:00"/>
    <d v="2025-03-28T00:00:00"/>
    <x v="7"/>
    <m/>
    <s v="&lt;p&gt;En una aplicación web los clientes deben poder ver sus pedidos con su respectivo estatus Pedido, Oferta, Orden, Entrega, Facturado, etc. &lt;/p&gt;"/>
    <m/>
    <m/>
    <m/>
    <x v="5"/>
    <m/>
    <m/>
    <m/>
  </r>
  <r>
    <n v="8419"/>
    <x v="28"/>
    <x v="28"/>
    <n v="247556"/>
    <s v="DOUGLAS MONTOYA MONTAVES"/>
    <n v="28"/>
    <x v="2"/>
    <m/>
    <x v="2"/>
    <s v="x"/>
    <x v="0"/>
    <m/>
    <m/>
    <m/>
    <m/>
    <n v="3"/>
    <n v="3"/>
    <n v="3"/>
    <n v="3"/>
    <m/>
    <m/>
    <d v="2025-01-01T00:00:00"/>
    <d v="1899-12-31T00:00:00"/>
    <d v="2025-04-14T00:00:00"/>
    <x v="6"/>
    <m/>
    <s v="&lt;p&gt;MEJORAS ** 2da fase de tablero de atención al clientes para cajas del departamento de Repuestos&lt;/p&gt;&lt;p&gt;PENDIENTE DE ASIGNAR MARVIN VARGAS&lt;/p&gt;"/>
    <m/>
    <m/>
    <m/>
    <x v="5"/>
    <m/>
    <m/>
    <m/>
  </r>
  <r>
    <n v="8270"/>
    <x v="29"/>
    <x v="29"/>
    <m/>
    <m/>
    <n v="21"/>
    <x v="3"/>
    <n v="2767"/>
    <x v="7"/>
    <s v="x"/>
    <x v="0"/>
    <m/>
    <m/>
    <m/>
    <m/>
    <n v="1"/>
    <n v="1"/>
    <n v="1"/>
    <n v="1"/>
    <m/>
    <m/>
    <d v="2025-01-01T00:00:00"/>
    <d v="1899-12-31T00:00:00"/>
    <d v="2025-01-31T00:00:00"/>
    <x v="3"/>
    <m/>
    <s v="&lt;p&gt; ** PROCESO Implementación del sistema de cobro de calle en ODOO. Luis Polanco fue el solicitante **  ** &lt;/p&gt;"/>
    <n v="8270"/>
    <n v="74175"/>
    <s v="Soporte a los cobradores prueba piloto creación anticipo de pago"/>
    <x v="8"/>
    <n v="6"/>
    <d v="1899-12-30T06:00:00"/>
    <d v="2025-02-28T00:00:00"/>
  </r>
  <r>
    <n v="8270"/>
    <x v="29"/>
    <x v="29"/>
    <m/>
    <m/>
    <n v="21"/>
    <x v="3"/>
    <n v="2767"/>
    <x v="7"/>
    <m/>
    <x v="0"/>
    <m/>
    <m/>
    <m/>
    <m/>
    <n v="1"/>
    <n v="1"/>
    <n v="1"/>
    <n v="1"/>
    <m/>
    <m/>
    <d v="2025-01-01T00:00:00"/>
    <d v="1899-12-31T00:00:00"/>
    <d v="2025-01-31T00:00:00"/>
    <x v="3"/>
    <m/>
    <s v="&lt;p&gt; ** PROCESO Implementación del sistema de cobro de calle en ODOO. Luis Polanco fue el solicitante **  ** &lt;/p&gt;"/>
    <n v="8270"/>
    <n v="73940"/>
    <s v="Soporte a los cobradores prueba piloto"/>
    <x v="9"/>
    <n v="6.5"/>
    <d v="1899-12-30T06:30:00"/>
    <d v="2025-02-27T00:00:00"/>
  </r>
  <r>
    <n v="8270"/>
    <x v="29"/>
    <x v="29"/>
    <m/>
    <m/>
    <n v="21"/>
    <x v="3"/>
    <n v="2767"/>
    <x v="7"/>
    <m/>
    <x v="0"/>
    <m/>
    <m/>
    <m/>
    <m/>
    <n v="1"/>
    <n v="1"/>
    <n v="1"/>
    <n v="1"/>
    <m/>
    <m/>
    <d v="2025-01-01T00:00:00"/>
    <d v="1899-12-31T00:00:00"/>
    <d v="2025-01-31T00:00:00"/>
    <x v="3"/>
    <m/>
    <s v="&lt;p&gt; ** PROCESO Implementación del sistema de cobro de calle en ODOO. Luis Polanco fue el solicitante **  ** &lt;/p&gt;"/>
    <n v="8270"/>
    <n v="73320"/>
    <s v="Soporte a los cobradores prueba piloto"/>
    <x v="11"/>
    <n v="4"/>
    <d v="1899-12-30T04:00:00"/>
    <d v="2025-02-25T00:00:00"/>
  </r>
  <r>
    <n v="8270"/>
    <x v="29"/>
    <x v="29"/>
    <m/>
    <m/>
    <n v="21"/>
    <x v="3"/>
    <n v="2767"/>
    <x v="7"/>
    <m/>
    <x v="0"/>
    <m/>
    <m/>
    <m/>
    <m/>
    <n v="1"/>
    <n v="1"/>
    <n v="1"/>
    <n v="1"/>
    <m/>
    <m/>
    <d v="2025-01-01T00:00:00"/>
    <d v="1899-12-31T00:00:00"/>
    <d v="2025-01-31T00:00:00"/>
    <x v="3"/>
    <m/>
    <s v="&lt;p&gt; ** PROCESO Implementación del sistema de cobro de calle en ODOO. Luis Polanco fue el solicitante **  ** &lt;/p&gt;"/>
    <n v="8270"/>
    <n v="73120"/>
    <s v="Creacion de nuevos correlativos con relacion a los recibos de pago,  para la prueba piloto"/>
    <x v="12"/>
    <n v="0.66666666666666596"/>
    <d v="1899-12-30T00:40:00"/>
    <d v="2025-02-24T00:00:00"/>
  </r>
  <r>
    <n v="8270"/>
    <x v="29"/>
    <x v="29"/>
    <m/>
    <m/>
    <n v="21"/>
    <x v="3"/>
    <n v="2767"/>
    <x v="7"/>
    <m/>
    <x v="0"/>
    <m/>
    <m/>
    <m/>
    <m/>
    <n v="1"/>
    <n v="1"/>
    <n v="1"/>
    <n v="1"/>
    <m/>
    <m/>
    <d v="2025-01-01T00:00:00"/>
    <d v="1899-12-31T00:00:00"/>
    <d v="2025-01-31T00:00:00"/>
    <x v="3"/>
    <m/>
    <s v="&lt;p&gt; ** PROCESO Implementación del sistema de cobro de calle en ODOO. Luis Polanco fue el solicitante **  ** &lt;/p&gt;"/>
    <n v="8270"/>
    <n v="72907"/>
    <s v="Ajustes de la aplicación"/>
    <x v="23"/>
    <n v="2"/>
    <d v="1899-12-30T02:00:00"/>
    <d v="2025-02-22T00:00:00"/>
  </r>
  <r>
    <n v="8270"/>
    <x v="29"/>
    <x v="29"/>
    <m/>
    <m/>
    <n v="21"/>
    <x v="3"/>
    <n v="2767"/>
    <x v="7"/>
    <m/>
    <x v="0"/>
    <m/>
    <m/>
    <m/>
    <m/>
    <n v="1"/>
    <n v="1"/>
    <n v="1"/>
    <n v="1"/>
    <m/>
    <m/>
    <d v="2025-01-01T00:00:00"/>
    <d v="1899-12-31T00:00:00"/>
    <d v="2025-01-31T00:00:00"/>
    <x v="3"/>
    <m/>
    <s v="&lt;p&gt; ** PROCESO Implementación del sistema de cobro de calle en ODOO. Luis Polanco fue el solicitante **  ** &lt;/p&gt;"/>
    <n v="8270"/>
    <n v="72706"/>
    <s v="Capacitación para realizar la prueba piloto"/>
    <x v="0"/>
    <n v="2.5"/>
    <d v="1899-12-30T02:30:00"/>
    <d v="2025-02-21T00:00:00"/>
  </r>
  <r>
    <n v="8270"/>
    <x v="29"/>
    <x v="29"/>
    <m/>
    <m/>
    <n v="21"/>
    <x v="3"/>
    <n v="2767"/>
    <x v="7"/>
    <m/>
    <x v="0"/>
    <m/>
    <m/>
    <m/>
    <m/>
    <n v="1"/>
    <n v="1"/>
    <n v="1"/>
    <n v="1"/>
    <m/>
    <m/>
    <d v="2025-01-01T00:00:00"/>
    <d v="1899-12-31T00:00:00"/>
    <d v="2025-01-31T00:00:00"/>
    <x v="3"/>
    <m/>
    <s v="&lt;p&gt; ** PROCESO Implementación del sistema de cobro de calle en ODOO. Luis Polanco fue el solicitante **  ** &lt;/p&gt;"/>
    <n v="8270"/>
    <n v="72264"/>
    <s v="Capacitación para realizar la prueba piloto"/>
    <x v="1"/>
    <n v="2.5"/>
    <d v="1899-12-30T02:30:00"/>
    <d v="2025-02-21T00:00:00"/>
  </r>
  <r>
    <n v="8270"/>
    <x v="29"/>
    <x v="29"/>
    <m/>
    <m/>
    <n v="21"/>
    <x v="3"/>
    <n v="2767"/>
    <x v="7"/>
    <m/>
    <x v="0"/>
    <m/>
    <m/>
    <m/>
    <m/>
    <n v="1"/>
    <n v="1"/>
    <n v="1"/>
    <n v="1"/>
    <m/>
    <m/>
    <d v="2025-01-01T00:00:00"/>
    <d v="1899-12-31T00:00:00"/>
    <d v="2025-01-31T00:00:00"/>
    <x v="3"/>
    <m/>
    <s v="&lt;p&gt; ** PROCESO Implementación del sistema de cobro de calle en ODOO. Luis Polanco fue el solicitante **  ** &lt;/p&gt;"/>
    <n v="8270"/>
    <n v="72052"/>
    <s v="Reunion con el Licenciado Escobedo para ver como se va manejar la prueba Piloto"/>
    <x v="2"/>
    <n v="0.75"/>
    <d v="1899-12-30T00:45:00"/>
    <d v="2025-02-20T00:00:00"/>
  </r>
  <r>
    <n v="8270"/>
    <x v="29"/>
    <x v="29"/>
    <m/>
    <m/>
    <n v="21"/>
    <x v="3"/>
    <n v="2767"/>
    <x v="7"/>
    <m/>
    <x v="0"/>
    <m/>
    <m/>
    <m/>
    <m/>
    <n v="1"/>
    <n v="1"/>
    <n v="1"/>
    <n v="1"/>
    <m/>
    <m/>
    <d v="2025-01-01T00:00:00"/>
    <d v="1899-12-31T00:00:00"/>
    <d v="2025-01-31T00:00:00"/>
    <x v="3"/>
    <m/>
    <s v="&lt;p&gt; ** PROCESO Implementación del sistema de cobro de calle en ODOO. Luis Polanco fue el solicitante **  ** &lt;/p&gt;"/>
    <n v="8270"/>
    <n v="72051"/>
    <s v="Reunion con los de Piensom paraver tareas pendientes del proyecto"/>
    <x v="13"/>
    <n v="0.75"/>
    <d v="1899-12-30T00:45:00"/>
    <d v="2025-02-20T00:00:00"/>
  </r>
  <r>
    <n v="8270"/>
    <x v="29"/>
    <x v="29"/>
    <m/>
    <m/>
    <n v="21"/>
    <x v="3"/>
    <n v="2767"/>
    <x v="7"/>
    <m/>
    <x v="0"/>
    <m/>
    <m/>
    <m/>
    <m/>
    <n v="1"/>
    <n v="1"/>
    <n v="1"/>
    <n v="1"/>
    <m/>
    <m/>
    <d v="2025-01-01T00:00:00"/>
    <d v="1899-12-31T00:00:00"/>
    <d v="2025-01-31T00:00:00"/>
    <x v="3"/>
    <m/>
    <s v="&lt;p&gt; ** PROCESO Implementación del sistema de cobro de calle en ODOO. Luis Polanco fue el solicitante **  ** &lt;/p&gt;"/>
    <n v="8270"/>
    <n v="70979"/>
    <s v="Se capacito en la sala grande a los cobradores con relacion a los revibos de pago"/>
    <x v="24"/>
    <n v="3"/>
    <d v="1899-12-30T03:00:00"/>
    <d v="2025-02-15T00:00:00"/>
  </r>
  <r>
    <n v="8270"/>
    <x v="29"/>
    <x v="29"/>
    <m/>
    <m/>
    <n v="21"/>
    <x v="3"/>
    <n v="2767"/>
    <x v="7"/>
    <m/>
    <x v="0"/>
    <m/>
    <m/>
    <m/>
    <m/>
    <n v="1"/>
    <n v="1"/>
    <n v="1"/>
    <n v="1"/>
    <m/>
    <m/>
    <d v="2025-01-01T00:00:00"/>
    <d v="1899-12-31T00:00:00"/>
    <d v="2025-01-31T00:00:00"/>
    <x v="3"/>
    <m/>
    <s v="&lt;p&gt; ** PROCESO Implementación del sistema de cobro de calle en ODOO. Luis Polanco fue el solicitante **  ** &lt;/p&gt;"/>
    <n v="8270"/>
    <n v="70201"/>
    <s v="Se le estuvo enseñando a los cobradores como usar Odoo en el movil"/>
    <x v="16"/>
    <n v="1"/>
    <d v="1899-12-30T01:00:00"/>
    <d v="2025-02-13T00:00:00"/>
  </r>
  <r>
    <n v="8270"/>
    <x v="29"/>
    <x v="29"/>
    <m/>
    <m/>
    <n v="21"/>
    <x v="3"/>
    <n v="2767"/>
    <x v="7"/>
    <m/>
    <x v="0"/>
    <m/>
    <m/>
    <m/>
    <m/>
    <n v="1"/>
    <n v="1"/>
    <n v="1"/>
    <n v="1"/>
    <m/>
    <m/>
    <d v="2025-01-01T00:00:00"/>
    <d v="1899-12-31T00:00:00"/>
    <d v="2025-01-31T00:00:00"/>
    <x v="3"/>
    <m/>
    <s v="&lt;p&gt; ** PROCESO Implementación del sistema de cobro de calle en ODOO. Luis Polanco fue el solicitante **  ** &lt;/p&gt;"/>
    <n v="8270"/>
    <n v="68400"/>
    <s v="Se creo el WebService Solicitado"/>
    <x v="18"/>
    <n v="6"/>
    <d v="1899-12-30T06:00:00"/>
    <d v="2025-02-07T00:00:00"/>
  </r>
  <r>
    <n v="8270"/>
    <x v="29"/>
    <x v="29"/>
    <m/>
    <m/>
    <n v="21"/>
    <x v="3"/>
    <n v="2767"/>
    <x v="7"/>
    <m/>
    <x v="0"/>
    <m/>
    <m/>
    <m/>
    <m/>
    <n v="1"/>
    <n v="1"/>
    <n v="1"/>
    <n v="1"/>
    <m/>
    <m/>
    <d v="2025-01-01T00:00:00"/>
    <d v="1899-12-31T00:00:00"/>
    <d v="2025-01-31T00:00:00"/>
    <x v="3"/>
    <m/>
    <s v="&lt;p&gt; ** PROCESO Implementación del sistema de cobro de calle en ODOO. Luis Polanco fue el solicitante **  ** &lt;/p&gt;"/>
    <n v="8270"/>
    <n v="68401"/>
    <s v="Se creo el WebService Solicitado"/>
    <x v="25"/>
    <n v="4"/>
    <d v="1899-12-30T04:00:00"/>
    <d v="2025-02-07T00:00:00"/>
  </r>
  <r>
    <n v="8270"/>
    <x v="29"/>
    <x v="29"/>
    <m/>
    <m/>
    <n v="21"/>
    <x v="3"/>
    <n v="2767"/>
    <x v="7"/>
    <m/>
    <x v="0"/>
    <m/>
    <m/>
    <m/>
    <m/>
    <n v="1"/>
    <n v="1"/>
    <n v="1"/>
    <n v="1"/>
    <m/>
    <m/>
    <d v="2025-01-01T00:00:00"/>
    <d v="1899-12-31T00:00:00"/>
    <d v="2025-01-31T00:00:00"/>
    <x v="3"/>
    <m/>
    <s v="&lt;p&gt; ** PROCESO Implementación del sistema de cobro de calle en ODOO. Luis Polanco fue el solicitante **  ** &lt;/p&gt;"/>
    <n v="8270"/>
    <n v="68398"/>
    <s v="Se creo el WebService Solicitado"/>
    <x v="26"/>
    <n v="4"/>
    <d v="1899-12-30T04:00:00"/>
    <d v="2025-02-07T00:00:00"/>
  </r>
  <r>
    <n v="8420"/>
    <x v="30"/>
    <x v="30"/>
    <n v="247857"/>
    <s v="ARNALDO RENE COTTO STREMS"/>
    <n v="28"/>
    <x v="2"/>
    <m/>
    <x v="2"/>
    <s v="x"/>
    <x v="0"/>
    <m/>
    <m/>
    <m/>
    <m/>
    <n v="3"/>
    <n v="3"/>
    <n v="1"/>
    <n v="1"/>
    <m/>
    <m/>
    <d v="2025-01-01T00:00:00"/>
    <d v="1899-12-31T00:00:00"/>
    <d v="2025-04-14T00:00:00"/>
    <x v="6"/>
    <m/>
    <s v="&lt;p&gt;CONSULTA EN SISTEMA DE PEDIDOS DISTRIBUIDORES - KRAS ** Consulta de estados de cuenta por el cliente en la web. Desde la página de pedidos del distribuidor se podrá accesar a la página de estados de cuenta&lt;/p&gt;&lt;p&gt;PENDIENTE DE ASIGNAR MARVIN VARGAS&lt;/p&gt;"/>
    <m/>
    <m/>
    <m/>
    <x v="5"/>
    <m/>
    <m/>
    <m/>
  </r>
  <r>
    <n v="8421"/>
    <x v="31"/>
    <x v="31"/>
    <n v="247722"/>
    <s v="RICARDO ALFONSO ESCOBEDO DACARET"/>
    <n v="28"/>
    <x v="2"/>
    <n v="2767"/>
    <x v="7"/>
    <s v="x"/>
    <x v="0"/>
    <m/>
    <m/>
    <m/>
    <m/>
    <n v="1"/>
    <n v="1"/>
    <n v="3"/>
    <n v="3"/>
    <m/>
    <m/>
    <d v="2025-01-01T00:00:00"/>
    <d v="1899-12-31T00:00:00"/>
    <d v="2025-03-28T00:00:00"/>
    <x v="7"/>
    <m/>
    <s v="&lt;p&gt;PROCESO ** KPIS de rendimiento para personal de créditos y cobros&lt;/p&gt;"/>
    <m/>
    <m/>
    <m/>
    <x v="5"/>
    <m/>
    <m/>
    <m/>
  </r>
  <r>
    <n v="8422"/>
    <x v="32"/>
    <x v="32"/>
    <n v="247374"/>
    <s v="LUIS PEDRO LOPEZ RODAS"/>
    <n v="28"/>
    <x v="2"/>
    <m/>
    <x v="2"/>
    <s v="x"/>
    <x v="0"/>
    <m/>
    <m/>
    <m/>
    <m/>
    <n v="2"/>
    <n v="2"/>
    <n v="2"/>
    <n v="2"/>
    <m/>
    <m/>
    <d v="2025-01-01T00:00:00"/>
    <d v="1899-12-31T00:00:00"/>
    <d v="2025-03-28T00:00:00"/>
    <x v="8"/>
    <m/>
    <s v="&lt;p&gt;PROCESO ** Seguimiento al proceso de entrega y preparación de vehículos, realizar webservices con SAP&lt;/p&gt;&lt;p&gt;PENDIENTE DE ASIGNAR MARVIN VARGAS&lt;/p&gt;"/>
    <m/>
    <m/>
    <m/>
    <x v="5"/>
    <m/>
    <m/>
    <m/>
  </r>
  <r>
    <n v="8423"/>
    <x v="33"/>
    <x v="33"/>
    <n v="247828"/>
    <s v="DOUGLAS ALEJANDRO MALDONADO DUMAS"/>
    <n v="28"/>
    <x v="2"/>
    <m/>
    <x v="2"/>
    <s v="x"/>
    <x v="0"/>
    <m/>
    <m/>
    <m/>
    <m/>
    <n v="2"/>
    <n v="2"/>
    <n v="2"/>
    <n v="2"/>
    <m/>
    <m/>
    <d v="2025-01-01T00:00:00"/>
    <d v="1899-12-31T00:00:00"/>
    <d v="2025-03-28T00:00:00"/>
    <x v="6"/>
    <m/>
    <s v="&lt;p&gt;PROCESO ** Conexión a SAP para retroalimentación de etapas de reparación de un vehículo&lt;/p&gt;&lt;p&gt;PENDIENTE DE ASIGNAR MARVIN VARGAS&lt;/p&gt;"/>
    <m/>
    <m/>
    <m/>
    <x v="5"/>
    <m/>
    <m/>
    <m/>
  </r>
  <r>
    <n v="8328"/>
    <x v="34"/>
    <x v="34"/>
    <n v="246933"/>
    <s v="EDWARD ANTONY GARCIA ALVARADO"/>
    <n v="30"/>
    <x v="0"/>
    <n v="2767"/>
    <x v="7"/>
    <s v="x"/>
    <x v="0"/>
    <m/>
    <m/>
    <m/>
    <m/>
    <n v="1"/>
    <n v="1"/>
    <n v="2"/>
    <n v="2"/>
    <m/>
    <m/>
    <d v="2025-01-01T00:00:00"/>
    <d v="1899-12-31T00:00:00"/>
    <d v="2025-03-28T00:00:00"/>
    <x v="2"/>
    <m/>
    <m/>
    <n v="8328"/>
    <n v="77064"/>
    <s v="Creación de SP para obtener las facturas con exento de IVA e ISR"/>
    <x v="27"/>
    <n v="0"/>
    <d v="1899-12-30T00:00:00"/>
    <d v="2025-03-11T00:00:00"/>
  </r>
  <r>
    <n v="8328"/>
    <x v="34"/>
    <x v="34"/>
    <n v="246933"/>
    <s v="EDWARD ANTONY GARCIA ALVARADO"/>
    <n v="30"/>
    <x v="0"/>
    <n v="2767"/>
    <x v="7"/>
    <m/>
    <x v="0"/>
    <m/>
    <m/>
    <m/>
    <m/>
    <n v="1"/>
    <n v="1"/>
    <n v="2"/>
    <n v="2"/>
    <m/>
    <m/>
    <d v="2025-01-01T00:00:00"/>
    <d v="1899-12-31T00:00:00"/>
    <d v="2025-03-28T00:00:00"/>
    <x v="2"/>
    <m/>
    <m/>
    <n v="8328"/>
    <n v="77062"/>
    <s v="Creacion del excel con los campos solicitados"/>
    <x v="28"/>
    <n v="4"/>
    <d v="1899-12-30T04:00:00"/>
    <d v="2025-03-11T00:00:00"/>
  </r>
  <r>
    <n v="8328"/>
    <x v="34"/>
    <x v="34"/>
    <n v="246933"/>
    <s v="EDWARD ANTONY GARCIA ALVARADO"/>
    <n v="30"/>
    <x v="0"/>
    <n v="2767"/>
    <x v="7"/>
    <m/>
    <x v="0"/>
    <m/>
    <m/>
    <m/>
    <m/>
    <n v="1"/>
    <n v="1"/>
    <n v="2"/>
    <n v="2"/>
    <m/>
    <m/>
    <d v="2025-01-01T00:00:00"/>
    <d v="1899-12-31T00:00:00"/>
    <d v="2025-03-28T00:00:00"/>
    <x v="2"/>
    <m/>
    <m/>
    <n v="8328"/>
    <n v="76251"/>
    <s v="Ver a que documento se les va aplicar la plantilla"/>
    <x v="29"/>
    <n v="0.5"/>
    <d v="1899-12-30T00:30:00"/>
    <d v="2025-03-07T00:00:00"/>
  </r>
  <r>
    <n v="8328"/>
    <x v="34"/>
    <x v="34"/>
    <n v="246933"/>
    <s v="EDWARD ANTONY GARCIA ALVARADO"/>
    <n v="30"/>
    <x v="0"/>
    <n v="2767"/>
    <x v="7"/>
    <m/>
    <x v="0"/>
    <m/>
    <m/>
    <m/>
    <m/>
    <n v="1"/>
    <n v="1"/>
    <n v="2"/>
    <n v="2"/>
    <m/>
    <m/>
    <d v="2025-01-01T00:00:00"/>
    <d v="1899-12-31T00:00:00"/>
    <d v="2025-03-28T00:00:00"/>
    <x v="2"/>
    <m/>
    <m/>
    <n v="8328"/>
    <n v="76250"/>
    <s v="verificar los campos que se van a utilizar para la plantilla"/>
    <x v="29"/>
    <n v="2"/>
    <d v="1899-12-30T02:00:00"/>
    <d v="2025-03-07T00:00:00"/>
  </r>
  <r>
    <n v="8426"/>
    <x v="35"/>
    <x v="35"/>
    <n v="289092"/>
    <s v="CESAR ORLANDO MARTINEZ ABAL"/>
    <n v="21"/>
    <x v="3"/>
    <n v="3203"/>
    <x v="8"/>
    <s v="x"/>
    <x v="1"/>
    <m/>
    <m/>
    <m/>
    <m/>
    <n v="1"/>
    <n v="1"/>
    <n v="1"/>
    <n v="1"/>
    <m/>
    <m/>
    <d v="2025-01-01T00:00:00"/>
    <d v="1899-12-31T00:00:00"/>
    <d v="2025-01-31T00:00:00"/>
    <x v="6"/>
    <m/>
    <s v="&lt;p&gt;WMS  ** Implementación de WMS en Elisur. Las otras bodegas serán tickets adicionales (Bodega zona4, Taller Automotriz, Bodega Hyundai)&lt;/p&gt;"/>
    <m/>
    <m/>
    <m/>
    <x v="5"/>
    <m/>
    <m/>
    <m/>
  </r>
  <r>
    <n v="8428"/>
    <x v="36"/>
    <x v="36"/>
    <n v="289092"/>
    <s v="CESAR ORLANDO MARTINEZ ABAL"/>
    <n v="21"/>
    <x v="3"/>
    <n v="3203"/>
    <x v="8"/>
    <s v="x"/>
    <x v="1"/>
    <m/>
    <m/>
    <m/>
    <m/>
    <n v="1"/>
    <n v="1"/>
    <n v="1"/>
    <n v="1"/>
    <m/>
    <m/>
    <d v="2025-01-01T00:00:00"/>
    <d v="1899-12-31T00:00:00"/>
    <d v="2025-01-24T00:00:00"/>
    <x v="12"/>
    <m/>
    <s v="&lt;p&gt;ENSAMBLE DE MOTOS   - KRAS ** Implementación del Módulo de Ensamble de Motocicletas en Elizur Fase 1&lt;/p&gt;"/>
    <m/>
    <m/>
    <m/>
    <x v="5"/>
    <m/>
    <m/>
    <m/>
  </r>
  <r>
    <n v="8429"/>
    <x v="37"/>
    <x v="37"/>
    <n v="247904"/>
    <s v="MIRNA LISSETTE ARRECIS ROSALES"/>
    <n v="28"/>
    <x v="2"/>
    <n v="312"/>
    <x v="9"/>
    <s v="x"/>
    <x v="0"/>
    <m/>
    <m/>
    <m/>
    <m/>
    <n v="1"/>
    <n v="1"/>
    <n v="1"/>
    <n v="1"/>
    <m/>
    <m/>
    <d v="2025-01-01T00:00:00"/>
    <d v="1899-12-31T00:00:00"/>
    <d v="2025-07-31T00:00:00"/>
    <x v="13"/>
    <m/>
    <s v="&lt;p&gt;PROCESO ** Implementación de EVOLUTION sistema de RRHH&lt;/p&gt;"/>
    <m/>
    <m/>
    <m/>
    <x v="5"/>
    <m/>
    <m/>
    <m/>
  </r>
  <r>
    <n v="8306"/>
    <x v="38"/>
    <x v="38"/>
    <m/>
    <m/>
    <n v="28"/>
    <x v="2"/>
    <n v="3204"/>
    <x v="10"/>
    <s v="x"/>
    <x v="0"/>
    <m/>
    <m/>
    <m/>
    <m/>
    <n v="1"/>
    <n v="1"/>
    <n v="3"/>
    <n v="3"/>
    <m/>
    <m/>
    <d v="2025-01-01T00:00:00"/>
    <d v="1899-12-31T00:00:00"/>
    <d v="2025-03-28T00:00:00"/>
    <x v="2"/>
    <m/>
    <m/>
    <m/>
    <m/>
    <m/>
    <x v="5"/>
    <m/>
    <m/>
    <m/>
  </r>
  <r>
    <n v="8430"/>
    <x v="39"/>
    <x v="39"/>
    <n v="247885"/>
    <s v="AMABILIA MARISOL RECINOS ARGUETA"/>
    <n v="28"/>
    <x v="2"/>
    <n v="312"/>
    <x v="9"/>
    <s v="x"/>
    <x v="0"/>
    <m/>
    <m/>
    <m/>
    <m/>
    <n v="1"/>
    <n v="1"/>
    <n v="1"/>
    <n v="1"/>
    <m/>
    <m/>
    <d v="2025-01-01T00:00:00"/>
    <d v="1899-12-31T00:00:00"/>
    <d v="2025-04-13T00:00:00"/>
    <x v="14"/>
    <m/>
    <s v="&lt;p&gt;PROCESO ** Implementación de SAP 10 para la Empresa Canella&lt;/p&gt;"/>
    <m/>
    <m/>
    <m/>
    <x v="5"/>
    <m/>
    <m/>
    <m/>
  </r>
  <r>
    <n v="8431"/>
    <x v="40"/>
    <x v="40"/>
    <n v="247885"/>
    <s v="AMABILIA MARISOL RECINOS ARGUETA"/>
    <n v="28"/>
    <x v="2"/>
    <n v="312"/>
    <x v="9"/>
    <s v="x"/>
    <x v="0"/>
    <m/>
    <m/>
    <m/>
    <m/>
    <n v="1"/>
    <n v="1"/>
    <n v="1"/>
    <n v="1"/>
    <m/>
    <m/>
    <d v="2025-01-01T00:00:00"/>
    <d v="1899-12-31T00:00:00"/>
    <d v="2025-04-13T00:00:00"/>
    <x v="15"/>
    <m/>
    <s v="&lt;p&gt;PROCESO ** Seguimiento al Sistema SAP para mejorar la estabilidad, bloqueos y mejoras en redimiento. Identificar procesos clave y hacer un plan de trabajo&lt;/p&gt;"/>
    <m/>
    <m/>
    <m/>
    <x v="5"/>
    <m/>
    <m/>
    <m/>
  </r>
  <r>
    <n v="8432"/>
    <x v="41"/>
    <x v="41"/>
    <n v="247828"/>
    <s v="DOUGLAS ALEJANDRO MALDONADO DUMAS"/>
    <n v="21"/>
    <x v="3"/>
    <n v="3234"/>
    <x v="11"/>
    <s v="x"/>
    <x v="0"/>
    <m/>
    <m/>
    <m/>
    <m/>
    <n v="1"/>
    <n v="1"/>
    <n v="1"/>
    <n v="1"/>
    <m/>
    <m/>
    <d v="2025-01-01T00:00:00"/>
    <d v="1899-12-31T00:00:00"/>
    <d v="2025-01-31T00:00:00"/>
    <x v="3"/>
    <m/>
    <s v="&lt;p&gt;PANTALLA  ** Creación de pantalla para cambiar códigos de artículos que tengan pase en el contrato, debido que a la hora de despachar no cuentan con el artículo.  &lt;/p&gt;"/>
    <m/>
    <m/>
    <m/>
    <x v="5"/>
    <m/>
    <m/>
    <m/>
  </r>
  <r>
    <n v="8433"/>
    <x v="42"/>
    <x v="42"/>
    <n v="247857"/>
    <s v="ARNALDO RENE COTTO STREMS"/>
    <n v="22"/>
    <x v="4"/>
    <n v="3234"/>
    <x v="11"/>
    <s v="x"/>
    <x v="0"/>
    <m/>
    <m/>
    <m/>
    <m/>
    <n v="3"/>
    <n v="3"/>
    <n v="1"/>
    <n v="1"/>
    <m/>
    <m/>
    <d v="2025-01-01T00:00:00"/>
    <d v="1899-12-31T00:00:00"/>
    <d v="2025-02-28T00:00:00"/>
    <x v="6"/>
    <m/>
    <s v="&lt;p&gt;MODULO DE COMISIONES ** Creación de modulo de comisiones con las indicaciones de Auditoría y Gerencia&lt;/p&gt;"/>
    <n v="8433"/>
    <n v="72119"/>
    <s v="Cambio en procedimientos almacenados para insertar, actualizar y mostrar informacion"/>
    <x v="16"/>
    <n v="4"/>
    <d v="1899-12-30T04:00:00"/>
    <d v="2025-02-20T00:00:00"/>
  </r>
  <r>
    <n v="8433"/>
    <x v="42"/>
    <x v="42"/>
    <n v="247857"/>
    <s v="ARNALDO RENE COTTO STREMS"/>
    <n v="22"/>
    <x v="4"/>
    <n v="3234"/>
    <x v="11"/>
    <m/>
    <x v="0"/>
    <m/>
    <m/>
    <m/>
    <m/>
    <n v="3"/>
    <n v="3"/>
    <n v="1"/>
    <n v="1"/>
    <m/>
    <m/>
    <d v="2025-01-01T00:00:00"/>
    <d v="1899-12-31T00:00:00"/>
    <d v="2025-02-28T00:00:00"/>
    <x v="6"/>
    <m/>
    <s v="&lt;p&gt;MODULO DE COMISIONES ** Creación de modulo de comisiones con las indicaciones de Auditoría y Gerencia&lt;/p&gt;"/>
    <n v="8433"/>
    <n v="72118"/>
    <s v="Cambio de diseño en pantalla de ingreso de indicadores por cantidades"/>
    <x v="17"/>
    <n v="4"/>
    <d v="1899-12-30T04:00:00"/>
    <d v="2025-02-20T00:00:00"/>
  </r>
  <r>
    <n v="8433"/>
    <x v="42"/>
    <x v="42"/>
    <n v="247857"/>
    <s v="ARNALDO RENE COTTO STREMS"/>
    <n v="22"/>
    <x v="4"/>
    <n v="3234"/>
    <x v="11"/>
    <m/>
    <x v="0"/>
    <m/>
    <m/>
    <m/>
    <m/>
    <n v="3"/>
    <n v="3"/>
    <n v="1"/>
    <n v="1"/>
    <m/>
    <m/>
    <d v="2025-01-01T00:00:00"/>
    <d v="1899-12-31T00:00:00"/>
    <d v="2025-02-28T00:00:00"/>
    <x v="6"/>
    <m/>
    <s v="&lt;p&gt;MODULO DE COMISIONES ** Creación de modulo de comisiones con las indicaciones de Auditoría y Gerencia&lt;/p&gt;"/>
    <n v="8433"/>
    <n v="72117"/>
    <s v="Cambio en estilo de tabla de maestro a detalle"/>
    <x v="30"/>
    <n v="3"/>
    <d v="1899-12-30T03:00:00"/>
    <d v="2025-02-20T00:00:00"/>
  </r>
  <r>
    <n v="8434"/>
    <x v="43"/>
    <x v="43"/>
    <n v="247722"/>
    <s v="RICARDO ALFONSO ESCOBEDO DACARET"/>
    <n v="21"/>
    <x v="3"/>
    <n v="3234"/>
    <x v="11"/>
    <s v="x"/>
    <x v="0"/>
    <m/>
    <m/>
    <m/>
    <m/>
    <n v="1"/>
    <n v="1"/>
    <n v="1"/>
    <n v="1"/>
    <m/>
    <m/>
    <d v="2025-01-01T00:00:00"/>
    <d v="1899-12-31T00:00:00"/>
    <d v="2025-01-31T00:00:00"/>
    <x v="3"/>
    <m/>
    <s v="&lt;p&gt;PROCESO ** Necesitamos realizar un desarrollo en SAP, practicamente es que cuando un cliente con facturas en mora se ponga al día, el sistema lo desbloquee en automático sin la intervención de Créditos. Edward Garcia fue el solicitante&lt;/p&gt;"/>
    <m/>
    <m/>
    <m/>
    <x v="5"/>
    <m/>
    <m/>
    <m/>
  </r>
  <r>
    <n v="8435"/>
    <x v="44"/>
    <x v="44"/>
    <n v="247828"/>
    <s v="DOUGLAS ALEJANDRO MALDONADO DUMAS"/>
    <n v="27"/>
    <x v="5"/>
    <n v="3234"/>
    <x v="11"/>
    <s v="x"/>
    <x v="0"/>
    <m/>
    <m/>
    <m/>
    <m/>
    <n v="3"/>
    <n v="3"/>
    <n v="3"/>
    <n v="3"/>
    <m/>
    <m/>
    <d v="2025-01-01T00:00:00"/>
    <d v="1899-12-31T00:00:00"/>
    <d v="2025-03-10T00:00:00"/>
    <x v="9"/>
    <m/>
    <s v="&lt;p&gt;PROCESO  ** Implementación tarifario de mano de obra Isuzu (Esto está detenido por Douglas porque necesita un reporte de líneas de vehículo de José Roberto para depurar las líneas en SAP)&lt;/p&gt;"/>
    <m/>
    <m/>
    <m/>
    <x v="5"/>
    <m/>
    <m/>
    <m/>
  </r>
  <r>
    <n v="8436"/>
    <x v="45"/>
    <x v="45"/>
    <n v="247857"/>
    <s v="ARNALDO RENE COTTO STREMS"/>
    <n v="21"/>
    <x v="3"/>
    <n v="3234"/>
    <x v="11"/>
    <s v="x"/>
    <x v="0"/>
    <m/>
    <m/>
    <m/>
    <m/>
    <n v="1"/>
    <n v="1"/>
    <n v="1"/>
    <n v="1"/>
    <m/>
    <m/>
    <d v="2025-01-01T00:00:00"/>
    <d v="1899-12-31T00:00:00"/>
    <d v="2025-02-14T00:00:00"/>
    <x v="16"/>
    <m/>
    <s v="&lt;p&gt;REPORTE ** Realizar un reporte de Inventario con las columnas indicadas por Rene Cotto&lt;/p&gt;"/>
    <m/>
    <m/>
    <m/>
    <x v="5"/>
    <m/>
    <m/>
    <m/>
  </r>
  <r>
    <n v="8437"/>
    <x v="46"/>
    <x v="46"/>
    <n v="247828"/>
    <s v="DOUGLAS ALEJANDRO MALDONADO DUMAS"/>
    <n v="27"/>
    <x v="5"/>
    <n v="3234"/>
    <x v="11"/>
    <s v="x"/>
    <x v="0"/>
    <m/>
    <m/>
    <m/>
    <m/>
    <n v="3"/>
    <n v="3"/>
    <n v="1"/>
    <n v="1"/>
    <m/>
    <m/>
    <d v="2025-01-01T00:00:00"/>
    <d v="1899-12-31T00:00:00"/>
    <d v="2025-02-28T00:00:00"/>
    <x v="11"/>
    <m/>
    <s v="&lt;p&gt;PROCESO  ** Cambio de códigos de mano de obra en el módulo de contratos de mantenimiento para salir en vivo con el tarifario de mano de obra isuzu (en espera de listado de códigos de parte de Douglas).&lt;/p&gt;"/>
    <m/>
    <m/>
    <m/>
    <x v="5"/>
    <m/>
    <m/>
    <m/>
  </r>
  <r>
    <n v="8255"/>
    <x v="47"/>
    <x v="47"/>
    <m/>
    <m/>
    <n v="21"/>
    <x v="3"/>
    <n v="3201"/>
    <x v="12"/>
    <s v="x"/>
    <x v="1"/>
    <m/>
    <m/>
    <m/>
    <m/>
    <n v="1"/>
    <n v="1"/>
    <n v="1"/>
    <n v="1"/>
    <m/>
    <m/>
    <d v="2025-01-20T00:00:00"/>
    <d v="1899-12-31T00:00:00"/>
    <d v="2025-01-31T00:00:00"/>
    <x v="3"/>
    <m/>
    <m/>
    <n v="8255"/>
    <n v="67456"/>
    <s v="Elaboración de guía rápida de usuario y envío a dueño del proyecto para validar finalización del proceso"/>
    <x v="31"/>
    <n v="2"/>
    <d v="1899-12-30T02:00:00"/>
    <d v="2025-02-03T00:00:00"/>
  </r>
  <r>
    <n v="8255"/>
    <x v="47"/>
    <x v="47"/>
    <m/>
    <m/>
    <n v="21"/>
    <x v="3"/>
    <n v="3201"/>
    <x v="12"/>
    <m/>
    <x v="1"/>
    <m/>
    <m/>
    <m/>
    <m/>
    <n v="1"/>
    <n v="1"/>
    <n v="1"/>
    <n v="1"/>
    <m/>
    <m/>
    <d v="2025-01-20T00:00:00"/>
    <d v="1899-12-31T00:00:00"/>
    <d v="2025-01-31T00:00:00"/>
    <x v="3"/>
    <m/>
    <m/>
    <n v="8255"/>
    <n v="67445"/>
    <s v="Generación de reporte y reunión con usuario para validación"/>
    <x v="31"/>
    <n v="2"/>
    <d v="1899-12-30T02:00:00"/>
    <d v="2025-02-03T00:00:00"/>
  </r>
  <r>
    <n v="8255"/>
    <x v="47"/>
    <x v="47"/>
    <m/>
    <m/>
    <n v="21"/>
    <x v="3"/>
    <n v="3201"/>
    <x v="12"/>
    <m/>
    <x v="1"/>
    <m/>
    <m/>
    <m/>
    <m/>
    <n v="1"/>
    <n v="1"/>
    <n v="1"/>
    <n v="1"/>
    <m/>
    <m/>
    <d v="2025-01-20T00:00:00"/>
    <d v="1899-12-31T00:00:00"/>
    <d v="2025-01-31T00:00:00"/>
    <x v="3"/>
    <m/>
    <m/>
    <n v="8255"/>
    <n v="67444"/>
    <s v="Pruebas y validación de proceso de digitalización, extracción de datos, almacenamiento y procesamiento de facturas"/>
    <x v="31"/>
    <n v="3"/>
    <d v="1899-12-30T03:00:00"/>
    <d v="2025-02-03T00:00:00"/>
  </r>
  <r>
    <n v="8255"/>
    <x v="47"/>
    <x v="47"/>
    <m/>
    <m/>
    <n v="21"/>
    <x v="3"/>
    <n v="3201"/>
    <x v="12"/>
    <m/>
    <x v="1"/>
    <m/>
    <m/>
    <m/>
    <m/>
    <n v="1"/>
    <n v="1"/>
    <n v="1"/>
    <n v="1"/>
    <m/>
    <m/>
    <d v="2025-01-20T00:00:00"/>
    <d v="1899-12-31T00:00:00"/>
    <d v="2025-01-31T00:00:00"/>
    <x v="3"/>
    <m/>
    <m/>
    <n v="8255"/>
    <n v="67443"/>
    <s v="Creación y pruebas de proceso para validar facturas procesadas"/>
    <x v="20"/>
    <n v="1"/>
    <d v="1899-12-30T01:00:00"/>
    <d v="2025-02-03T00:00:00"/>
  </r>
  <r>
    <n v="8255"/>
    <x v="47"/>
    <x v="47"/>
    <m/>
    <m/>
    <n v="21"/>
    <x v="3"/>
    <n v="3201"/>
    <x v="12"/>
    <m/>
    <x v="1"/>
    <m/>
    <m/>
    <m/>
    <m/>
    <n v="1"/>
    <n v="1"/>
    <n v="1"/>
    <n v="1"/>
    <m/>
    <m/>
    <d v="2025-01-20T00:00:00"/>
    <d v="1899-12-31T00:00:00"/>
    <d v="2025-01-31T00:00:00"/>
    <x v="3"/>
    <m/>
    <m/>
    <n v="8255"/>
    <n v="66002"/>
    <s v="Generación de reportes para validación del usuario"/>
    <x v="20"/>
    <n v="2"/>
    <d v="1899-12-30T02:00:00"/>
    <d v="2025-01-29T00:00:00"/>
  </r>
  <r>
    <n v="8255"/>
    <x v="47"/>
    <x v="47"/>
    <m/>
    <m/>
    <n v="21"/>
    <x v="3"/>
    <n v="3201"/>
    <x v="12"/>
    <m/>
    <x v="1"/>
    <m/>
    <m/>
    <m/>
    <m/>
    <n v="1"/>
    <n v="1"/>
    <n v="1"/>
    <n v="1"/>
    <m/>
    <m/>
    <d v="2025-01-20T00:00:00"/>
    <d v="1899-12-31T00:00:00"/>
    <d v="2025-01-31T00:00:00"/>
    <x v="3"/>
    <m/>
    <m/>
    <n v="8255"/>
    <n v="66000"/>
    <s v="Actualización de status de factura a Procesada"/>
    <x v="22"/>
    <n v="0.75"/>
    <d v="1899-12-30T00:45:00"/>
    <d v="2025-01-29T00:00:00"/>
  </r>
  <r>
    <n v="8255"/>
    <x v="47"/>
    <x v="47"/>
    <m/>
    <m/>
    <n v="21"/>
    <x v="3"/>
    <n v="3201"/>
    <x v="12"/>
    <m/>
    <x v="1"/>
    <m/>
    <m/>
    <m/>
    <m/>
    <n v="1"/>
    <n v="1"/>
    <n v="1"/>
    <n v="1"/>
    <m/>
    <m/>
    <d v="2025-01-20T00:00:00"/>
    <d v="1899-12-31T00:00:00"/>
    <d v="2025-01-31T00:00:00"/>
    <x v="3"/>
    <m/>
    <m/>
    <n v="8255"/>
    <n v="65999"/>
    <s v="Proceso para mover facturas a carpeta de Procesados a carpeta validando mes y año de factura"/>
    <x v="22"/>
    <n v="1.5"/>
    <d v="1899-12-30T01:30:00"/>
    <d v="2025-01-29T00:00:00"/>
  </r>
  <r>
    <n v="8255"/>
    <x v="47"/>
    <x v="47"/>
    <m/>
    <m/>
    <n v="21"/>
    <x v="3"/>
    <n v="3201"/>
    <x v="12"/>
    <m/>
    <x v="1"/>
    <m/>
    <m/>
    <m/>
    <m/>
    <n v="1"/>
    <n v="1"/>
    <n v="1"/>
    <n v="1"/>
    <m/>
    <m/>
    <d v="2025-01-20T00:00:00"/>
    <d v="1899-12-31T00:00:00"/>
    <d v="2025-01-31T00:00:00"/>
    <x v="3"/>
    <m/>
    <m/>
    <n v="8255"/>
    <n v="65998"/>
    <s v="Generación de sintaxis de búsqueda de facturas sin procesar"/>
    <x v="22"/>
    <n v="0.5"/>
    <d v="1899-12-30T00:30:00"/>
    <d v="2025-01-29T00:00:00"/>
  </r>
  <r>
    <n v="8255"/>
    <x v="47"/>
    <x v="47"/>
    <m/>
    <m/>
    <n v="21"/>
    <x v="3"/>
    <n v="3201"/>
    <x v="12"/>
    <m/>
    <x v="1"/>
    <m/>
    <m/>
    <m/>
    <m/>
    <n v="1"/>
    <n v="1"/>
    <n v="1"/>
    <n v="1"/>
    <m/>
    <m/>
    <d v="2025-01-20T00:00:00"/>
    <d v="1899-12-31T00:00:00"/>
    <d v="2025-01-31T00:00:00"/>
    <x v="3"/>
    <m/>
    <m/>
    <n v="8255"/>
    <n v="65997"/>
    <s v="Configuración de accesos y seguridad en carpetas"/>
    <x v="22"/>
    <n v="1"/>
    <d v="1899-12-30T01:00:00"/>
    <d v="2025-01-29T00:00:00"/>
  </r>
  <r>
    <n v="8255"/>
    <x v="47"/>
    <x v="47"/>
    <m/>
    <m/>
    <n v="21"/>
    <x v="3"/>
    <n v="3201"/>
    <x v="12"/>
    <m/>
    <x v="1"/>
    <m/>
    <m/>
    <m/>
    <m/>
    <n v="1"/>
    <n v="1"/>
    <n v="1"/>
    <n v="1"/>
    <m/>
    <m/>
    <d v="2025-01-20T00:00:00"/>
    <d v="1899-12-31T00:00:00"/>
    <d v="2025-01-31T00:00:00"/>
    <x v="3"/>
    <m/>
    <m/>
    <n v="8255"/>
    <n v="65996"/>
    <s v="Generación de estructura de carpetas para almacenamiento"/>
    <x v="22"/>
    <n v="0.5"/>
    <d v="1899-12-30T00:30:00"/>
    <d v="2025-01-29T00:00:00"/>
  </r>
  <r>
    <n v="8255"/>
    <x v="47"/>
    <x v="47"/>
    <m/>
    <m/>
    <n v="21"/>
    <x v="3"/>
    <n v="3201"/>
    <x v="12"/>
    <m/>
    <x v="1"/>
    <m/>
    <m/>
    <m/>
    <m/>
    <n v="1"/>
    <n v="1"/>
    <n v="1"/>
    <n v="1"/>
    <m/>
    <m/>
    <d v="2025-01-20T00:00:00"/>
    <d v="1899-12-31T00:00:00"/>
    <d v="2025-01-31T00:00:00"/>
    <x v="3"/>
    <m/>
    <m/>
    <n v="8255"/>
    <n v="65995"/>
    <s v="Análisis de estructura de carpetas para almacenamiento de facturas"/>
    <x v="22"/>
    <n v="0.5"/>
    <d v="1899-12-30T00:30:00"/>
    <d v="2025-01-29T00:00:00"/>
  </r>
  <r>
    <n v="8255"/>
    <x v="47"/>
    <x v="47"/>
    <m/>
    <m/>
    <n v="21"/>
    <x v="3"/>
    <n v="3201"/>
    <x v="12"/>
    <m/>
    <x v="1"/>
    <m/>
    <m/>
    <m/>
    <m/>
    <n v="1"/>
    <n v="1"/>
    <n v="1"/>
    <n v="1"/>
    <m/>
    <m/>
    <d v="2025-01-20T00:00:00"/>
    <d v="1899-12-31T00:00:00"/>
    <d v="2025-01-31T00:00:00"/>
    <x v="3"/>
    <m/>
    <m/>
    <n v="8255"/>
    <n v="65980"/>
    <s v="Creación de plantilla y metadatos"/>
    <x v="22"/>
    <n v="0.75"/>
    <d v="1899-12-30T00:45:00"/>
    <d v="2025-01-29T00:00:00"/>
  </r>
  <r>
    <n v="8255"/>
    <x v="47"/>
    <x v="47"/>
    <m/>
    <m/>
    <n v="21"/>
    <x v="3"/>
    <n v="3201"/>
    <x v="12"/>
    <m/>
    <x v="1"/>
    <m/>
    <m/>
    <m/>
    <m/>
    <n v="1"/>
    <n v="1"/>
    <n v="1"/>
    <n v="1"/>
    <m/>
    <m/>
    <d v="2025-01-20T00:00:00"/>
    <d v="1899-12-31T00:00:00"/>
    <d v="2025-01-31T00:00:00"/>
    <x v="3"/>
    <m/>
    <m/>
    <n v="8255"/>
    <n v="65814"/>
    <s v="Configuración de seguridad y accesos en plantilla de metadatos"/>
    <x v="22"/>
    <n v="0.5"/>
    <d v="1899-12-30T00:30:00"/>
    <d v="2025-01-28T00:00:00"/>
  </r>
  <r>
    <n v="8255"/>
    <x v="47"/>
    <x v="47"/>
    <m/>
    <m/>
    <n v="21"/>
    <x v="3"/>
    <n v="3201"/>
    <x v="12"/>
    <m/>
    <x v="1"/>
    <m/>
    <m/>
    <m/>
    <m/>
    <n v="1"/>
    <n v="1"/>
    <n v="1"/>
    <n v="1"/>
    <m/>
    <m/>
    <d v="2025-01-20T00:00:00"/>
    <d v="1899-12-31T00:00:00"/>
    <d v="2025-01-31T00:00:00"/>
    <x v="3"/>
    <m/>
    <m/>
    <n v="8255"/>
    <n v="65813"/>
    <s v="Análisis y definición de metadatos"/>
    <x v="22"/>
    <n v="0.5"/>
    <d v="1899-12-30T00:30:00"/>
    <d v="2025-01-28T00:00:00"/>
  </r>
  <r>
    <n v="8255"/>
    <x v="47"/>
    <x v="47"/>
    <m/>
    <m/>
    <n v="21"/>
    <x v="3"/>
    <n v="3201"/>
    <x v="12"/>
    <m/>
    <x v="1"/>
    <m/>
    <m/>
    <m/>
    <m/>
    <n v="1"/>
    <n v="1"/>
    <n v="1"/>
    <n v="1"/>
    <m/>
    <m/>
    <d v="2025-01-20T00:00:00"/>
    <d v="1899-12-31T00:00:00"/>
    <d v="2025-01-31T00:00:00"/>
    <x v="3"/>
    <m/>
    <m/>
    <n v="8255"/>
    <n v="65988"/>
    <s v="Asignación de datos de factura a plantilla de metadatos"/>
    <x v="32"/>
    <n v="0.5"/>
    <d v="1899-12-30T00:30:00"/>
    <d v="2025-01-29T00:00:00"/>
  </r>
  <r>
    <n v="8255"/>
    <x v="47"/>
    <x v="47"/>
    <m/>
    <m/>
    <n v="21"/>
    <x v="3"/>
    <n v="3201"/>
    <x v="12"/>
    <m/>
    <x v="1"/>
    <m/>
    <m/>
    <m/>
    <m/>
    <n v="1"/>
    <n v="1"/>
    <n v="1"/>
    <n v="1"/>
    <m/>
    <m/>
    <d v="2025-01-20T00:00:00"/>
    <d v="1899-12-31T00:00:00"/>
    <d v="2025-01-31T00:00:00"/>
    <x v="3"/>
    <m/>
    <m/>
    <n v="8255"/>
    <n v="65986"/>
    <s v="Pruebas de identificación de factura y extracción de datos de la factura"/>
    <x v="32"/>
    <n v="2"/>
    <d v="1899-12-30T02:00:00"/>
    <d v="2025-01-29T00:00:00"/>
  </r>
  <r>
    <n v="8255"/>
    <x v="47"/>
    <x v="47"/>
    <m/>
    <m/>
    <n v="21"/>
    <x v="3"/>
    <n v="3201"/>
    <x v="12"/>
    <m/>
    <x v="1"/>
    <m/>
    <m/>
    <m/>
    <m/>
    <n v="1"/>
    <n v="1"/>
    <n v="1"/>
    <n v="1"/>
    <m/>
    <m/>
    <d v="2025-01-20T00:00:00"/>
    <d v="1899-12-31T00:00:00"/>
    <d v="2025-01-31T00:00:00"/>
    <x v="3"/>
    <m/>
    <m/>
    <n v="8255"/>
    <n v="65985"/>
    <s v="Extracción de datos de factura con expresiones regulares"/>
    <x v="32"/>
    <n v="4"/>
    <d v="1899-12-30T04:00:00"/>
    <d v="2025-01-29T00:00:00"/>
  </r>
  <r>
    <n v="8255"/>
    <x v="47"/>
    <x v="47"/>
    <m/>
    <m/>
    <n v="21"/>
    <x v="3"/>
    <n v="3201"/>
    <x v="12"/>
    <m/>
    <x v="1"/>
    <m/>
    <m/>
    <m/>
    <m/>
    <n v="1"/>
    <n v="1"/>
    <n v="1"/>
    <n v="1"/>
    <m/>
    <m/>
    <d v="2025-01-20T00:00:00"/>
    <d v="1899-12-31T00:00:00"/>
    <d v="2025-01-31T00:00:00"/>
    <x v="3"/>
    <m/>
    <m/>
    <n v="8255"/>
    <n v="65987"/>
    <s v="Creación de variables para asignar datos de factura"/>
    <x v="33"/>
    <n v="0.5"/>
    <d v="1899-12-30T00:30:00"/>
    <d v="2025-01-29T00:00:00"/>
  </r>
  <r>
    <n v="8255"/>
    <x v="47"/>
    <x v="47"/>
    <m/>
    <m/>
    <n v="21"/>
    <x v="3"/>
    <n v="3201"/>
    <x v="12"/>
    <m/>
    <x v="1"/>
    <m/>
    <m/>
    <m/>
    <m/>
    <n v="1"/>
    <n v="1"/>
    <n v="1"/>
    <n v="1"/>
    <m/>
    <m/>
    <d v="2025-01-20T00:00:00"/>
    <d v="1899-12-31T00:00:00"/>
    <d v="2025-01-31T00:00:00"/>
    <x v="3"/>
    <m/>
    <m/>
    <n v="8255"/>
    <n v="65984"/>
    <s v="Condiciones para identificar primera página de factura"/>
    <x v="33"/>
    <n v="0.5"/>
    <d v="1899-12-30T00:30:00"/>
    <d v="2025-01-29T00:00:00"/>
  </r>
  <r>
    <n v="8255"/>
    <x v="47"/>
    <x v="47"/>
    <m/>
    <m/>
    <n v="21"/>
    <x v="3"/>
    <n v="3201"/>
    <x v="12"/>
    <m/>
    <x v="1"/>
    <m/>
    <m/>
    <m/>
    <m/>
    <n v="1"/>
    <n v="1"/>
    <n v="1"/>
    <n v="1"/>
    <m/>
    <m/>
    <d v="2025-01-20T00:00:00"/>
    <d v="1899-12-31T00:00:00"/>
    <d v="2025-01-31T00:00:00"/>
    <x v="3"/>
    <m/>
    <m/>
    <n v="8255"/>
    <n v="65983"/>
    <s v="Pruebas con formatos de OCR en Quick Fields"/>
    <x v="33"/>
    <n v="1.25"/>
    <d v="1899-12-30T01:15:00"/>
    <d v="2025-01-29T00:00:00"/>
  </r>
  <r>
    <n v="8255"/>
    <x v="47"/>
    <x v="47"/>
    <m/>
    <m/>
    <n v="21"/>
    <x v="3"/>
    <n v="3201"/>
    <x v="12"/>
    <m/>
    <x v="1"/>
    <m/>
    <m/>
    <m/>
    <m/>
    <n v="1"/>
    <n v="1"/>
    <n v="1"/>
    <n v="1"/>
    <m/>
    <m/>
    <d v="2025-01-20T00:00:00"/>
    <d v="1899-12-31T00:00:00"/>
    <d v="2025-01-31T00:00:00"/>
    <x v="3"/>
    <m/>
    <m/>
    <n v="8255"/>
    <n v="65982"/>
    <s v="Creación y configuración de clase en Quick Fields para las facturas de Seguridad"/>
    <x v="33"/>
    <n v="0.75"/>
    <d v="1899-12-30T00:45:00"/>
    <d v="2025-01-29T00:00:00"/>
  </r>
  <r>
    <n v="8247"/>
    <x v="48"/>
    <x v="48"/>
    <n v="247651"/>
    <s v="LUIS FERNANDO BARRIOS MATIAS"/>
    <n v="21"/>
    <x v="3"/>
    <n v="3199"/>
    <x v="6"/>
    <s v="x"/>
    <x v="0"/>
    <m/>
    <m/>
    <m/>
    <m/>
    <n v="2"/>
    <n v="2"/>
    <n v="2"/>
    <n v="2"/>
    <m/>
    <m/>
    <d v="2025-01-22T00:00:00"/>
    <d v="1899-12-31T00:00:00"/>
    <d v="2025-02-05T00:00:00"/>
    <x v="5"/>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n v="8247"/>
    <n v="74574"/>
    <s v="Se agrego la funcionalidad de poder eliminar los registros"/>
    <x v="9"/>
    <n v="4"/>
    <d v="1899-12-30T04:00:00"/>
    <d v="2025-02-28T00:00:00"/>
  </r>
  <r>
    <n v="8247"/>
    <x v="48"/>
    <x v="48"/>
    <n v="247651"/>
    <s v="LUIS FERNANDO BARRIOS MATIAS"/>
    <n v="21"/>
    <x v="3"/>
    <n v="3199"/>
    <x v="6"/>
    <m/>
    <x v="0"/>
    <m/>
    <m/>
    <m/>
    <m/>
    <n v="2"/>
    <n v="2"/>
    <n v="2"/>
    <n v="2"/>
    <m/>
    <m/>
    <d v="2025-01-22T00:00:00"/>
    <d v="1899-12-31T00:00:00"/>
    <d v="2025-02-05T00:00:00"/>
    <x v="5"/>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n v="8247"/>
    <n v="74573"/>
    <s v="Se agrego validaciones para que a la hora de aguardar a nivel de base de datos todo valla bien-"/>
    <x v="9"/>
    <n v="4"/>
    <d v="1899-12-30T04:00:00"/>
    <d v="2025-02-28T00:00:00"/>
  </r>
  <r>
    <n v="8247"/>
    <x v="48"/>
    <x v="48"/>
    <n v="247651"/>
    <s v="LUIS FERNANDO BARRIOS MATIAS"/>
    <n v="21"/>
    <x v="3"/>
    <n v="3199"/>
    <x v="6"/>
    <m/>
    <x v="0"/>
    <m/>
    <m/>
    <m/>
    <m/>
    <n v="2"/>
    <n v="2"/>
    <n v="2"/>
    <n v="2"/>
    <m/>
    <m/>
    <d v="2025-01-22T00:00:00"/>
    <d v="1899-12-31T00:00:00"/>
    <d v="2025-02-05T00:00:00"/>
    <x v="5"/>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n v="8247"/>
    <n v="73652"/>
    <s v="Se agrego validaciones para que a la hora de aguardar a nivel de base de datos todo valla bien-"/>
    <x v="10"/>
    <n v="4.5"/>
    <d v="1899-12-30T04:30:00"/>
    <d v="2025-02-26T00:00:00"/>
  </r>
  <r>
    <n v="8247"/>
    <x v="48"/>
    <x v="48"/>
    <n v="247651"/>
    <s v="LUIS FERNANDO BARRIOS MATIAS"/>
    <n v="21"/>
    <x v="3"/>
    <n v="3199"/>
    <x v="6"/>
    <m/>
    <x v="0"/>
    <m/>
    <m/>
    <m/>
    <m/>
    <n v="2"/>
    <n v="2"/>
    <n v="2"/>
    <n v="2"/>
    <m/>
    <m/>
    <d v="2025-01-22T00:00:00"/>
    <d v="1899-12-31T00:00:00"/>
    <d v="2025-02-05T00:00:00"/>
    <x v="5"/>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n v="8247"/>
    <n v="73649"/>
    <s v="Se agrego la funcionalidad de poder eliminar los registros"/>
    <x v="10"/>
    <n v="4"/>
    <d v="1899-12-30T04:00:00"/>
    <d v="2025-02-26T00:00:00"/>
  </r>
  <r>
    <n v="8247"/>
    <x v="48"/>
    <x v="48"/>
    <n v="247651"/>
    <s v="LUIS FERNANDO BARRIOS MATIAS"/>
    <n v="21"/>
    <x v="3"/>
    <n v="3199"/>
    <x v="6"/>
    <m/>
    <x v="0"/>
    <m/>
    <m/>
    <m/>
    <m/>
    <n v="2"/>
    <n v="2"/>
    <n v="2"/>
    <n v="2"/>
    <m/>
    <m/>
    <d v="2025-01-22T00:00:00"/>
    <d v="1899-12-31T00:00:00"/>
    <d v="2025-02-05T00:00:00"/>
    <x v="5"/>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n v="8247"/>
    <n v="73593"/>
    <s v="Se arreglo el error de que no estaba aceptando letras en el pasaporte a la hora de ingresar"/>
    <x v="11"/>
    <n v="4"/>
    <d v="1899-12-30T04:00:00"/>
    <d v="2025-02-26T00:00:00"/>
  </r>
  <r>
    <n v="8247"/>
    <x v="48"/>
    <x v="48"/>
    <n v="247651"/>
    <s v="LUIS FERNANDO BARRIOS MATIAS"/>
    <n v="21"/>
    <x v="3"/>
    <n v="3199"/>
    <x v="6"/>
    <m/>
    <x v="0"/>
    <m/>
    <m/>
    <m/>
    <m/>
    <n v="2"/>
    <n v="2"/>
    <n v="2"/>
    <n v="2"/>
    <m/>
    <m/>
    <d v="2025-01-22T00:00:00"/>
    <d v="1899-12-31T00:00:00"/>
    <d v="2025-02-05T00:00:00"/>
    <x v="5"/>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n v="8247"/>
    <n v="73591"/>
    <s v="Se arreglo el error del color a la hora de notificar si llevo a cabo o no"/>
    <x v="11"/>
    <n v="4"/>
    <d v="1899-12-30T04:00:00"/>
    <d v="2025-02-26T00:00:00"/>
  </r>
  <r>
    <n v="8247"/>
    <x v="48"/>
    <x v="48"/>
    <n v="247651"/>
    <s v="LUIS FERNANDO BARRIOS MATIAS"/>
    <n v="21"/>
    <x v="3"/>
    <n v="3199"/>
    <x v="6"/>
    <m/>
    <x v="0"/>
    <m/>
    <m/>
    <m/>
    <m/>
    <n v="2"/>
    <n v="2"/>
    <n v="2"/>
    <n v="2"/>
    <m/>
    <m/>
    <d v="2025-01-22T00:00:00"/>
    <d v="1899-12-31T00:00:00"/>
    <d v="2025-02-05T00:00:00"/>
    <x v="5"/>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n v="8247"/>
    <n v="73590"/>
    <s v="Se soluciono el error del selector en el caso de que la persona sea jurídica"/>
    <x v="12"/>
    <n v="4"/>
    <d v="1899-12-30T04:00:00"/>
    <d v="2025-02-26T00:00:00"/>
  </r>
  <r>
    <n v="8247"/>
    <x v="48"/>
    <x v="48"/>
    <n v="247651"/>
    <s v="LUIS FERNANDO BARRIOS MATIAS"/>
    <n v="21"/>
    <x v="3"/>
    <n v="3199"/>
    <x v="6"/>
    <m/>
    <x v="0"/>
    <m/>
    <m/>
    <m/>
    <m/>
    <n v="2"/>
    <n v="2"/>
    <n v="2"/>
    <n v="2"/>
    <m/>
    <m/>
    <d v="2025-01-22T00:00:00"/>
    <d v="1899-12-31T00:00:00"/>
    <d v="2025-02-05T00:00:00"/>
    <x v="5"/>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n v="8247"/>
    <n v="73589"/>
    <s v="Se soluciono el error del selector en el caso de que la persona sea jurídica en el paso 2"/>
    <x v="12"/>
    <n v="2"/>
    <d v="1899-12-30T02:00:00"/>
    <d v="2025-02-26T00:00:00"/>
  </r>
  <r>
    <n v="8247"/>
    <x v="48"/>
    <x v="48"/>
    <n v="247651"/>
    <s v="LUIS FERNANDO BARRIOS MATIAS"/>
    <n v="21"/>
    <x v="3"/>
    <n v="3199"/>
    <x v="6"/>
    <m/>
    <x v="0"/>
    <m/>
    <m/>
    <m/>
    <m/>
    <n v="2"/>
    <n v="2"/>
    <n v="2"/>
    <n v="2"/>
    <m/>
    <m/>
    <d v="2025-01-22T00:00:00"/>
    <d v="1899-12-31T00:00:00"/>
    <d v="2025-02-05T00:00:00"/>
    <x v="5"/>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n v="8247"/>
    <n v="73588"/>
    <s v="Se soluciono el error del selector en el caso de que la persona sea jurídica en el paso 1"/>
    <x v="12"/>
    <n v="2"/>
    <d v="1899-12-30T02:00:00"/>
    <d v="2025-02-26T00:00:00"/>
  </r>
  <r>
    <n v="8247"/>
    <x v="48"/>
    <x v="48"/>
    <n v="247651"/>
    <s v="LUIS FERNANDO BARRIOS MATIAS"/>
    <n v="21"/>
    <x v="3"/>
    <n v="3199"/>
    <x v="6"/>
    <m/>
    <x v="0"/>
    <m/>
    <m/>
    <m/>
    <m/>
    <n v="2"/>
    <n v="2"/>
    <n v="2"/>
    <n v="2"/>
    <m/>
    <m/>
    <d v="2025-01-22T00:00:00"/>
    <d v="1899-12-31T00:00:00"/>
    <d v="2025-02-05T00:00:00"/>
    <x v="5"/>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n v="8247"/>
    <n v="72560"/>
    <s v="Se arreglo de que los datos del representante legal, se cambia automáticamente el país que emite el pasaporte"/>
    <x v="0"/>
    <n v="4"/>
    <d v="1899-12-30T04:00:00"/>
    <d v="2025-02-21T00:00:00"/>
  </r>
  <r>
    <n v="8247"/>
    <x v="48"/>
    <x v="48"/>
    <n v="247651"/>
    <s v="LUIS FERNANDO BARRIOS MATIAS"/>
    <n v="21"/>
    <x v="3"/>
    <n v="3199"/>
    <x v="6"/>
    <m/>
    <x v="0"/>
    <m/>
    <m/>
    <m/>
    <m/>
    <n v="2"/>
    <n v="2"/>
    <n v="2"/>
    <n v="2"/>
    <m/>
    <m/>
    <d v="2025-01-22T00:00:00"/>
    <d v="1899-12-31T00:00:00"/>
    <d v="2025-02-05T00:00:00"/>
    <x v="5"/>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n v="8247"/>
    <n v="72558"/>
    <s v="Se arreglo el error de que la identificación del cliente jurídico, se borra automáticamente el código del cliente"/>
    <x v="0"/>
    <n v="4"/>
    <d v="1899-12-30T04:00:00"/>
    <d v="2025-02-21T00:00:00"/>
  </r>
  <r>
    <n v="8247"/>
    <x v="48"/>
    <x v="48"/>
    <n v="247651"/>
    <s v="LUIS FERNANDO BARRIOS MATIAS"/>
    <n v="21"/>
    <x v="3"/>
    <n v="3199"/>
    <x v="6"/>
    <m/>
    <x v="0"/>
    <m/>
    <m/>
    <m/>
    <m/>
    <n v="2"/>
    <n v="2"/>
    <n v="2"/>
    <n v="2"/>
    <m/>
    <m/>
    <d v="2025-01-22T00:00:00"/>
    <d v="1899-12-31T00:00:00"/>
    <d v="2025-02-05T00:00:00"/>
    <x v="5"/>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n v="8247"/>
    <n v="72556"/>
    <s v="Se arreglo los errores de dos personas que provee fondos como terceros, no deja, solo agregar uno y si se trata de agregar las demás personas las borra"/>
    <x v="1"/>
    <n v="5"/>
    <d v="1899-12-30T05:00:00"/>
    <d v="2025-02-21T00:00:00"/>
  </r>
  <r>
    <n v="8247"/>
    <x v="48"/>
    <x v="48"/>
    <n v="247651"/>
    <s v="LUIS FERNANDO BARRIOS MATIAS"/>
    <n v="21"/>
    <x v="3"/>
    <n v="3199"/>
    <x v="6"/>
    <m/>
    <x v="0"/>
    <m/>
    <m/>
    <m/>
    <m/>
    <n v="2"/>
    <n v="2"/>
    <n v="2"/>
    <n v="2"/>
    <m/>
    <m/>
    <d v="2025-01-22T00:00:00"/>
    <d v="1899-12-31T00:00:00"/>
    <d v="2025-02-05T00:00:00"/>
    <x v="5"/>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n v="8247"/>
    <n v="72552"/>
    <s v="Se arreglo los errores de gramatica"/>
    <x v="1"/>
    <n v="4"/>
    <d v="1899-12-30T04:00:00"/>
    <d v="2025-02-21T00:00:00"/>
  </r>
  <r>
    <n v="8247"/>
    <x v="48"/>
    <x v="48"/>
    <n v="247651"/>
    <s v="LUIS FERNANDO BARRIOS MATIAS"/>
    <n v="21"/>
    <x v="3"/>
    <n v="3199"/>
    <x v="6"/>
    <m/>
    <x v="0"/>
    <m/>
    <m/>
    <m/>
    <m/>
    <n v="2"/>
    <n v="2"/>
    <n v="2"/>
    <n v="2"/>
    <m/>
    <m/>
    <d v="2025-01-22T00:00:00"/>
    <d v="1899-12-31T00:00:00"/>
    <d v="2025-02-05T00:00:00"/>
    <x v="5"/>
    <m/>
    <s v="&lt;p&gt;Corrección en la gramática de diferentes vistas del FEIC, junto con mejoras en los selectores y validaciones. Estas incluyen la implementación de reglas para evitar que los campos queden vacíos, asegurando así que no se interrumpa el proceso de guardado del formulario del FEIC.&lt;/p&gt;"/>
    <n v="8247"/>
    <n v="70984"/>
    <s v="Se llevo a cabo la corrección de las cantidades"/>
    <x v="24"/>
    <n v="4"/>
    <d v="1899-12-30T04:00:00"/>
    <d v="2025-02-15T00:00:00"/>
  </r>
  <r>
    <n v="8443"/>
    <x v="49"/>
    <x v="49"/>
    <n v="247605"/>
    <s v="MANUEL RAMIRO LOPEZ PIEDRASANTA"/>
    <n v="29"/>
    <x v="1"/>
    <m/>
    <x v="2"/>
    <s v="x"/>
    <x v="0"/>
    <m/>
    <m/>
    <m/>
    <m/>
    <n v="2"/>
    <n v="2"/>
    <n v="2"/>
    <n v="2"/>
    <m/>
    <m/>
    <d v="2025-01-28T00:00:00"/>
    <d v="1899-12-31T00:00:00"/>
    <d v="2025-02-28T00:00:00"/>
    <x v="17"/>
    <m/>
    <s v="&lt;p&gt;Mejoras al sistema SQM y STOD en la parte de registro de Leas y Cotizaciones para que no exista doble digitación&lt;/p&gt;"/>
    <m/>
    <m/>
    <m/>
    <x v="5"/>
    <m/>
    <m/>
    <m/>
  </r>
  <r>
    <n v="8444"/>
    <x v="50"/>
    <x v="50"/>
    <n v="247888"/>
    <s v="JUAN MANUEL SOTO GUTIERREZ"/>
    <n v="21"/>
    <x v="3"/>
    <n v="3233"/>
    <x v="0"/>
    <s v="x"/>
    <x v="0"/>
    <m/>
    <m/>
    <m/>
    <m/>
    <n v="1"/>
    <n v="1"/>
    <n v="1"/>
    <n v="1"/>
    <m/>
    <m/>
    <d v="2024-12-27T00:00:00"/>
    <d v="1899-12-31T00:00:00"/>
    <d v="2025-02-07T00:00:00"/>
    <x v="18"/>
    <m/>
    <s v="&lt;p&gt;Cerrar todas las ordenes abiertas de la División Soluciones de Oficina hasta el 30 de septiembre de 2024,&lt;/p&gt;&lt;p&gt;En conjunto con Marvin Vargas se cerraron automáticamente las OC&lt;/p&gt;"/>
    <n v="8444"/>
    <n v="71404"/>
    <s v="reporte para listar las ordenes de compra a listar"/>
    <x v="34"/>
    <n v="1"/>
    <d v="1899-12-30T01:00:00"/>
    <d v="2025-02-17T00:00:00"/>
  </r>
  <r>
    <n v="8463"/>
    <x v="51"/>
    <x v="51"/>
    <m/>
    <m/>
    <n v="29"/>
    <x v="1"/>
    <n v="252"/>
    <x v="13"/>
    <s v="x"/>
    <x v="0"/>
    <m/>
    <m/>
    <m/>
    <m/>
    <m/>
    <m/>
    <m/>
    <m/>
    <m/>
    <m/>
    <m/>
    <m/>
    <m/>
    <x v="19"/>
    <m/>
    <m/>
    <m/>
    <m/>
    <m/>
    <x v="5"/>
    <m/>
    <m/>
    <m/>
  </r>
  <r>
    <n v="8329"/>
    <x v="51"/>
    <x v="52"/>
    <n v="247047"/>
    <s v="JULIO RENE PAIZ ANDRADE"/>
    <n v="29"/>
    <x v="1"/>
    <n v="312"/>
    <x v="9"/>
    <s v="x"/>
    <x v="1"/>
    <m/>
    <m/>
    <m/>
    <m/>
    <m/>
    <m/>
    <m/>
    <m/>
    <m/>
    <m/>
    <m/>
    <m/>
    <m/>
    <x v="19"/>
    <m/>
    <m/>
    <m/>
    <m/>
    <m/>
    <x v="5"/>
    <m/>
    <m/>
    <m/>
  </r>
  <r>
    <n v="8495"/>
    <x v="51"/>
    <x v="53"/>
    <n v="289105"/>
    <s v="JONATHAN MAUDIEL SALINAS MORALES"/>
    <n v="21"/>
    <x v="3"/>
    <n v="3198"/>
    <x v="1"/>
    <s v="x"/>
    <x v="1"/>
    <n v="3"/>
    <s v="REPORTE"/>
    <n v="1"/>
    <s v="BAJA"/>
    <n v="2"/>
    <n v="2"/>
    <n v="2"/>
    <n v="2"/>
    <n v="1"/>
    <s v="PEQUEÑO"/>
    <d v="2025-02-28T00:00:00"/>
    <d v="2025-02-28T00:00:00"/>
    <d v="2025-03-04T00:00:00"/>
    <x v="19"/>
    <m/>
    <s v="&lt;p&gt;Se solicita que se verifique la consulta que obtiene el listado de contratos&amp;nbsp;y la consulta&amp;nbsp;que&amp;nbsp;descargar el Excel&amp;nbsp;debido a que&amp;nbsp;el vendedor que se muestra en&amp;nbsp;el listado no es el mismo que se muestra en el&amp;nbsp;detalle del contrato&lt;/p&gt;"/>
    <n v="8495"/>
    <n v="75306"/>
    <s v="Se realiza el ajuste de la columna &quot;Nombre Vendedor&quot; del listado de reportes de contratos para que muestre el nombre del vendedor que esta en el detalle"/>
    <x v="29"/>
    <n v="5"/>
    <d v="1899-12-30T05:00:00"/>
    <d v="2025-03-04T00:00:00"/>
  </r>
  <r>
    <n v="8473"/>
    <x v="51"/>
    <x v="54"/>
    <n v="289030"/>
    <s v="WILLIAMS GIOVANNI GALVAN ESTRADA"/>
    <n v="30"/>
    <x v="0"/>
    <n v="195"/>
    <x v="4"/>
    <s v="x"/>
    <x v="1"/>
    <n v="1"/>
    <s v="API"/>
    <n v="2"/>
    <s v="MEDIA"/>
    <n v="2"/>
    <n v="2"/>
    <n v="2"/>
    <n v="2"/>
    <n v="2"/>
    <s v="MEDIANO"/>
    <m/>
    <m/>
    <m/>
    <x v="19"/>
    <m/>
    <m/>
    <m/>
    <m/>
    <m/>
    <x v="5"/>
    <m/>
    <m/>
    <m/>
  </r>
  <r>
    <n v="8554"/>
    <x v="51"/>
    <x v="55"/>
    <n v="247393"/>
    <s v="MIGUEL EDUARDO PEREZ LOPEZ"/>
    <n v="27"/>
    <x v="5"/>
    <n v="3201"/>
    <x v="12"/>
    <s v="x"/>
    <x v="1"/>
    <n v="2"/>
    <s v="PROCESO"/>
    <n v="2"/>
    <s v="MEDIA"/>
    <n v="1"/>
    <n v="1"/>
    <n v="1"/>
    <n v="1"/>
    <n v="2"/>
    <s v="MEDIANO"/>
    <d v="2025-03-11T00:00:00"/>
    <d v="2025-03-17T00:00:00"/>
    <d v="2025-04-15T00:00:00"/>
    <x v="7"/>
    <m/>
    <s v="&lt;p&gt;Derivado de la auditoria de la IVE realizada a Canella es ** necesario su pronta colaboración para cumplir con los requerimientos los cuales ** tienen fecha limite&lt;/p&gt;&lt;p&gt;Los requerimientos son:&lt;/p&gt;&lt;ol&gt; **  &lt;li&gt;Creación de políticas&lt;/li&gt; **  &lt;li&gt;Documentación de **      procesos&lt;/li&gt; **  &lt;li&gt;Reportes de control&lt;/li&gt; **  &lt;li&gt;Mejoras al FEIC&lt;/li&gt; **  &lt;li&gt;Robot para realizar **      revisiones &lt;/li&gt; **  &lt;li&gt;Robot para realizar **      comparaciones entre banco y SAP&lt;/li&gt; **  &lt;li&gt;Otros procesos, **      políticas, reportes, programas, controles, procesos de robot que indique **      Luis Fernando Barrios&lt;/li&gt; ** &lt;/ol&gt;&lt;p&gt;&amp;nbsp;&lt;/p&gt;&lt;p&gt;Esto es urgente y de obligación legal, por lo tanto, les ** solicito asignar a una persona de su departamento para realizar estas tareas y ** ponerse de acuerdo con Fernando para recibir los requerimientos y detalles&lt;/p&gt;&lt;p&gt; **  **  **  **  **  ** &lt;/p&gt;"/>
    <m/>
    <m/>
    <m/>
    <x v="5"/>
    <m/>
    <m/>
    <m/>
  </r>
  <r>
    <n v="8327"/>
    <x v="51"/>
    <x v="56"/>
    <n v="247791"/>
    <s v="ASTRID VICTORIA PEÑA DIEGUEZ"/>
    <n v="29"/>
    <x v="1"/>
    <n v="3201"/>
    <x v="12"/>
    <s v="x"/>
    <x v="0"/>
    <n v="2"/>
    <s v="PROCESO"/>
    <n v="2"/>
    <s v="MEDIA"/>
    <n v="2"/>
    <n v="2"/>
    <n v="2"/>
    <n v="2"/>
    <n v="2"/>
    <s v="MEDIANO"/>
    <d v="2025-02-01T00:00:00"/>
    <m/>
    <m/>
    <x v="19"/>
    <m/>
    <m/>
    <m/>
    <m/>
    <m/>
    <x v="5"/>
    <m/>
    <m/>
    <m/>
  </r>
  <r>
    <n v="8493"/>
    <x v="51"/>
    <x v="57"/>
    <n v="247841"/>
    <s v="WILLIAMS GIOVANNI GALVAN ESTRADA"/>
    <n v="30"/>
    <x v="0"/>
    <n v="3198"/>
    <x v="1"/>
    <s v="x"/>
    <x v="0"/>
    <n v="2"/>
    <s v="PROCESO"/>
    <n v="2"/>
    <s v="MEDIA"/>
    <n v="2"/>
    <n v="2"/>
    <n v="2"/>
    <n v="2"/>
    <n v="2"/>
    <s v="MEDIANO"/>
    <d v="2025-02-26T00:00:00"/>
    <d v="2025-02-26T00:00:00"/>
    <d v="2025-03-03T00:00:00"/>
    <x v="19"/>
    <m/>
    <s v="&lt;p&gt;Se necesita buscar los códigos&amp;nbsp;fuentes de las interfaces y sistemas de CANELLA para ingresarlas&amp;nbsp;en el disco E del servidor 70&lt;/p&gt;"/>
    <n v="8493"/>
    <n v="75304"/>
    <s v="Se realiza la busqueda de los codigo de fuentes de los interfaces que falta"/>
    <x v="29"/>
    <n v="4"/>
    <d v="1899-12-30T04:00:00"/>
    <d v="2025-03-04T00:00:00"/>
  </r>
  <r>
    <n v="8493"/>
    <x v="51"/>
    <x v="57"/>
    <n v="247841"/>
    <s v="WILLIAMS GIOVANNI GALVAN ESTRADA"/>
    <n v="30"/>
    <x v="0"/>
    <n v="3198"/>
    <x v="1"/>
    <m/>
    <x v="0"/>
    <n v="2"/>
    <s v="PROCESO"/>
    <n v="2"/>
    <s v="MEDIA"/>
    <n v="2"/>
    <n v="2"/>
    <n v="2"/>
    <n v="2"/>
    <n v="2"/>
    <s v="MEDIANO"/>
    <d v="2025-02-26T00:00:00"/>
    <d v="2025-02-26T00:00:00"/>
    <d v="2025-03-03T00:00:00"/>
    <x v="19"/>
    <m/>
    <s v="&lt;p&gt;Se necesita buscar los códigos&amp;nbsp;fuentes de las interfaces y sistemas de CANELLA para ingresarlas&amp;nbsp;en el disco E del servidor 70&lt;/p&gt;"/>
    <n v="8493"/>
    <n v="74627"/>
    <s v="Se configura el sistema Stod para levantarlo en el servidor 49"/>
    <x v="8"/>
    <n v="8"/>
    <d v="1899-12-30T08:00:00"/>
    <d v="2025-02-28T00:00:00"/>
  </r>
  <r>
    <n v="8493"/>
    <x v="51"/>
    <x v="57"/>
    <n v="247841"/>
    <s v="WILLIAMS GIOVANNI GALVAN ESTRADA"/>
    <n v="30"/>
    <x v="0"/>
    <n v="3198"/>
    <x v="1"/>
    <m/>
    <x v="0"/>
    <n v="2"/>
    <s v="PROCESO"/>
    <n v="2"/>
    <s v="MEDIA"/>
    <n v="2"/>
    <n v="2"/>
    <n v="2"/>
    <n v="2"/>
    <n v="2"/>
    <s v="MEDIANO"/>
    <d v="2025-02-26T00:00:00"/>
    <d v="2025-02-26T00:00:00"/>
    <d v="2025-03-03T00:00:00"/>
    <x v="19"/>
    <m/>
    <s v="&lt;p&gt;Se necesita buscar los códigos&amp;nbsp;fuentes de las interfaces y sistemas de CANELLA para ingresarlas&amp;nbsp;en el disco E del servidor 70&lt;/p&gt;"/>
    <n v="8493"/>
    <n v="74003"/>
    <s v="Se realizo al busqueda y la copia del código fuente de 3 sistema"/>
    <x v="9"/>
    <n v="4"/>
    <d v="1899-12-30T04:00:00"/>
    <d v="2025-02-27T00:00:00"/>
  </r>
  <r>
    <n v="8493"/>
    <x v="51"/>
    <x v="57"/>
    <n v="247841"/>
    <s v="WILLIAMS GIOVANNI GALVAN ESTRADA"/>
    <n v="30"/>
    <x v="0"/>
    <n v="3198"/>
    <x v="1"/>
    <m/>
    <x v="0"/>
    <n v="2"/>
    <s v="PROCESO"/>
    <n v="2"/>
    <s v="MEDIA"/>
    <n v="2"/>
    <n v="2"/>
    <n v="2"/>
    <n v="2"/>
    <n v="2"/>
    <s v="MEDIANO"/>
    <d v="2025-02-26T00:00:00"/>
    <d v="2025-02-26T00:00:00"/>
    <d v="2025-03-03T00:00:00"/>
    <x v="19"/>
    <m/>
    <s v="&lt;p&gt;Se necesita buscar los códigos&amp;nbsp;fuentes de las interfaces y sistemas de CANELLA para ingresarlas&amp;nbsp;en el disco E del servidor 70&lt;/p&gt;"/>
    <n v="8493"/>
    <n v="73999"/>
    <s v="Se realiza la búsqueda y la copia del código fuente de 3 interfaces de SAP"/>
    <x v="9"/>
    <n v="5"/>
    <d v="1899-12-30T05:00:00"/>
    <d v="2025-02-27T00:00:00"/>
  </r>
  <r>
    <n v="8472"/>
    <x v="51"/>
    <x v="58"/>
    <n v="247786"/>
    <s v="DIEGO ANDRE CONTRERAS RIVERA"/>
    <n v="21"/>
    <x v="3"/>
    <n v="3233"/>
    <x v="0"/>
    <s v="x"/>
    <x v="0"/>
    <n v="3"/>
    <s v="REPORTE"/>
    <n v="1"/>
    <s v="BAJA"/>
    <n v="1"/>
    <n v="1"/>
    <n v="1"/>
    <n v="1"/>
    <n v="1"/>
    <s v="PEQUEÑO"/>
    <d v="2025-02-14T00:00:00"/>
    <d v="2025-02-14T00:00:00"/>
    <d v="2025-02-20T00:00:00"/>
    <x v="20"/>
    <m/>
    <s v="&lt;p&gt;Agregar medios de pago en columnas separadas al reporte de ventas Yamaha&lt;/p&gt;"/>
    <n v="8472"/>
    <n v="72104"/>
    <s v="cambios a reporte"/>
    <x v="1"/>
    <n v="3"/>
    <d v="1899-12-30T03:00:00"/>
    <d v="2025-02-20T00:00:00"/>
  </r>
  <r>
    <n v="8472"/>
    <x v="51"/>
    <x v="58"/>
    <n v="247786"/>
    <s v="DIEGO ANDRE CONTRERAS RIVERA"/>
    <n v="21"/>
    <x v="3"/>
    <n v="3233"/>
    <x v="0"/>
    <m/>
    <x v="0"/>
    <n v="3"/>
    <s v="REPORTE"/>
    <n v="1"/>
    <s v="BAJA"/>
    <n v="1"/>
    <n v="1"/>
    <n v="1"/>
    <n v="1"/>
    <n v="1"/>
    <s v="PEQUEÑO"/>
    <d v="2025-02-14T00:00:00"/>
    <d v="2025-02-14T00:00:00"/>
    <d v="2025-02-20T00:00:00"/>
    <x v="20"/>
    <m/>
    <s v="&lt;p&gt;Agregar medios de pago en columnas separadas al reporte de ventas Yamaha&lt;/p&gt;"/>
    <n v="8472"/>
    <n v="72099"/>
    <s v="cambios a reporte"/>
    <x v="1"/>
    <n v="3"/>
    <d v="1899-12-30T03:00:00"/>
    <d v="2025-02-20T00:00:00"/>
  </r>
  <r>
    <n v="8472"/>
    <x v="51"/>
    <x v="58"/>
    <n v="247786"/>
    <s v="DIEGO ANDRE CONTRERAS RIVERA"/>
    <n v="21"/>
    <x v="3"/>
    <n v="3233"/>
    <x v="0"/>
    <m/>
    <x v="0"/>
    <n v="3"/>
    <s v="REPORTE"/>
    <n v="1"/>
    <s v="BAJA"/>
    <n v="1"/>
    <n v="1"/>
    <n v="1"/>
    <n v="1"/>
    <n v="1"/>
    <s v="PEQUEÑO"/>
    <d v="2025-02-14T00:00:00"/>
    <d v="2025-02-14T00:00:00"/>
    <d v="2025-02-20T00:00:00"/>
    <x v="20"/>
    <m/>
    <s v="&lt;p&gt;Agregar medios de pago en columnas separadas al reporte de ventas Yamaha&lt;/p&gt;"/>
    <n v="8472"/>
    <n v="72103"/>
    <s v="cambios a reporte"/>
    <x v="2"/>
    <n v="1"/>
    <d v="1899-12-30T01:00:00"/>
    <d v="2025-02-20T00:00:00"/>
  </r>
  <r>
    <n v="8472"/>
    <x v="51"/>
    <x v="58"/>
    <n v="247786"/>
    <s v="DIEGO ANDRE CONTRERAS RIVERA"/>
    <n v="21"/>
    <x v="3"/>
    <n v="3233"/>
    <x v="0"/>
    <m/>
    <x v="0"/>
    <n v="3"/>
    <s v="REPORTE"/>
    <n v="1"/>
    <s v="BAJA"/>
    <n v="1"/>
    <n v="1"/>
    <n v="1"/>
    <n v="1"/>
    <n v="1"/>
    <s v="PEQUEÑO"/>
    <d v="2025-02-14T00:00:00"/>
    <d v="2025-02-14T00:00:00"/>
    <d v="2025-02-20T00:00:00"/>
    <x v="20"/>
    <m/>
    <s v="&lt;p&gt;Agregar medios de pago en columnas separadas al reporte de ventas Yamaha&lt;/p&gt;"/>
    <n v="8472"/>
    <n v="72090"/>
    <s v="cambios a reporte agregar medios de pago"/>
    <x v="2"/>
    <n v="1"/>
    <d v="1899-12-30T01:00:00"/>
    <d v="2025-02-20T00:00:00"/>
  </r>
  <r>
    <n v="8470"/>
    <x v="51"/>
    <x v="59"/>
    <n v="247883"/>
    <s v="MANUEL BONIFACIO SANIC PONCIO"/>
    <n v="27"/>
    <x v="5"/>
    <n v="3198"/>
    <x v="1"/>
    <s v="x"/>
    <x v="1"/>
    <n v="3"/>
    <s v="REPORTE"/>
    <n v="1"/>
    <s v="BAJA"/>
    <n v="3"/>
    <n v="3"/>
    <n v="3"/>
    <n v="3"/>
    <n v="1"/>
    <s v="PEQUEÑO"/>
    <d v="2025-02-19T00:00:00"/>
    <d v="2025-02-24T00:00:00"/>
    <d v="2025-03-07T00:00:00"/>
    <x v="19"/>
    <m/>
    <m/>
    <n v="8470"/>
    <n v="72011"/>
    <s v="Capacitacion del funcionamiento de alertas en SAP"/>
    <x v="2"/>
    <n v="2.5"/>
    <d v="1899-12-30T02:30:00"/>
    <d v="2025-02-20T00:00:00"/>
  </r>
  <r>
    <n v="8470"/>
    <x v="51"/>
    <x v="59"/>
    <n v="247883"/>
    <s v="MANUEL BONIFACIO SANIC PONCIO"/>
    <n v="27"/>
    <x v="5"/>
    <n v="3198"/>
    <x v="1"/>
    <m/>
    <x v="1"/>
    <n v="3"/>
    <s v="REPORTE"/>
    <n v="1"/>
    <s v="BAJA"/>
    <n v="3"/>
    <n v="3"/>
    <n v="3"/>
    <n v="3"/>
    <n v="1"/>
    <s v="PEQUEÑO"/>
    <d v="2025-02-19T00:00:00"/>
    <d v="2025-02-24T00:00:00"/>
    <d v="2025-03-07T00:00:00"/>
    <x v="19"/>
    <m/>
    <m/>
    <n v="8470"/>
    <n v="72009"/>
    <s v="Explicación de funcionamiento de alertas sap y desarrollo de query"/>
    <x v="2"/>
    <n v="2.5"/>
    <d v="1899-12-30T02:30:00"/>
    <d v="2025-02-20T00:00:00"/>
  </r>
  <r>
    <n v="8504"/>
    <x v="51"/>
    <x v="60"/>
    <n v="247807"/>
    <s v="EDUARDO JACOBO ARA GÓMEZ"/>
    <n v="22"/>
    <x v="4"/>
    <n v="3201"/>
    <x v="12"/>
    <s v="x"/>
    <x v="0"/>
    <n v="4"/>
    <s v="SOPORTE/CAPACITACION"/>
    <n v="2"/>
    <s v="MEDIA"/>
    <n v="2"/>
    <n v="2"/>
    <n v="2"/>
    <n v="2"/>
    <n v="2"/>
    <s v="MEDIANO"/>
    <d v="2025-03-03T00:00:00"/>
    <d v="2025-03-03T00:00:00"/>
    <d v="2025-03-31T00:00:00"/>
    <x v="21"/>
    <m/>
    <m/>
    <n v="8504"/>
    <n v="76727"/>
    <s v="Carga de expedientes de ventas"/>
    <x v="35"/>
    <n v="2.5"/>
    <d v="1899-12-30T02:30:00"/>
    <d v="2025-03-10T00:00:00"/>
  </r>
  <r>
    <n v="8504"/>
    <x v="51"/>
    <x v="60"/>
    <n v="247807"/>
    <s v="EDUARDO JACOBO ARA GÓMEZ"/>
    <n v="22"/>
    <x v="4"/>
    <n v="3201"/>
    <x v="12"/>
    <m/>
    <x v="0"/>
    <n v="4"/>
    <s v="SOPORTE/CAPACITACION"/>
    <n v="2"/>
    <s v="MEDIA"/>
    <n v="2"/>
    <n v="2"/>
    <n v="2"/>
    <n v="2"/>
    <n v="2"/>
    <s v="MEDIANO"/>
    <d v="2025-03-03T00:00:00"/>
    <d v="2025-03-03T00:00:00"/>
    <d v="2025-03-31T00:00:00"/>
    <x v="21"/>
    <m/>
    <m/>
    <n v="8504"/>
    <n v="76726"/>
    <s v="Separación de expedientes por factura y DPI"/>
    <x v="35"/>
    <n v="0.75"/>
    <d v="1899-12-30T00:45:00"/>
    <d v="2025-03-10T00:00:00"/>
  </r>
  <r>
    <n v="8504"/>
    <x v="51"/>
    <x v="60"/>
    <n v="247807"/>
    <s v="EDUARDO JACOBO ARA GÓMEZ"/>
    <n v="22"/>
    <x v="4"/>
    <n v="3201"/>
    <x v="12"/>
    <m/>
    <x v="0"/>
    <n v="4"/>
    <s v="SOPORTE/CAPACITACION"/>
    <n v="2"/>
    <s v="MEDIA"/>
    <n v="2"/>
    <n v="2"/>
    <n v="2"/>
    <n v="2"/>
    <n v="2"/>
    <s v="MEDIANO"/>
    <d v="2025-03-03T00:00:00"/>
    <d v="2025-03-03T00:00:00"/>
    <d v="2025-03-31T00:00:00"/>
    <x v="21"/>
    <m/>
    <m/>
    <n v="8504"/>
    <n v="76724"/>
    <s v="Validación de OCR con modificación de Import Agent, modificación de expresiones regulares y pruebas con formularios"/>
    <x v="35"/>
    <n v="3"/>
    <d v="1899-12-30T03:00:00"/>
    <d v="2025-03-10T00:00:00"/>
  </r>
  <r>
    <n v="8504"/>
    <x v="51"/>
    <x v="60"/>
    <n v="247807"/>
    <s v="EDUARDO JACOBO ARA GÓMEZ"/>
    <n v="22"/>
    <x v="4"/>
    <n v="3201"/>
    <x v="12"/>
    <m/>
    <x v="0"/>
    <n v="4"/>
    <s v="SOPORTE/CAPACITACION"/>
    <n v="2"/>
    <s v="MEDIA"/>
    <n v="2"/>
    <n v="2"/>
    <n v="2"/>
    <n v="2"/>
    <n v="2"/>
    <s v="MEDIANO"/>
    <d v="2025-03-03T00:00:00"/>
    <d v="2025-03-03T00:00:00"/>
    <d v="2025-03-31T00:00:00"/>
    <x v="21"/>
    <m/>
    <m/>
    <n v="8504"/>
    <n v="76723"/>
    <s v="Modificación de workflow para búsqueda y regeneración de formularios"/>
    <x v="35"/>
    <n v="1.5"/>
    <d v="1899-12-30T01:30:00"/>
    <d v="2025-03-10T00:00:00"/>
  </r>
  <r>
    <n v="8504"/>
    <x v="51"/>
    <x v="60"/>
    <n v="247807"/>
    <s v="EDUARDO JACOBO ARA GÓMEZ"/>
    <n v="22"/>
    <x v="4"/>
    <n v="3201"/>
    <x v="12"/>
    <m/>
    <x v="0"/>
    <n v="4"/>
    <s v="SOPORTE/CAPACITACION"/>
    <n v="2"/>
    <s v="MEDIA"/>
    <n v="2"/>
    <n v="2"/>
    <n v="2"/>
    <n v="2"/>
    <n v="2"/>
    <s v="MEDIANO"/>
    <d v="2025-03-03T00:00:00"/>
    <d v="2025-03-03T00:00:00"/>
    <d v="2025-03-31T00:00:00"/>
    <x v="21"/>
    <m/>
    <m/>
    <n v="8504"/>
    <n v="76715"/>
    <s v="Creación y validación de token para manejo de Id Lote"/>
    <x v="35"/>
    <n v="1.25"/>
    <d v="1899-12-30T01:15:00"/>
    <d v="2025-03-10T00:00:00"/>
  </r>
  <r>
    <n v="8504"/>
    <x v="51"/>
    <x v="60"/>
    <n v="247807"/>
    <s v="EDUARDO JACOBO ARA GÓMEZ"/>
    <n v="22"/>
    <x v="4"/>
    <n v="3201"/>
    <x v="12"/>
    <m/>
    <x v="0"/>
    <n v="4"/>
    <s v="SOPORTE/CAPACITACION"/>
    <n v="2"/>
    <s v="MEDIA"/>
    <n v="2"/>
    <n v="2"/>
    <n v="2"/>
    <n v="2"/>
    <n v="2"/>
    <s v="MEDIANO"/>
    <d v="2025-03-03T00:00:00"/>
    <d v="2025-03-03T00:00:00"/>
    <d v="2025-03-31T00:00:00"/>
    <x v="21"/>
    <m/>
    <m/>
    <n v="8504"/>
    <n v="76713"/>
    <s v="Creación de tabla e inserción de datos por registro de IdLote"/>
    <x v="6"/>
    <n v="3.25"/>
    <d v="1899-12-30T03:15:00"/>
    <d v="2025-03-10T00:00:00"/>
  </r>
  <r>
    <n v="8504"/>
    <x v="51"/>
    <x v="60"/>
    <n v="247807"/>
    <s v="EDUARDO JACOBO ARA GÓMEZ"/>
    <n v="22"/>
    <x v="4"/>
    <n v="3201"/>
    <x v="12"/>
    <m/>
    <x v="0"/>
    <n v="4"/>
    <s v="SOPORTE/CAPACITACION"/>
    <n v="2"/>
    <s v="MEDIA"/>
    <n v="2"/>
    <n v="2"/>
    <n v="2"/>
    <n v="2"/>
    <n v="2"/>
    <s v="MEDIANO"/>
    <d v="2025-03-03T00:00:00"/>
    <d v="2025-03-03T00:00:00"/>
    <d v="2025-03-31T00:00:00"/>
    <x v="21"/>
    <m/>
    <m/>
    <n v="8504"/>
    <n v="76712"/>
    <s v="Modificación de workflow para implementación de búsqueda y generación de formularios"/>
    <x v="6"/>
    <n v="5.25"/>
    <d v="1899-12-30T05:15:00"/>
    <d v="2025-03-10T00:00:00"/>
  </r>
  <r>
    <n v="8504"/>
    <x v="51"/>
    <x v="60"/>
    <n v="247807"/>
    <s v="EDUARDO JACOBO ARA GÓMEZ"/>
    <n v="22"/>
    <x v="4"/>
    <n v="3201"/>
    <x v="12"/>
    <m/>
    <x v="0"/>
    <n v="4"/>
    <s v="SOPORTE/CAPACITACION"/>
    <n v="2"/>
    <s v="MEDIA"/>
    <n v="2"/>
    <n v="2"/>
    <n v="2"/>
    <n v="2"/>
    <n v="2"/>
    <s v="MEDIANO"/>
    <d v="2025-03-03T00:00:00"/>
    <d v="2025-03-03T00:00:00"/>
    <d v="2025-03-31T00:00:00"/>
    <x v="21"/>
    <m/>
    <m/>
    <n v="8504"/>
    <n v="75490"/>
    <s v="Reunión para carga masiva de expedientes en tiempo real en Yamaha Liberación"/>
    <x v="36"/>
    <n v="9"/>
    <d v="1899-12-30T09:00:00"/>
    <d v="2025-03-05T00:00:00"/>
  </r>
  <r>
    <n v="8502"/>
    <x v="48"/>
    <x v="61"/>
    <n v="247651"/>
    <s v="LUIS FERNANDO BARRIOS MATIAS"/>
    <n v="27"/>
    <x v="5"/>
    <n v="3199"/>
    <x v="6"/>
    <s v="x"/>
    <x v="0"/>
    <n v="2"/>
    <s v="PROCESO"/>
    <n v="3"/>
    <s v="ALTA"/>
    <n v="2"/>
    <n v="2"/>
    <n v="1"/>
    <n v="1"/>
    <n v="3"/>
    <s v="GRANDE"/>
    <d v="2025-03-03T00:00:00"/>
    <m/>
    <m/>
    <x v="4"/>
    <m/>
    <m/>
    <n v="8502"/>
    <n v="76795"/>
    <s v="Pruebas de funcionamiento"/>
    <x v="37"/>
    <n v="4"/>
    <d v="1899-12-30T04:00:00"/>
    <d v="2025-03-10T00:00:00"/>
  </r>
  <r>
    <n v="8502"/>
    <x v="48"/>
    <x v="61"/>
    <n v="247651"/>
    <s v="LUIS FERNANDO BARRIOS MATIAS"/>
    <n v="27"/>
    <x v="5"/>
    <n v="3199"/>
    <x v="6"/>
    <m/>
    <x v="0"/>
    <n v="2"/>
    <s v="PROCESO"/>
    <n v="3"/>
    <s v="ALTA"/>
    <n v="2"/>
    <n v="2"/>
    <n v="1"/>
    <n v="1"/>
    <n v="3"/>
    <s v="GRANDE"/>
    <d v="2025-03-03T00:00:00"/>
    <m/>
    <m/>
    <x v="4"/>
    <m/>
    <m/>
    <n v="8502"/>
    <n v="76793"/>
    <s v="Modificación de las secciones de 14, 15 y 16"/>
    <x v="38"/>
    <n v="8"/>
    <d v="1899-12-30T08:00:00"/>
    <d v="2025-03-10T00:00:00"/>
  </r>
  <r>
    <n v="8502"/>
    <x v="48"/>
    <x v="61"/>
    <n v="247651"/>
    <s v="LUIS FERNANDO BARRIOS MATIAS"/>
    <n v="27"/>
    <x v="5"/>
    <n v="3199"/>
    <x v="6"/>
    <m/>
    <x v="0"/>
    <n v="2"/>
    <s v="PROCESO"/>
    <n v="3"/>
    <s v="ALTA"/>
    <n v="2"/>
    <n v="2"/>
    <n v="1"/>
    <n v="1"/>
    <n v="3"/>
    <s v="GRANDE"/>
    <d v="2025-03-03T00:00:00"/>
    <m/>
    <m/>
    <x v="4"/>
    <m/>
    <m/>
    <n v="8502"/>
    <n v="76792"/>
    <s v="Modificación de las secciones de 11, 12 y 13"/>
    <x v="35"/>
    <n v="8"/>
    <d v="1899-12-30T08:00:00"/>
    <d v="2025-03-10T00:00:00"/>
  </r>
  <r>
    <n v="8502"/>
    <x v="48"/>
    <x v="61"/>
    <n v="247651"/>
    <s v="LUIS FERNANDO BARRIOS MATIAS"/>
    <n v="27"/>
    <x v="5"/>
    <n v="3199"/>
    <x v="6"/>
    <m/>
    <x v="0"/>
    <n v="2"/>
    <s v="PROCESO"/>
    <n v="3"/>
    <s v="ALTA"/>
    <n v="2"/>
    <n v="2"/>
    <n v="1"/>
    <n v="1"/>
    <n v="3"/>
    <s v="GRANDE"/>
    <d v="2025-03-03T00:00:00"/>
    <m/>
    <m/>
    <x v="4"/>
    <m/>
    <m/>
    <n v="8502"/>
    <n v="76752"/>
    <s v="Modificación de las secciones de 8, 9 y 10"/>
    <x v="6"/>
    <n v="8"/>
    <d v="1899-12-30T08:00:00"/>
    <d v="2025-03-10T00:00:00"/>
  </r>
  <r>
    <n v="8505"/>
    <x v="51"/>
    <x v="62"/>
    <n v="247648"/>
    <s v="WALTER GABRIEL CARDOZA GIRON"/>
    <n v="30"/>
    <x v="0"/>
    <n v="3233"/>
    <x v="0"/>
    <s v="x"/>
    <x v="0"/>
    <n v="2"/>
    <s v="PROCESO"/>
    <n v="3"/>
    <s v="ALTA"/>
    <n v="2"/>
    <n v="2"/>
    <n v="2"/>
    <n v="2"/>
    <n v="3"/>
    <s v="GRANDE"/>
    <d v="2025-02-13T00:00:00"/>
    <d v="2025-03-13T00:00:00"/>
    <d v="2025-04-30T00:00:00"/>
    <x v="4"/>
    <m/>
    <s v="&lt;p&gt;Hacer cubo Power BI analisis datos U-Contact&lt;/p&gt;"/>
    <n v="8505"/>
    <n v="76745"/>
    <s v="hacer cubo"/>
    <x v="38"/>
    <n v="3"/>
    <d v="1899-12-30T03:00:00"/>
    <d v="2025-03-10T00:00:00"/>
  </r>
  <r>
    <n v="8505"/>
    <x v="51"/>
    <x v="62"/>
    <n v="247648"/>
    <s v="WALTER GABRIEL CARDOZA GIRON"/>
    <n v="30"/>
    <x v="0"/>
    <n v="3233"/>
    <x v="0"/>
    <m/>
    <x v="0"/>
    <n v="2"/>
    <s v="PROCESO"/>
    <n v="3"/>
    <s v="ALTA"/>
    <n v="2"/>
    <n v="2"/>
    <n v="2"/>
    <n v="2"/>
    <n v="3"/>
    <s v="GRANDE"/>
    <d v="2025-02-13T00:00:00"/>
    <d v="2025-03-13T00:00:00"/>
    <d v="2025-04-30T00:00:00"/>
    <x v="4"/>
    <m/>
    <s v="&lt;p&gt;Hacer cubo Power BI analisis datos U-Contact&lt;/p&gt;"/>
    <n v="8505"/>
    <n v="76053"/>
    <s v="analisis para hacer cubo solicitado"/>
    <x v="35"/>
    <n v="3"/>
    <d v="1899-12-30T03:00:00"/>
    <d v="2025-03-07T00:00:00"/>
  </r>
  <r>
    <n v="8505"/>
    <x v="51"/>
    <x v="62"/>
    <n v="247648"/>
    <s v="WALTER GABRIEL CARDOZA GIRON"/>
    <n v="30"/>
    <x v="0"/>
    <n v="3233"/>
    <x v="0"/>
    <m/>
    <x v="0"/>
    <n v="2"/>
    <s v="PROCESO"/>
    <n v="3"/>
    <s v="ALTA"/>
    <n v="2"/>
    <n v="2"/>
    <n v="2"/>
    <n v="2"/>
    <n v="3"/>
    <s v="GRANDE"/>
    <d v="2025-02-13T00:00:00"/>
    <d v="2025-03-13T00:00:00"/>
    <d v="2025-04-30T00:00:00"/>
    <x v="4"/>
    <m/>
    <s v="&lt;p&gt;Hacer cubo Power BI analisis datos U-Contact&lt;/p&gt;"/>
    <n v="8505"/>
    <n v="75701"/>
    <s v="hacer pruebas conexion"/>
    <x v="6"/>
    <n v="1.5"/>
    <d v="1899-12-30T01:30:00"/>
    <d v="2025-03-05T00:00:00"/>
  </r>
  <r>
    <n v="8505"/>
    <x v="51"/>
    <x v="62"/>
    <n v="247648"/>
    <s v="WALTER GABRIEL CARDOZA GIRON"/>
    <n v="30"/>
    <x v="0"/>
    <n v="3233"/>
    <x v="0"/>
    <m/>
    <x v="0"/>
    <n v="2"/>
    <s v="PROCESO"/>
    <n v="3"/>
    <s v="ALTA"/>
    <n v="2"/>
    <n v="2"/>
    <n v="2"/>
    <n v="2"/>
    <n v="3"/>
    <s v="GRANDE"/>
    <d v="2025-02-13T00:00:00"/>
    <d v="2025-03-13T00:00:00"/>
    <d v="2025-04-30T00:00:00"/>
    <x v="4"/>
    <m/>
    <s v="&lt;p&gt;Hacer cubo Power BI analisis datos U-Contact&lt;/p&gt;"/>
    <n v="8505"/>
    <n v="75507"/>
    <s v="pruebas conexion"/>
    <x v="36"/>
    <n v="1"/>
    <d v="1899-12-30T01:00:00"/>
    <d v="2025-03-05T00:00:00"/>
  </r>
  <r>
    <n v="8505"/>
    <x v="51"/>
    <x v="62"/>
    <n v="247648"/>
    <s v="WALTER GABRIEL CARDOZA GIRON"/>
    <n v="30"/>
    <x v="0"/>
    <n v="3233"/>
    <x v="0"/>
    <m/>
    <x v="0"/>
    <n v="2"/>
    <s v="PROCESO"/>
    <n v="3"/>
    <s v="ALTA"/>
    <n v="2"/>
    <n v="2"/>
    <n v="2"/>
    <n v="2"/>
    <n v="3"/>
    <s v="GRANDE"/>
    <d v="2025-02-13T00:00:00"/>
    <d v="2025-03-13T00:00:00"/>
    <d v="2025-04-30T00:00:00"/>
    <x v="4"/>
    <m/>
    <s v="&lt;p&gt;Hacer cubo Power BI analisis datos U-Contact&lt;/p&gt;"/>
    <n v="8505"/>
    <n v="75158"/>
    <s v="instalar Mysql y hacer pruebas conexion"/>
    <x v="29"/>
    <n v="2"/>
    <d v="1899-12-30T02:00:00"/>
    <d v="2025-03-03T00:00:00"/>
  </r>
  <r>
    <n v="8505"/>
    <x v="51"/>
    <x v="62"/>
    <n v="247648"/>
    <s v="WALTER GABRIEL CARDOZA GIRON"/>
    <n v="30"/>
    <x v="0"/>
    <n v="3233"/>
    <x v="0"/>
    <m/>
    <x v="0"/>
    <n v="2"/>
    <s v="PROCESO"/>
    <n v="3"/>
    <s v="ALTA"/>
    <n v="2"/>
    <n v="2"/>
    <n v="2"/>
    <n v="2"/>
    <n v="3"/>
    <s v="GRANDE"/>
    <d v="2025-02-13T00:00:00"/>
    <d v="2025-03-13T00:00:00"/>
    <d v="2025-04-30T00:00:00"/>
    <x v="4"/>
    <m/>
    <s v="&lt;p&gt;Hacer cubo Power BI analisis datos U-Contact&lt;/p&gt;"/>
    <n v="8505"/>
    <n v="75157"/>
    <s v="analisis cubo"/>
    <x v="14"/>
    <n v="1"/>
    <d v="1899-12-30T01:00:00"/>
    <d v="2025-03-03T00:00:00"/>
  </r>
  <r>
    <n v="8505"/>
    <x v="51"/>
    <x v="62"/>
    <n v="247648"/>
    <s v="WALTER GABRIEL CARDOZA GIRON"/>
    <n v="30"/>
    <x v="0"/>
    <n v="3233"/>
    <x v="0"/>
    <m/>
    <x v="0"/>
    <n v="2"/>
    <s v="PROCESO"/>
    <n v="3"/>
    <s v="ALTA"/>
    <n v="2"/>
    <n v="2"/>
    <n v="2"/>
    <n v="2"/>
    <n v="3"/>
    <s v="GRANDE"/>
    <d v="2025-02-13T00:00:00"/>
    <d v="2025-03-13T00:00:00"/>
    <d v="2025-04-30T00:00:00"/>
    <x v="4"/>
    <m/>
    <s v="&lt;p&gt;Hacer cubo Power BI analisis datos U-Contact&lt;/p&gt;"/>
    <n v="8505"/>
    <n v="75156"/>
    <s v="reunion toma requerimientos"/>
    <x v="15"/>
    <n v="1.5"/>
    <d v="1899-12-30T01:30:00"/>
    <d v="2025-03-03T00:00:00"/>
  </r>
  <r>
    <n v="8477"/>
    <x v="51"/>
    <x v="63"/>
    <n v="247813"/>
    <s v="OSCAR RAUL HERNANDEZ REYNA"/>
    <n v="29"/>
    <x v="1"/>
    <n v="252"/>
    <x v="13"/>
    <s v="x"/>
    <x v="0"/>
    <n v="2"/>
    <s v="PROCESO"/>
    <n v="2"/>
    <s v="MEDIA"/>
    <n v="1"/>
    <n v="1"/>
    <n v="2"/>
    <n v="2"/>
    <n v="1"/>
    <s v="PEQUEÑO"/>
    <m/>
    <m/>
    <m/>
    <x v="21"/>
    <m/>
    <m/>
    <m/>
    <m/>
    <m/>
    <x v="5"/>
    <m/>
    <m/>
    <m/>
  </r>
  <r>
    <n v="8489"/>
    <x v="51"/>
    <x v="64"/>
    <n v="247647"/>
    <s v="EMILIA LETICIA DIAZ MAZARIEGOS"/>
    <n v="30"/>
    <x v="0"/>
    <n v="3233"/>
    <x v="0"/>
    <s v="x"/>
    <x v="1"/>
    <n v="3"/>
    <s v="REPORTE"/>
    <n v="2"/>
    <s v="MEDIA"/>
    <n v="2"/>
    <n v="2"/>
    <n v="1"/>
    <n v="1"/>
    <n v="2"/>
    <s v="MEDIANO"/>
    <d v="2025-02-26T00:00:00"/>
    <d v="2025-02-26T00:00:00"/>
    <d v="2025-03-07T00:00:00"/>
    <x v="17"/>
    <m/>
    <s v="&lt;p&gt;Cambios a reporte de compras Auditoria solicitados por auditoras&lt;/p&gt;"/>
    <n v="8489"/>
    <n v="75155"/>
    <s v="agregar columnas solicitadas a reporte"/>
    <x v="29"/>
    <n v="2"/>
    <d v="1899-12-30T02:00:00"/>
    <d v="2025-03-03T00:00:00"/>
  </r>
  <r>
    <n v="8489"/>
    <x v="51"/>
    <x v="64"/>
    <n v="247647"/>
    <s v="EMILIA LETICIA DIAZ MAZARIEGOS"/>
    <n v="30"/>
    <x v="0"/>
    <n v="3233"/>
    <x v="0"/>
    <m/>
    <x v="1"/>
    <n v="3"/>
    <s v="REPORTE"/>
    <n v="2"/>
    <s v="MEDIA"/>
    <n v="2"/>
    <n v="2"/>
    <n v="1"/>
    <n v="1"/>
    <n v="2"/>
    <s v="MEDIANO"/>
    <d v="2025-02-26T00:00:00"/>
    <d v="2025-02-26T00:00:00"/>
    <d v="2025-03-07T00:00:00"/>
    <x v="17"/>
    <m/>
    <s v="&lt;p&gt;Cambios a reporte de compras Auditoria solicitados por auditoras&lt;/p&gt;"/>
    <n v="8489"/>
    <n v="74650"/>
    <s v="cambios a reporte"/>
    <x v="8"/>
    <n v="2.5"/>
    <d v="1899-12-30T02:30:00"/>
    <d v="2025-02-28T00:00:00"/>
  </r>
  <r>
    <n v="8489"/>
    <x v="51"/>
    <x v="64"/>
    <n v="247647"/>
    <s v="EMILIA LETICIA DIAZ MAZARIEGOS"/>
    <n v="30"/>
    <x v="0"/>
    <n v="3233"/>
    <x v="0"/>
    <m/>
    <x v="1"/>
    <n v="3"/>
    <s v="REPORTE"/>
    <n v="2"/>
    <s v="MEDIA"/>
    <n v="2"/>
    <n v="2"/>
    <n v="1"/>
    <n v="1"/>
    <n v="2"/>
    <s v="MEDIANO"/>
    <d v="2025-02-26T00:00:00"/>
    <d v="2025-02-26T00:00:00"/>
    <d v="2025-03-07T00:00:00"/>
    <x v="17"/>
    <m/>
    <s v="&lt;p&gt;Cambios a reporte de compras Auditoria solicitados por auditoras&lt;/p&gt;"/>
    <n v="8489"/>
    <n v="74035"/>
    <s v="cambios solicitados al reporte"/>
    <x v="9"/>
    <n v="2"/>
    <d v="1899-12-30T02:00:00"/>
    <d v="2025-02-27T00:00:00"/>
  </r>
  <r>
    <n v="8489"/>
    <x v="51"/>
    <x v="64"/>
    <n v="247647"/>
    <s v="EMILIA LETICIA DIAZ MAZARIEGOS"/>
    <n v="30"/>
    <x v="0"/>
    <n v="3233"/>
    <x v="0"/>
    <m/>
    <x v="1"/>
    <n v="3"/>
    <s v="REPORTE"/>
    <n v="2"/>
    <s v="MEDIA"/>
    <n v="2"/>
    <n v="2"/>
    <n v="1"/>
    <n v="1"/>
    <n v="2"/>
    <s v="MEDIANO"/>
    <d v="2025-02-26T00:00:00"/>
    <d v="2025-02-26T00:00:00"/>
    <d v="2025-03-07T00:00:00"/>
    <x v="17"/>
    <m/>
    <s v="&lt;p&gt;Cambios a reporte de compras Auditoria solicitados por auditoras&lt;/p&gt;"/>
    <n v="8489"/>
    <n v="73648"/>
    <s v="cambios a reporte"/>
    <x v="10"/>
    <n v="2"/>
    <d v="1899-12-30T02:00:00"/>
    <d v="2025-02-26T00:00:00"/>
  </r>
  <r>
    <n v="8542"/>
    <x v="51"/>
    <x v="65"/>
    <n v="247841"/>
    <s v="WILLIAMS GIOVANNI GALVAN ESTRADA"/>
    <n v="30"/>
    <x v="0"/>
    <n v="3198"/>
    <x v="1"/>
    <s v="x"/>
    <x v="1"/>
    <n v="2"/>
    <s v="PROCESO"/>
    <n v="3"/>
    <s v="ALTA"/>
    <n v="1"/>
    <n v="1"/>
    <n v="1"/>
    <n v="1"/>
    <n v="3"/>
    <s v="GRANDE"/>
    <d v="2025-03-03T00:00:00"/>
    <d v="2025-03-04T00:00:00"/>
    <d v="2025-03-28T00:00:00"/>
    <x v="2"/>
    <m/>
    <s v="&lt;p&gt;Se&amp;nbsp;deberá realizar la compatibilidad&amp;nbsp;con el sistema SISCON a SAP 10&lt;/p&gt;"/>
    <n v="8542"/>
    <n v="76808"/>
    <s v="Prubas del modulo solicitud para sap 10"/>
    <x v="38"/>
    <n v="3"/>
    <d v="1899-12-30T03:00:00"/>
    <d v="2025-03-10T00:00:00"/>
  </r>
  <r>
    <n v="8542"/>
    <x v="51"/>
    <x v="65"/>
    <n v="247841"/>
    <s v="WILLIAMS GIOVANNI GALVAN ESTRADA"/>
    <n v="30"/>
    <x v="0"/>
    <n v="3198"/>
    <x v="1"/>
    <m/>
    <x v="1"/>
    <n v="2"/>
    <s v="PROCESO"/>
    <n v="3"/>
    <s v="ALTA"/>
    <n v="1"/>
    <n v="1"/>
    <n v="1"/>
    <n v="1"/>
    <n v="3"/>
    <s v="GRANDE"/>
    <d v="2025-03-03T00:00:00"/>
    <d v="2025-03-04T00:00:00"/>
    <d v="2025-03-28T00:00:00"/>
    <x v="2"/>
    <m/>
    <s v="&lt;p&gt;Se&amp;nbsp;deberá realizar la compatibilidad&amp;nbsp;con el sistema SISCON a SAP 10&lt;/p&gt;"/>
    <n v="8542"/>
    <n v="76807"/>
    <s v="Se realiza pruebas del modulo de definiciones para la consulta de tablas de sap"/>
    <x v="38"/>
    <n v="2"/>
    <d v="1899-12-30T02:00:00"/>
    <d v="2025-03-10T00:00:00"/>
  </r>
  <r>
    <n v="8542"/>
    <x v="51"/>
    <x v="65"/>
    <n v="247841"/>
    <s v="WILLIAMS GIOVANNI GALVAN ESTRADA"/>
    <n v="30"/>
    <x v="0"/>
    <n v="3198"/>
    <x v="1"/>
    <m/>
    <x v="1"/>
    <n v="2"/>
    <s v="PROCESO"/>
    <n v="3"/>
    <s v="ALTA"/>
    <n v="1"/>
    <n v="1"/>
    <n v="1"/>
    <n v="1"/>
    <n v="3"/>
    <s v="GRANDE"/>
    <d v="2025-03-03T00:00:00"/>
    <d v="2025-03-04T00:00:00"/>
    <d v="2025-03-28T00:00:00"/>
    <x v="2"/>
    <m/>
    <s v="&lt;p&gt;Se&amp;nbsp;deberá realizar la compatibilidad&amp;nbsp;con el sistema SISCON a SAP 10&lt;/p&gt;"/>
    <n v="8542"/>
    <n v="76806"/>
    <s v="Se realiza la publicacion de siscon en el servidor de sap 10"/>
    <x v="38"/>
    <n v="3"/>
    <d v="1899-12-30T03:00:00"/>
    <d v="2025-03-10T00:00:00"/>
  </r>
  <r>
    <n v="8496"/>
    <x v="51"/>
    <x v="66"/>
    <n v="247828"/>
    <s v="DOUGLAS ALEJANDRO MALDONADO DUMAS"/>
    <n v="21"/>
    <x v="3"/>
    <n v="3233"/>
    <x v="0"/>
    <s v="x"/>
    <x v="1"/>
    <n v="2"/>
    <s v="PROCESO"/>
    <n v="1"/>
    <s v="BAJA"/>
    <n v="1"/>
    <n v="1"/>
    <n v="1"/>
    <n v="1"/>
    <n v="1"/>
    <s v="PEQUEÑO"/>
    <d v="2025-02-27T00:00:00"/>
    <d v="2025-02-27T00:00:00"/>
    <d v="2025-02-27T00:00:00"/>
    <x v="22"/>
    <m/>
    <s v="&lt;p&gt;Modificacion cubos talleres autos para que aparezca Taller Huehue&lt;/p&gt;"/>
    <n v="8496"/>
    <n v="74305"/>
    <s v="cambios cubos"/>
    <x v="9"/>
    <n v="0.5"/>
    <d v="1899-12-30T00:30:00"/>
    <d v="2025-02-28T00:00:00"/>
  </r>
  <r>
    <n v="8496"/>
    <x v="51"/>
    <x v="66"/>
    <n v="247828"/>
    <s v="DOUGLAS ALEJANDRO MALDONADO DUMAS"/>
    <n v="21"/>
    <x v="3"/>
    <n v="3233"/>
    <x v="0"/>
    <m/>
    <x v="1"/>
    <n v="2"/>
    <s v="PROCESO"/>
    <n v="1"/>
    <s v="BAJA"/>
    <n v="1"/>
    <n v="1"/>
    <n v="1"/>
    <n v="1"/>
    <n v="1"/>
    <s v="PEQUEÑO"/>
    <d v="2025-02-27T00:00:00"/>
    <d v="2025-02-27T00:00:00"/>
    <d v="2025-02-27T00:00:00"/>
    <x v="22"/>
    <m/>
    <s v="&lt;p&gt;Modificacion cubos talleres autos para que aparezca Taller Huehue&lt;/p&gt;"/>
    <n v="8496"/>
    <n v="74293"/>
    <s v="cambios cubos"/>
    <x v="9"/>
    <n v="0.5"/>
    <d v="1899-12-30T00:30:00"/>
    <d v="2025-02-28T00:00:00"/>
  </r>
  <r>
    <n v="8550"/>
    <x v="51"/>
    <x v="67"/>
    <n v="289092"/>
    <s v="CESAR ORLANDO MARTINEZ ABAL"/>
    <n v="30"/>
    <x v="0"/>
    <n v="3200"/>
    <x v="5"/>
    <s v="x"/>
    <x v="0"/>
    <n v="2"/>
    <s v="PROCESO"/>
    <n v="3"/>
    <s v="ALTA"/>
    <n v="3"/>
    <n v="3"/>
    <n v="3"/>
    <n v="3"/>
    <n v="3"/>
    <s v="GRANDE"/>
    <d v="2025-03-07T00:00:00"/>
    <d v="2025-03-07T00:00:00"/>
    <m/>
    <x v="19"/>
    <m/>
    <m/>
    <n v="8550"/>
    <n v="77063"/>
    <s v="Se instalo el driver de la impresora canon y revisión de la configuración"/>
    <x v="27"/>
    <n v="1.3333333333333299"/>
    <d v="1899-12-30T01:20:00"/>
    <d v="2025-03-11T00:00:00"/>
  </r>
  <r>
    <n v="8550"/>
    <x v="51"/>
    <x v="67"/>
    <n v="289092"/>
    <s v="CESAR ORLANDO MARTINEZ ABAL"/>
    <n v="30"/>
    <x v="0"/>
    <n v="3200"/>
    <x v="5"/>
    <m/>
    <x v="0"/>
    <n v="2"/>
    <s v="PROCESO"/>
    <n v="3"/>
    <s v="ALTA"/>
    <n v="3"/>
    <n v="3"/>
    <n v="3"/>
    <n v="3"/>
    <n v="3"/>
    <s v="GRANDE"/>
    <d v="2025-03-07T00:00:00"/>
    <d v="2025-03-07T00:00:00"/>
    <m/>
    <x v="19"/>
    <m/>
    <m/>
    <n v="8550"/>
    <n v="77033"/>
    <s v="Se finalizo el query solicitado y fue probado por el usuario solicitante"/>
    <x v="28"/>
    <n v="1"/>
    <d v="1899-12-30T01:00:00"/>
    <d v="2025-03-11T00:00:00"/>
  </r>
  <r>
    <n v="8550"/>
    <x v="51"/>
    <x v="67"/>
    <n v="289092"/>
    <s v="CESAR ORLANDO MARTINEZ ABAL"/>
    <n v="30"/>
    <x v="0"/>
    <n v="3200"/>
    <x v="5"/>
    <m/>
    <x v="0"/>
    <n v="2"/>
    <s v="PROCESO"/>
    <n v="3"/>
    <s v="ALTA"/>
    <n v="3"/>
    <n v="3"/>
    <n v="3"/>
    <n v="3"/>
    <n v="3"/>
    <s v="GRANDE"/>
    <d v="2025-03-07T00:00:00"/>
    <d v="2025-03-07T00:00:00"/>
    <m/>
    <x v="19"/>
    <m/>
    <m/>
    <n v="8550"/>
    <n v="77035"/>
    <s v="Se me capacito con temas relacionados a eWMS"/>
    <x v="38"/>
    <n v="3"/>
    <d v="1899-12-30T03:00:00"/>
    <d v="2025-03-11T00:00:00"/>
  </r>
  <r>
    <n v="8550"/>
    <x v="51"/>
    <x v="67"/>
    <n v="289092"/>
    <s v="CESAR ORLANDO MARTINEZ ABAL"/>
    <n v="30"/>
    <x v="0"/>
    <n v="3200"/>
    <x v="5"/>
    <m/>
    <x v="0"/>
    <n v="2"/>
    <s v="PROCESO"/>
    <n v="3"/>
    <s v="ALTA"/>
    <n v="3"/>
    <n v="3"/>
    <n v="3"/>
    <n v="3"/>
    <n v="3"/>
    <s v="GRANDE"/>
    <d v="2025-03-07T00:00:00"/>
    <d v="2025-03-07T00:00:00"/>
    <m/>
    <x v="19"/>
    <m/>
    <m/>
    <n v="8550"/>
    <n v="77031"/>
    <s v="Se comenzó un query que permite visualizar que documentos tiene facturas. Solicitado por Esteban"/>
    <x v="38"/>
    <n v="3.5"/>
    <d v="1899-12-30T03:30:00"/>
    <d v="2025-03-11T00:00:00"/>
  </r>
  <r>
    <n v="8550"/>
    <x v="51"/>
    <x v="67"/>
    <n v="289092"/>
    <s v="CESAR ORLANDO MARTINEZ ABAL"/>
    <n v="30"/>
    <x v="0"/>
    <n v="3200"/>
    <x v="5"/>
    <m/>
    <x v="0"/>
    <n v="2"/>
    <s v="PROCESO"/>
    <n v="3"/>
    <s v="ALTA"/>
    <n v="3"/>
    <n v="3"/>
    <n v="3"/>
    <n v="3"/>
    <n v="3"/>
    <s v="GRANDE"/>
    <d v="2025-03-07T00:00:00"/>
    <d v="2025-03-07T00:00:00"/>
    <m/>
    <x v="19"/>
    <m/>
    <m/>
    <n v="8550"/>
    <n v="77027"/>
    <s v="Se brindo soporte y la instalación correspondiente al área de encomienda"/>
    <x v="38"/>
    <n v="2.5"/>
    <d v="1899-12-30T02:30:00"/>
    <d v="2025-03-11T00:00:00"/>
  </r>
  <r>
    <n v="8546"/>
    <x v="51"/>
    <x v="68"/>
    <n v="247700"/>
    <s v="HEBER ENRIQUE CONTRERAS IZQUIERDO"/>
    <n v="30"/>
    <x v="0"/>
    <n v="3200"/>
    <x v="5"/>
    <s v="x"/>
    <x v="0"/>
    <n v="2"/>
    <s v="PROCESO"/>
    <n v="2"/>
    <s v="MEDIA"/>
    <n v="2"/>
    <n v="2"/>
    <n v="2"/>
    <n v="2"/>
    <n v="2"/>
    <s v="MEDIANO"/>
    <d v="2025-03-10T00:00:00"/>
    <d v="2025-03-10T00:00:00"/>
    <d v="2025-03-10T00:00:00"/>
    <x v="19"/>
    <d v="2025-03-10T00:00:00"/>
    <s v="&lt;p&gt;Revisión de porque un modelo en especifico no aparecía (FNZ150D-AS) para que siga su proceso en ensamble.&lt;/p&gt;"/>
    <n v="8546"/>
    <n v="76883"/>
    <s v="Se comenzó a revisar las consultas para verificar donde esta el problema"/>
    <x v="28"/>
    <n v="1"/>
    <d v="1899-12-30T01:00:00"/>
    <d v="2025-03-10T00:00:00"/>
  </r>
  <r>
    <n v="8546"/>
    <x v="51"/>
    <x v="68"/>
    <n v="247700"/>
    <s v="HEBER ENRIQUE CONTRERAS IZQUIERDO"/>
    <n v="30"/>
    <x v="0"/>
    <n v="3200"/>
    <x v="5"/>
    <m/>
    <x v="0"/>
    <n v="2"/>
    <s v="PROCESO"/>
    <n v="2"/>
    <s v="MEDIA"/>
    <n v="2"/>
    <n v="2"/>
    <n v="2"/>
    <n v="2"/>
    <n v="2"/>
    <s v="MEDIANO"/>
    <d v="2025-03-10T00:00:00"/>
    <d v="2025-03-10T00:00:00"/>
    <d v="2025-03-10T00:00:00"/>
    <x v="19"/>
    <d v="2025-03-10T00:00:00"/>
    <s v="&lt;p&gt;Revisión de porque un modelo en especifico no aparecía (FNZ150D-AS) para que siga su proceso en ensamble.&lt;/p&gt;"/>
    <n v="8546"/>
    <n v="76882"/>
    <s v="Se tuvo reunión con el programado de la APP de ensamble"/>
    <x v="28"/>
    <n v="2"/>
    <d v="1899-12-30T02:00:00"/>
    <d v="2025-03-10T00:00:00"/>
  </r>
  <r>
    <n v="8551"/>
    <x v="51"/>
    <x v="68"/>
    <n v="247700"/>
    <s v="HEBER ENRIQUE CONTRERAS IZQUIERDO"/>
    <n v="30"/>
    <x v="0"/>
    <n v="339"/>
    <x v="14"/>
    <s v="x"/>
    <x v="0"/>
    <n v="2"/>
    <s v="PROCESO"/>
    <n v="2"/>
    <s v="MEDIA"/>
    <n v="2"/>
    <n v="2"/>
    <n v="2"/>
    <n v="2"/>
    <n v="2"/>
    <s v="MEDIANO"/>
    <d v="2025-03-10T00:00:00"/>
    <d v="2025-03-10T00:00:00"/>
    <d v="2025-03-10T00:00:00"/>
    <x v="19"/>
    <m/>
    <m/>
    <n v="8551"/>
    <n v="77038"/>
    <s v="Se comenzó a revisar las consultas para verificar donde esta el problema"/>
    <x v="28"/>
    <n v="1"/>
    <d v="1899-12-30T01:00:00"/>
    <d v="2025-03-11T00:00:00"/>
  </r>
  <r>
    <n v="8551"/>
    <x v="51"/>
    <x v="68"/>
    <n v="247700"/>
    <s v="HEBER ENRIQUE CONTRERAS IZQUIERDO"/>
    <n v="30"/>
    <x v="0"/>
    <n v="339"/>
    <x v="14"/>
    <m/>
    <x v="0"/>
    <n v="2"/>
    <s v="PROCESO"/>
    <n v="2"/>
    <s v="MEDIA"/>
    <n v="2"/>
    <n v="2"/>
    <n v="2"/>
    <n v="2"/>
    <n v="2"/>
    <s v="MEDIANO"/>
    <d v="2025-03-10T00:00:00"/>
    <d v="2025-03-10T00:00:00"/>
    <d v="2025-03-10T00:00:00"/>
    <x v="19"/>
    <m/>
    <m/>
    <n v="8551"/>
    <n v="77037"/>
    <s v="Se tuvo reunion con el programador de la APP de ensamble"/>
    <x v="28"/>
    <n v="2"/>
    <d v="1899-12-30T02:00:00"/>
    <d v="2025-03-11T00:00:00"/>
  </r>
  <r>
    <n v="8487"/>
    <x v="51"/>
    <x v="69"/>
    <n v="247883"/>
    <s v="MANUEL BONIFACIO SANIC PONCIO"/>
    <n v="30"/>
    <x v="0"/>
    <n v="3233"/>
    <x v="0"/>
    <s v="x"/>
    <x v="1"/>
    <n v="3"/>
    <s v="REPORTE"/>
    <n v="2"/>
    <s v="MEDIA"/>
    <n v="1"/>
    <n v="1"/>
    <n v="1"/>
    <n v="1"/>
    <n v="2"/>
    <s v="MEDIANO"/>
    <d v="2025-02-19T00:00:00"/>
    <d v="2025-02-19T00:00:00"/>
    <d v="2025-03-05T00:00:00"/>
    <x v="23"/>
    <m/>
    <m/>
    <n v="8487"/>
    <n v="76054"/>
    <s v="QA del reporte"/>
    <x v="35"/>
    <n v="1.5"/>
    <d v="1899-12-30T01:30:00"/>
    <d v="2025-03-07T00:00:00"/>
  </r>
  <r>
    <n v="8487"/>
    <x v="51"/>
    <x v="69"/>
    <n v="247883"/>
    <s v="MANUEL BONIFACIO SANIC PONCIO"/>
    <n v="30"/>
    <x v="0"/>
    <n v="3233"/>
    <x v="0"/>
    <m/>
    <x v="1"/>
    <n v="3"/>
    <s v="REPORTE"/>
    <n v="2"/>
    <s v="MEDIA"/>
    <n v="1"/>
    <n v="1"/>
    <n v="1"/>
    <n v="1"/>
    <n v="2"/>
    <s v="MEDIANO"/>
    <d v="2025-02-19T00:00:00"/>
    <d v="2025-02-19T00:00:00"/>
    <d v="2025-03-05T00:00:00"/>
    <x v="23"/>
    <m/>
    <m/>
    <n v="8487"/>
    <n v="75506"/>
    <s v="cambios a reporte"/>
    <x v="36"/>
    <n v="2.5"/>
    <d v="1899-12-30T02:30:00"/>
    <d v="2025-03-05T00:00:00"/>
  </r>
  <r>
    <n v="8487"/>
    <x v="51"/>
    <x v="69"/>
    <n v="247883"/>
    <s v="MANUEL BONIFACIO SANIC PONCIO"/>
    <n v="30"/>
    <x v="0"/>
    <n v="3233"/>
    <x v="0"/>
    <m/>
    <x v="1"/>
    <n v="3"/>
    <s v="REPORTE"/>
    <n v="2"/>
    <s v="MEDIA"/>
    <n v="1"/>
    <n v="1"/>
    <n v="1"/>
    <n v="1"/>
    <n v="2"/>
    <s v="MEDIANO"/>
    <d v="2025-02-19T00:00:00"/>
    <d v="2025-02-19T00:00:00"/>
    <d v="2025-03-05T00:00:00"/>
    <x v="23"/>
    <m/>
    <m/>
    <n v="8487"/>
    <n v="74653"/>
    <s v="cambios a reporte"/>
    <x v="8"/>
    <n v="1.5"/>
    <d v="1899-12-30T01:30:00"/>
    <d v="2025-02-28T00:00:00"/>
  </r>
  <r>
    <n v="8487"/>
    <x v="51"/>
    <x v="69"/>
    <n v="247883"/>
    <s v="MANUEL BONIFACIO SANIC PONCIO"/>
    <n v="30"/>
    <x v="0"/>
    <n v="3233"/>
    <x v="0"/>
    <m/>
    <x v="1"/>
    <n v="3"/>
    <s v="REPORTE"/>
    <n v="2"/>
    <s v="MEDIA"/>
    <n v="1"/>
    <n v="1"/>
    <n v="1"/>
    <n v="1"/>
    <n v="2"/>
    <s v="MEDIANO"/>
    <d v="2025-02-19T00:00:00"/>
    <d v="2025-02-19T00:00:00"/>
    <d v="2025-03-05T00:00:00"/>
    <x v="23"/>
    <m/>
    <m/>
    <n v="8487"/>
    <n v="74038"/>
    <s v="cambios a reporte"/>
    <x v="9"/>
    <n v="1.5"/>
    <d v="1899-12-30T01:30:00"/>
    <d v="2025-02-27T00:00:00"/>
  </r>
  <r>
    <n v="8487"/>
    <x v="51"/>
    <x v="69"/>
    <n v="247883"/>
    <s v="MANUEL BONIFACIO SANIC PONCIO"/>
    <n v="30"/>
    <x v="0"/>
    <n v="3233"/>
    <x v="0"/>
    <m/>
    <x v="1"/>
    <n v="3"/>
    <s v="REPORTE"/>
    <n v="2"/>
    <s v="MEDIA"/>
    <n v="1"/>
    <n v="1"/>
    <n v="1"/>
    <n v="1"/>
    <n v="2"/>
    <s v="MEDIANO"/>
    <d v="2025-02-19T00:00:00"/>
    <d v="2025-02-19T00:00:00"/>
    <d v="2025-03-05T00:00:00"/>
    <x v="23"/>
    <m/>
    <m/>
    <n v="8487"/>
    <n v="73646"/>
    <s v="Cambios a reporte"/>
    <x v="10"/>
    <n v="1"/>
    <d v="1899-12-30T01:00:00"/>
    <d v="2025-02-26T00:00:00"/>
  </r>
  <r>
    <n v="8487"/>
    <x v="51"/>
    <x v="69"/>
    <n v="247883"/>
    <s v="MANUEL BONIFACIO SANIC PONCIO"/>
    <n v="30"/>
    <x v="0"/>
    <n v="3233"/>
    <x v="0"/>
    <m/>
    <x v="1"/>
    <n v="3"/>
    <s v="REPORTE"/>
    <n v="2"/>
    <s v="MEDIA"/>
    <n v="1"/>
    <n v="1"/>
    <n v="1"/>
    <n v="1"/>
    <n v="2"/>
    <s v="MEDIANO"/>
    <d v="2025-02-19T00:00:00"/>
    <d v="2025-02-19T00:00:00"/>
    <d v="2025-03-05T00:00:00"/>
    <x v="23"/>
    <m/>
    <m/>
    <n v="8487"/>
    <n v="73382"/>
    <s v="Cambios a reporte"/>
    <x v="11"/>
    <n v="1"/>
    <d v="1899-12-30T01:00:00"/>
    <d v="2025-02-25T00:00:00"/>
  </r>
  <r>
    <n v="8487"/>
    <x v="51"/>
    <x v="69"/>
    <n v="247883"/>
    <s v="MANUEL BONIFACIO SANIC PONCIO"/>
    <n v="30"/>
    <x v="0"/>
    <n v="3233"/>
    <x v="0"/>
    <m/>
    <x v="1"/>
    <n v="3"/>
    <s v="REPORTE"/>
    <n v="2"/>
    <s v="MEDIA"/>
    <n v="1"/>
    <n v="1"/>
    <n v="1"/>
    <n v="1"/>
    <n v="2"/>
    <s v="MEDIANO"/>
    <d v="2025-02-19T00:00:00"/>
    <d v="2025-02-19T00:00:00"/>
    <d v="2025-03-05T00:00:00"/>
    <x v="23"/>
    <m/>
    <m/>
    <n v="8487"/>
    <n v="73381"/>
    <s v="analisis y comienzo cambios"/>
    <x v="2"/>
    <n v="1"/>
    <d v="1899-12-30T01:00:00"/>
    <d v="2025-02-25T00:00:00"/>
  </r>
  <r>
    <n v="8448"/>
    <x v="51"/>
    <x v="70"/>
    <n v="247647"/>
    <s v="EMILIA LETICIA DIAZ MAZARIEGOS"/>
    <n v="21"/>
    <x v="3"/>
    <n v="3233"/>
    <x v="0"/>
    <s v="x"/>
    <x v="1"/>
    <n v="3"/>
    <s v="REPORTE"/>
    <n v="2"/>
    <s v="MEDIA"/>
    <n v="1"/>
    <n v="1"/>
    <n v="1"/>
    <n v="1"/>
    <n v="2"/>
    <s v="MEDIANO"/>
    <d v="2025-02-10T00:00:00"/>
    <d v="2025-02-11T00:00:00"/>
    <d v="2025-02-18T00:00:00"/>
    <x v="19"/>
    <m/>
    <s v="&lt;p&gt;Reporte de facturas de compras por servicios en SAP Canella, Maquipos y VESA, según modelo enviado.&lt;/p&gt;"/>
    <n v="8448"/>
    <n v="73463"/>
    <s v="agregar columnas solicitadas al reporte"/>
    <x v="11"/>
    <n v="1.5"/>
    <d v="1899-12-30T01:30:00"/>
    <d v="2025-02-25T00:00:00"/>
  </r>
  <r>
    <n v="8448"/>
    <x v="51"/>
    <x v="70"/>
    <n v="247647"/>
    <s v="EMILIA LETICIA DIAZ MAZARIEGOS"/>
    <n v="21"/>
    <x v="3"/>
    <n v="3233"/>
    <x v="0"/>
    <m/>
    <x v="1"/>
    <n v="3"/>
    <s v="REPORTE"/>
    <n v="2"/>
    <s v="MEDIA"/>
    <n v="1"/>
    <n v="1"/>
    <n v="1"/>
    <n v="1"/>
    <n v="2"/>
    <s v="MEDIANO"/>
    <d v="2025-02-10T00:00:00"/>
    <d v="2025-02-11T00:00:00"/>
    <d v="2025-02-18T00:00:00"/>
    <x v="19"/>
    <m/>
    <s v="&lt;p&gt;Reporte de facturas de compras por servicios en SAP Canella, Maquipos y VESA, según modelo enviado.&lt;/p&gt;"/>
    <n v="8448"/>
    <n v="72098"/>
    <s v="cambios solicitados"/>
    <x v="3"/>
    <n v="2"/>
    <d v="1899-12-30T02:00:00"/>
    <d v="2025-02-20T00:00:00"/>
  </r>
  <r>
    <n v="8448"/>
    <x v="51"/>
    <x v="70"/>
    <n v="247647"/>
    <s v="EMILIA LETICIA DIAZ MAZARIEGOS"/>
    <n v="21"/>
    <x v="3"/>
    <n v="3233"/>
    <x v="0"/>
    <m/>
    <x v="1"/>
    <n v="3"/>
    <s v="REPORTE"/>
    <n v="2"/>
    <s v="MEDIA"/>
    <n v="1"/>
    <n v="1"/>
    <n v="1"/>
    <n v="1"/>
    <n v="2"/>
    <s v="MEDIANO"/>
    <d v="2025-02-10T00:00:00"/>
    <d v="2025-02-11T00:00:00"/>
    <d v="2025-02-18T00:00:00"/>
    <x v="19"/>
    <m/>
    <s v="&lt;p&gt;Reporte de facturas de compras por servicios en SAP Canella, Maquipos y VESA, según modelo enviado.&lt;/p&gt;"/>
    <n v="8448"/>
    <n v="72097"/>
    <s v="programacion"/>
    <x v="13"/>
    <n v="3"/>
    <d v="1899-12-30T03:00:00"/>
    <d v="2025-02-20T00:00:00"/>
  </r>
  <r>
    <n v="8448"/>
    <x v="51"/>
    <x v="70"/>
    <n v="247647"/>
    <s v="EMILIA LETICIA DIAZ MAZARIEGOS"/>
    <n v="21"/>
    <x v="3"/>
    <n v="3233"/>
    <x v="0"/>
    <m/>
    <x v="1"/>
    <n v="3"/>
    <s v="REPORTE"/>
    <n v="2"/>
    <s v="MEDIA"/>
    <n v="1"/>
    <n v="1"/>
    <n v="1"/>
    <n v="1"/>
    <n v="2"/>
    <s v="MEDIANO"/>
    <d v="2025-02-10T00:00:00"/>
    <d v="2025-02-11T00:00:00"/>
    <d v="2025-02-18T00:00:00"/>
    <x v="19"/>
    <m/>
    <s v="&lt;p&gt;Reporte de facturas de compras por servicios en SAP Canella, Maquipos y VESA, según modelo enviado.&lt;/p&gt;"/>
    <n v="8448"/>
    <n v="71398"/>
    <s v="hacer reporte para Maquipos y VESA, publicarlo en STOD"/>
    <x v="13"/>
    <n v="3"/>
    <d v="1899-12-30T03:00:00"/>
    <d v="2025-02-17T00:00:00"/>
  </r>
  <r>
    <n v="8448"/>
    <x v="51"/>
    <x v="70"/>
    <n v="247647"/>
    <s v="EMILIA LETICIA DIAZ MAZARIEGOS"/>
    <n v="21"/>
    <x v="3"/>
    <n v="3233"/>
    <x v="0"/>
    <m/>
    <x v="1"/>
    <n v="3"/>
    <s v="REPORTE"/>
    <n v="2"/>
    <s v="MEDIA"/>
    <n v="1"/>
    <n v="1"/>
    <n v="1"/>
    <n v="1"/>
    <n v="2"/>
    <s v="MEDIANO"/>
    <d v="2025-02-10T00:00:00"/>
    <d v="2025-02-11T00:00:00"/>
    <d v="2025-02-18T00:00:00"/>
    <x v="19"/>
    <m/>
    <s v="&lt;p&gt;Reporte de facturas de compras por servicios en SAP Canella, Maquipos y VESA, según modelo enviado.&lt;/p&gt;"/>
    <n v="8448"/>
    <n v="72096"/>
    <s v="programar reporte"/>
    <x v="14"/>
    <n v="2"/>
    <d v="1899-12-30T02:00:00"/>
    <d v="2025-02-20T00:00:00"/>
  </r>
  <r>
    <n v="8448"/>
    <x v="51"/>
    <x v="70"/>
    <n v="247647"/>
    <s v="EMILIA LETICIA DIAZ MAZARIEGOS"/>
    <n v="21"/>
    <x v="3"/>
    <n v="3233"/>
    <x v="0"/>
    <m/>
    <x v="1"/>
    <n v="3"/>
    <s v="REPORTE"/>
    <n v="2"/>
    <s v="MEDIA"/>
    <n v="1"/>
    <n v="1"/>
    <n v="1"/>
    <n v="1"/>
    <n v="2"/>
    <s v="MEDIANO"/>
    <d v="2025-02-10T00:00:00"/>
    <d v="2025-02-11T00:00:00"/>
    <d v="2025-02-18T00:00:00"/>
    <x v="19"/>
    <m/>
    <s v="&lt;p&gt;Reporte de facturas de compras por servicios en SAP Canella, Maquipos y VESA, según modelo enviado.&lt;/p&gt;"/>
    <n v="8448"/>
    <n v="71397"/>
    <s v="hacer reporte para Maquipos y VESA"/>
    <x v="14"/>
    <n v="2"/>
    <d v="1899-12-30T02:00:00"/>
    <d v="2025-02-17T00:00:00"/>
  </r>
  <r>
    <n v="8448"/>
    <x v="51"/>
    <x v="70"/>
    <n v="247647"/>
    <s v="EMILIA LETICIA DIAZ MAZARIEGOS"/>
    <n v="21"/>
    <x v="3"/>
    <n v="3233"/>
    <x v="0"/>
    <m/>
    <x v="1"/>
    <n v="3"/>
    <s v="REPORTE"/>
    <n v="2"/>
    <s v="MEDIA"/>
    <n v="1"/>
    <n v="1"/>
    <n v="1"/>
    <n v="1"/>
    <n v="2"/>
    <s v="MEDIANO"/>
    <d v="2025-02-10T00:00:00"/>
    <d v="2025-02-11T00:00:00"/>
    <d v="2025-02-18T00:00:00"/>
    <x v="19"/>
    <m/>
    <s v="&lt;p&gt;Reporte de facturas de compras por servicios en SAP Canella, Maquipos y VESA, según modelo enviado.&lt;/p&gt;"/>
    <n v="8448"/>
    <n v="72095"/>
    <s v="programar reporte"/>
    <x v="15"/>
    <n v="3"/>
    <d v="1899-12-30T03:00:00"/>
    <d v="2025-02-20T00:00:00"/>
  </r>
  <r>
    <n v="8448"/>
    <x v="51"/>
    <x v="70"/>
    <n v="247647"/>
    <s v="EMILIA LETICIA DIAZ MAZARIEGOS"/>
    <n v="21"/>
    <x v="3"/>
    <n v="3233"/>
    <x v="0"/>
    <m/>
    <x v="1"/>
    <n v="3"/>
    <s v="REPORTE"/>
    <n v="2"/>
    <s v="MEDIA"/>
    <n v="1"/>
    <n v="1"/>
    <n v="1"/>
    <n v="1"/>
    <n v="2"/>
    <s v="MEDIANO"/>
    <d v="2025-02-10T00:00:00"/>
    <d v="2025-02-11T00:00:00"/>
    <d v="2025-02-18T00:00:00"/>
    <x v="19"/>
    <m/>
    <s v="&lt;p&gt;Reporte de facturas de compras por servicios en SAP Canella, Maquipos y VESA, según modelo enviado.&lt;/p&gt;"/>
    <n v="8448"/>
    <n v="71396"/>
    <s v="programación"/>
    <x v="15"/>
    <n v="3"/>
    <d v="1899-12-30T03:00:00"/>
    <d v="2025-02-17T00:00:00"/>
  </r>
  <r>
    <n v="8448"/>
    <x v="51"/>
    <x v="70"/>
    <n v="247647"/>
    <s v="EMILIA LETICIA DIAZ MAZARIEGOS"/>
    <n v="21"/>
    <x v="3"/>
    <n v="3233"/>
    <x v="0"/>
    <m/>
    <x v="1"/>
    <n v="3"/>
    <s v="REPORTE"/>
    <n v="2"/>
    <s v="MEDIA"/>
    <n v="1"/>
    <n v="1"/>
    <n v="1"/>
    <n v="1"/>
    <n v="2"/>
    <s v="MEDIANO"/>
    <d v="2025-02-10T00:00:00"/>
    <d v="2025-02-11T00:00:00"/>
    <d v="2025-02-18T00:00:00"/>
    <x v="19"/>
    <m/>
    <s v="&lt;p&gt;Reporte de facturas de compras por servicios en SAP Canella, Maquipos y VESA, según modelo enviado.&lt;/p&gt;"/>
    <n v="8448"/>
    <n v="72094"/>
    <s v="programar reporte"/>
    <x v="16"/>
    <n v="3"/>
    <d v="1899-12-30T03:00:00"/>
    <d v="2025-02-20T00:00:00"/>
  </r>
  <r>
    <n v="8448"/>
    <x v="51"/>
    <x v="70"/>
    <n v="247647"/>
    <s v="EMILIA LETICIA DIAZ MAZARIEGOS"/>
    <n v="21"/>
    <x v="3"/>
    <n v="3233"/>
    <x v="0"/>
    <m/>
    <x v="1"/>
    <n v="3"/>
    <s v="REPORTE"/>
    <n v="2"/>
    <s v="MEDIA"/>
    <n v="1"/>
    <n v="1"/>
    <n v="1"/>
    <n v="1"/>
    <n v="2"/>
    <s v="MEDIANO"/>
    <d v="2025-02-10T00:00:00"/>
    <d v="2025-02-11T00:00:00"/>
    <d v="2025-02-18T00:00:00"/>
    <x v="19"/>
    <m/>
    <s v="&lt;p&gt;Reporte de facturas de compras por servicios en SAP Canella, Maquipos y VESA, según modelo enviado.&lt;/p&gt;"/>
    <n v="8448"/>
    <n v="71395"/>
    <s v="programación reporte"/>
    <x v="16"/>
    <n v="3"/>
    <d v="1899-12-30T03:00:00"/>
    <d v="2025-02-17T00:00:00"/>
  </r>
  <r>
    <n v="8448"/>
    <x v="51"/>
    <x v="70"/>
    <n v="247647"/>
    <s v="EMILIA LETICIA DIAZ MAZARIEGOS"/>
    <n v="21"/>
    <x v="3"/>
    <n v="3233"/>
    <x v="0"/>
    <m/>
    <x v="1"/>
    <n v="3"/>
    <s v="REPORTE"/>
    <n v="2"/>
    <s v="MEDIA"/>
    <n v="1"/>
    <n v="1"/>
    <n v="1"/>
    <n v="1"/>
    <n v="2"/>
    <s v="MEDIANO"/>
    <d v="2025-02-10T00:00:00"/>
    <d v="2025-02-11T00:00:00"/>
    <d v="2025-02-18T00:00:00"/>
    <x v="19"/>
    <m/>
    <s v="&lt;p&gt;Reporte de facturas de compras por servicios en SAP Canella, Maquipos y VESA, según modelo enviado.&lt;/p&gt;"/>
    <n v="8448"/>
    <n v="72093"/>
    <s v="programar reporte"/>
    <x v="17"/>
    <n v="4"/>
    <d v="1899-12-30T04:00:00"/>
    <d v="2025-02-20T00:00:00"/>
  </r>
  <r>
    <n v="8448"/>
    <x v="51"/>
    <x v="70"/>
    <n v="247647"/>
    <s v="EMILIA LETICIA DIAZ MAZARIEGOS"/>
    <n v="21"/>
    <x v="3"/>
    <n v="3233"/>
    <x v="0"/>
    <m/>
    <x v="1"/>
    <n v="3"/>
    <s v="REPORTE"/>
    <n v="2"/>
    <s v="MEDIA"/>
    <n v="1"/>
    <n v="1"/>
    <n v="1"/>
    <n v="1"/>
    <n v="2"/>
    <s v="MEDIANO"/>
    <d v="2025-02-10T00:00:00"/>
    <d v="2025-02-11T00:00:00"/>
    <d v="2025-02-18T00:00:00"/>
    <x v="19"/>
    <m/>
    <s v="&lt;p&gt;Reporte de facturas de compras por servicios en SAP Canella, Maquipos y VESA, según modelo enviado.&lt;/p&gt;"/>
    <n v="8448"/>
    <n v="71394"/>
    <s v="programación reporte"/>
    <x v="17"/>
    <n v="4"/>
    <d v="1899-12-30T04:00:00"/>
    <d v="2025-02-17T00:00:00"/>
  </r>
  <r>
    <n v="8448"/>
    <x v="51"/>
    <x v="70"/>
    <n v="247647"/>
    <s v="EMILIA LETICIA DIAZ MAZARIEGOS"/>
    <n v="21"/>
    <x v="3"/>
    <n v="3233"/>
    <x v="0"/>
    <m/>
    <x v="1"/>
    <n v="3"/>
    <s v="REPORTE"/>
    <n v="2"/>
    <s v="MEDIA"/>
    <n v="1"/>
    <n v="1"/>
    <n v="1"/>
    <n v="1"/>
    <n v="2"/>
    <s v="MEDIANO"/>
    <d v="2025-02-10T00:00:00"/>
    <d v="2025-02-11T00:00:00"/>
    <d v="2025-02-18T00:00:00"/>
    <x v="19"/>
    <m/>
    <s v="&lt;p&gt;Reporte de facturas de compras por servicios en SAP Canella, Maquipos y VESA, según modelo enviado.&lt;/p&gt;"/>
    <n v="8448"/>
    <n v="72092"/>
    <s v="programacion"/>
    <x v="30"/>
    <n v="3"/>
    <d v="1899-12-30T03:00:00"/>
    <d v="2025-02-20T00:00:00"/>
  </r>
  <r>
    <n v="8448"/>
    <x v="51"/>
    <x v="70"/>
    <n v="247647"/>
    <s v="EMILIA LETICIA DIAZ MAZARIEGOS"/>
    <n v="21"/>
    <x v="3"/>
    <n v="3233"/>
    <x v="0"/>
    <m/>
    <x v="1"/>
    <n v="3"/>
    <s v="REPORTE"/>
    <n v="2"/>
    <s v="MEDIA"/>
    <n v="1"/>
    <n v="1"/>
    <n v="1"/>
    <n v="1"/>
    <n v="2"/>
    <s v="MEDIANO"/>
    <d v="2025-02-10T00:00:00"/>
    <d v="2025-02-11T00:00:00"/>
    <d v="2025-02-18T00:00:00"/>
    <x v="19"/>
    <m/>
    <s v="&lt;p&gt;Reporte de facturas de compras por servicios en SAP Canella, Maquipos y VESA, según modelo enviado.&lt;/p&gt;"/>
    <n v="8448"/>
    <n v="71393"/>
    <s v="reunion con Auditoria, hacer reporte"/>
    <x v="30"/>
    <n v="3"/>
    <d v="1899-12-30T03:00:00"/>
    <d v="2025-02-17T00:00:00"/>
  </r>
  <r>
    <n v="8448"/>
    <x v="51"/>
    <x v="70"/>
    <n v="247647"/>
    <s v="EMILIA LETICIA DIAZ MAZARIEGOS"/>
    <n v="21"/>
    <x v="3"/>
    <n v="3233"/>
    <x v="0"/>
    <m/>
    <x v="1"/>
    <n v="3"/>
    <s v="REPORTE"/>
    <n v="2"/>
    <s v="MEDIA"/>
    <n v="1"/>
    <n v="1"/>
    <n v="1"/>
    <n v="1"/>
    <n v="2"/>
    <s v="MEDIANO"/>
    <d v="2025-02-10T00:00:00"/>
    <d v="2025-02-11T00:00:00"/>
    <d v="2025-02-18T00:00:00"/>
    <x v="19"/>
    <m/>
    <s v="&lt;p&gt;Reporte de facturas de compras por servicios en SAP Canella, Maquipos y VESA, según modelo enviado.&lt;/p&gt;"/>
    <n v="8448"/>
    <n v="72091"/>
    <s v="programar reporte"/>
    <x v="4"/>
    <n v="1"/>
    <d v="1899-12-30T01:00:00"/>
    <d v="2025-02-20T00:00:00"/>
  </r>
  <r>
    <n v="8448"/>
    <x v="51"/>
    <x v="70"/>
    <n v="247647"/>
    <s v="EMILIA LETICIA DIAZ MAZARIEGOS"/>
    <n v="21"/>
    <x v="3"/>
    <n v="3233"/>
    <x v="0"/>
    <m/>
    <x v="1"/>
    <n v="3"/>
    <s v="REPORTE"/>
    <n v="2"/>
    <s v="MEDIA"/>
    <n v="1"/>
    <n v="1"/>
    <n v="1"/>
    <n v="1"/>
    <n v="2"/>
    <s v="MEDIANO"/>
    <d v="2025-02-10T00:00:00"/>
    <d v="2025-02-11T00:00:00"/>
    <d v="2025-02-18T00:00:00"/>
    <x v="19"/>
    <m/>
    <s v="&lt;p&gt;Reporte de facturas de compras por servicios en SAP Canella, Maquipos y VESA, según modelo enviado.&lt;/p&gt;"/>
    <n v="8448"/>
    <n v="71392"/>
    <s v="Análisis reporte"/>
    <x v="4"/>
    <n v="1"/>
    <d v="1899-12-30T01:00:00"/>
    <d v="2025-02-17T00:00:00"/>
  </r>
  <r>
    <n v="8481"/>
    <x v="51"/>
    <x v="71"/>
    <n v="247888"/>
    <s v="JUAN MANUEL SOTO GUTIERREZ"/>
    <n v="21"/>
    <x v="3"/>
    <n v="3233"/>
    <x v="0"/>
    <s v="x"/>
    <x v="0"/>
    <n v="3"/>
    <s v="REPORTE"/>
    <n v="2"/>
    <s v="MEDIA"/>
    <n v="1"/>
    <n v="1"/>
    <n v="1"/>
    <n v="1"/>
    <n v="2"/>
    <s v="MEDIANO"/>
    <d v="2025-02-20T00:00:00"/>
    <d v="2025-02-21T00:00:00"/>
    <d v="2025-02-26T00:00:00"/>
    <x v="24"/>
    <m/>
    <s v="&lt;p&gt;Reporte detallado de entregas que integra montos del reporte de Gerencia&lt;/p&gt;"/>
    <n v="8481"/>
    <n v="74024"/>
    <s v="hacer QA reporte"/>
    <x v="10"/>
    <n v="1"/>
    <d v="1899-12-30T01:00:00"/>
    <d v="2025-02-27T00:00:00"/>
  </r>
  <r>
    <n v="8481"/>
    <x v="51"/>
    <x v="71"/>
    <n v="247888"/>
    <s v="JUAN MANUEL SOTO GUTIERREZ"/>
    <n v="21"/>
    <x v="3"/>
    <n v="3233"/>
    <x v="0"/>
    <m/>
    <x v="0"/>
    <n v="3"/>
    <s v="REPORTE"/>
    <n v="2"/>
    <s v="MEDIA"/>
    <n v="1"/>
    <n v="1"/>
    <n v="1"/>
    <n v="1"/>
    <n v="2"/>
    <s v="MEDIANO"/>
    <d v="2025-02-20T00:00:00"/>
    <d v="2025-02-21T00:00:00"/>
    <d v="2025-02-26T00:00:00"/>
    <x v="24"/>
    <m/>
    <s v="&lt;p&gt;Reporte detallado de entregas que integra montos del reporte de Gerencia&lt;/p&gt;"/>
    <n v="8481"/>
    <n v="74023"/>
    <s v="hacer reporte"/>
    <x v="11"/>
    <n v="1.5"/>
    <d v="1899-12-30T01:30:00"/>
    <d v="2025-02-27T00:00:00"/>
  </r>
  <r>
    <n v="8481"/>
    <x v="51"/>
    <x v="71"/>
    <n v="247888"/>
    <s v="JUAN MANUEL SOTO GUTIERREZ"/>
    <n v="21"/>
    <x v="3"/>
    <n v="3233"/>
    <x v="0"/>
    <m/>
    <x v="0"/>
    <n v="3"/>
    <s v="REPORTE"/>
    <n v="2"/>
    <s v="MEDIA"/>
    <n v="1"/>
    <n v="1"/>
    <n v="1"/>
    <n v="1"/>
    <n v="2"/>
    <s v="MEDIANO"/>
    <d v="2025-02-20T00:00:00"/>
    <d v="2025-02-21T00:00:00"/>
    <d v="2025-02-26T00:00:00"/>
    <x v="24"/>
    <m/>
    <s v="&lt;p&gt;Reporte detallado de entregas que integra montos del reporte de Gerencia&lt;/p&gt;"/>
    <n v="8481"/>
    <n v="74022"/>
    <s v="Reporte entregas"/>
    <x v="12"/>
    <n v="2"/>
    <d v="1899-12-30T02:00:00"/>
    <d v="2025-02-27T00:00:00"/>
  </r>
  <r>
    <n v="8481"/>
    <x v="51"/>
    <x v="71"/>
    <n v="247888"/>
    <s v="JUAN MANUEL SOTO GUTIERREZ"/>
    <n v="21"/>
    <x v="3"/>
    <n v="3233"/>
    <x v="0"/>
    <m/>
    <x v="0"/>
    <n v="3"/>
    <s v="REPORTE"/>
    <n v="2"/>
    <s v="MEDIA"/>
    <n v="1"/>
    <n v="1"/>
    <n v="1"/>
    <n v="1"/>
    <n v="2"/>
    <s v="MEDIANO"/>
    <d v="2025-02-20T00:00:00"/>
    <d v="2025-02-21T00:00:00"/>
    <d v="2025-02-26T00:00:00"/>
    <x v="24"/>
    <m/>
    <s v="&lt;p&gt;Reporte detallado de entregas que integra montos del reporte de Gerencia&lt;/p&gt;"/>
    <n v="8481"/>
    <n v="74021"/>
    <s v="reporte entregas"/>
    <x v="0"/>
    <n v="1"/>
    <d v="1899-12-30T01:00:00"/>
    <d v="2025-02-27T00:00:00"/>
  </r>
  <r>
    <n v="8522"/>
    <x v="51"/>
    <x v="72"/>
    <n v="247828"/>
    <s v="DOUGLAS ALEJANDRO MALDONADO DUMAS"/>
    <n v="22"/>
    <x v="4"/>
    <n v="195"/>
    <x v="4"/>
    <s v="x"/>
    <x v="1"/>
    <n v="2"/>
    <s v="PROCESO"/>
    <n v="2"/>
    <s v="MEDIA"/>
    <n v="1"/>
    <n v="1"/>
    <n v="1"/>
    <n v="1"/>
    <n v="1"/>
    <s v="PEQUEÑO"/>
    <d v="2025-03-05T00:00:00"/>
    <d v="2025-03-05T00:00:00"/>
    <d v="2025-03-05T00:00:00"/>
    <x v="23"/>
    <d v="2025-03-05T00:00:00"/>
    <m/>
    <n v="8522"/>
    <n v="75589"/>
    <s v="Pruebas de funcionamiento"/>
    <x v="6"/>
    <n v="0.5"/>
    <d v="1899-12-30T00:30:00"/>
    <d v="2025-03-05T00:00:00"/>
  </r>
  <r>
    <n v="8522"/>
    <x v="51"/>
    <x v="72"/>
    <n v="247828"/>
    <s v="DOUGLAS ALEJANDRO MALDONADO DUMAS"/>
    <n v="22"/>
    <x v="4"/>
    <n v="195"/>
    <x v="4"/>
    <m/>
    <x v="1"/>
    <n v="2"/>
    <s v="PROCESO"/>
    <n v="2"/>
    <s v="MEDIA"/>
    <n v="1"/>
    <n v="1"/>
    <n v="1"/>
    <n v="1"/>
    <n v="1"/>
    <s v="PEQUEÑO"/>
    <d v="2025-03-05T00:00:00"/>
    <d v="2025-03-05T00:00:00"/>
    <d v="2025-03-05T00:00:00"/>
    <x v="23"/>
    <d v="2025-03-05T00:00:00"/>
    <m/>
    <n v="8522"/>
    <n v="75588"/>
    <s v="Corrección de tabla de chasis con relación a los artículos del contrato"/>
    <x v="6"/>
    <n v="0.5"/>
    <d v="1899-12-30T00:30:00"/>
    <d v="2025-03-05T00:00:00"/>
  </r>
  <r>
    <n v="8522"/>
    <x v="51"/>
    <x v="72"/>
    <n v="247828"/>
    <s v="DOUGLAS ALEJANDRO MALDONADO DUMAS"/>
    <n v="22"/>
    <x v="4"/>
    <n v="195"/>
    <x v="4"/>
    <m/>
    <x v="1"/>
    <n v="2"/>
    <s v="PROCESO"/>
    <n v="2"/>
    <s v="MEDIA"/>
    <n v="1"/>
    <n v="1"/>
    <n v="1"/>
    <n v="1"/>
    <n v="1"/>
    <s v="PEQUEÑO"/>
    <d v="2025-03-05T00:00:00"/>
    <d v="2025-03-05T00:00:00"/>
    <d v="2025-03-05T00:00:00"/>
    <x v="23"/>
    <d v="2025-03-05T00:00:00"/>
    <m/>
    <n v="8522"/>
    <n v="75587"/>
    <s v="Corrección de tabla de contratos de mantenimiento con relación de chasis"/>
    <x v="6"/>
    <n v="0.5"/>
    <d v="1899-12-30T00:30:00"/>
    <d v="2025-03-05T00:00:00"/>
  </r>
  <r>
    <n v="8522"/>
    <x v="51"/>
    <x v="72"/>
    <n v="247828"/>
    <s v="DOUGLAS ALEJANDRO MALDONADO DUMAS"/>
    <n v="22"/>
    <x v="4"/>
    <n v="195"/>
    <x v="4"/>
    <m/>
    <x v="1"/>
    <n v="2"/>
    <s v="PROCESO"/>
    <n v="2"/>
    <s v="MEDIA"/>
    <n v="1"/>
    <n v="1"/>
    <n v="1"/>
    <n v="1"/>
    <n v="1"/>
    <s v="PEQUEÑO"/>
    <d v="2025-03-05T00:00:00"/>
    <d v="2025-03-05T00:00:00"/>
    <d v="2025-03-05T00:00:00"/>
    <x v="23"/>
    <d v="2025-03-05T00:00:00"/>
    <m/>
    <n v="8522"/>
    <n v="75586"/>
    <s v="Corrección de tabla de contratos de mantenimiento"/>
    <x v="6"/>
    <n v="0.5"/>
    <d v="1899-12-30T00:30:00"/>
    <d v="2025-03-05T00:00:00"/>
  </r>
  <r>
    <n v="8482"/>
    <x v="51"/>
    <x v="73"/>
    <n v="247014"/>
    <s v="JORGE ARMANDO SOLIS MIRANDA"/>
    <n v="22"/>
    <x v="4"/>
    <n v="3233"/>
    <x v="0"/>
    <s v="x"/>
    <x v="1"/>
    <n v="2"/>
    <s v="PROCESO"/>
    <n v="2"/>
    <s v="MEDIA"/>
    <n v="2"/>
    <n v="2"/>
    <n v="2"/>
    <n v="2"/>
    <n v="2"/>
    <s v="MEDIANO"/>
    <d v="2025-02-20T00:00:00"/>
    <d v="2025-02-21T00:00:00"/>
    <d v="2025-02-28T00:00:00"/>
    <x v="21"/>
    <m/>
    <m/>
    <n v="8482"/>
    <n v="73113"/>
    <s v="cambios a transaction para optimizarlo"/>
    <x v="12"/>
    <n v="2"/>
    <d v="1899-12-30T02:00:00"/>
    <d v="2025-02-24T00:00:00"/>
  </r>
  <r>
    <n v="8482"/>
    <x v="51"/>
    <x v="73"/>
    <n v="247014"/>
    <s v="JORGE ARMANDO SOLIS MIRANDA"/>
    <n v="22"/>
    <x v="4"/>
    <n v="3233"/>
    <x v="0"/>
    <m/>
    <x v="1"/>
    <n v="2"/>
    <s v="PROCESO"/>
    <n v="2"/>
    <s v="MEDIA"/>
    <n v="2"/>
    <n v="2"/>
    <n v="2"/>
    <n v="2"/>
    <n v="2"/>
    <s v="MEDIANO"/>
    <d v="2025-02-20T00:00:00"/>
    <d v="2025-02-21T00:00:00"/>
    <d v="2025-02-28T00:00:00"/>
    <x v="21"/>
    <m/>
    <m/>
    <n v="8482"/>
    <n v="73112"/>
    <s v="analisis y cambios a transaction para optimizarlo"/>
    <x v="0"/>
    <n v="1.5"/>
    <d v="1899-12-30T01:30:00"/>
    <d v="2025-02-24T00:00:00"/>
  </r>
  <r>
    <n v="8501"/>
    <x v="51"/>
    <x v="74"/>
    <m/>
    <m/>
    <n v="30"/>
    <x v="0"/>
    <n v="2767"/>
    <x v="7"/>
    <s v="x"/>
    <x v="1"/>
    <n v="4"/>
    <s v="SOPORTE/CAPACITACION"/>
    <n v="2"/>
    <s v="MEDIA"/>
    <n v="2"/>
    <n v="2"/>
    <n v="1"/>
    <n v="1"/>
    <n v="2"/>
    <s v="MEDIANO"/>
    <d v="2025-03-03T00:00:00"/>
    <d v="2025-03-03T00:00:00"/>
    <d v="2025-03-31T00:00:00"/>
    <x v="19"/>
    <m/>
    <s v="&lt;p&gt;Resolver todos los problemas que se presente en la prueba piloto.&lt;/p&gt;"/>
    <n v="8501"/>
    <n v="76234"/>
    <s v="Prueba de funcionamiento de los recibos de pago con facturas con cuotas"/>
    <x v="38"/>
    <n v="1"/>
    <d v="1899-12-30T01:00:00"/>
    <d v="2025-03-07T00:00:00"/>
  </r>
  <r>
    <n v="8501"/>
    <x v="51"/>
    <x v="74"/>
    <m/>
    <m/>
    <n v="30"/>
    <x v="0"/>
    <n v="2767"/>
    <x v="7"/>
    <m/>
    <x v="1"/>
    <n v="4"/>
    <s v="SOPORTE/CAPACITACION"/>
    <n v="2"/>
    <s v="MEDIA"/>
    <n v="2"/>
    <n v="2"/>
    <n v="1"/>
    <n v="1"/>
    <n v="2"/>
    <s v="MEDIANO"/>
    <d v="2025-03-03T00:00:00"/>
    <d v="2025-03-03T00:00:00"/>
    <d v="2025-03-31T00:00:00"/>
    <x v="19"/>
    <m/>
    <s v="&lt;p&gt;Resolver todos los problemas que se presente en la prueba piloto.&lt;/p&gt;"/>
    <n v="8501"/>
    <n v="76233"/>
    <s v="Problemas con los recibos de pago con facturas que tienen cuotas"/>
    <x v="38"/>
    <n v="5"/>
    <d v="1899-12-30T05:00:00"/>
    <d v="2025-03-07T00:00:00"/>
  </r>
  <r>
    <n v="8501"/>
    <x v="51"/>
    <x v="74"/>
    <m/>
    <m/>
    <n v="30"/>
    <x v="0"/>
    <n v="2767"/>
    <x v="7"/>
    <m/>
    <x v="1"/>
    <n v="4"/>
    <s v="SOPORTE/CAPACITACION"/>
    <n v="2"/>
    <s v="MEDIA"/>
    <n v="2"/>
    <n v="2"/>
    <n v="1"/>
    <n v="1"/>
    <n v="2"/>
    <s v="MEDIANO"/>
    <d v="2025-03-03T00:00:00"/>
    <d v="2025-03-03T00:00:00"/>
    <d v="2025-03-31T00:00:00"/>
    <x v="19"/>
    <m/>
    <s v="&lt;p&gt;Resolver todos los problemas que se presente en la prueba piloto.&lt;/p&gt;"/>
    <n v="8501"/>
    <n v="75937"/>
    <s v="Problemas con el tiempo de receptar correos"/>
    <x v="35"/>
    <n v="2"/>
    <d v="1899-12-30T02:00:00"/>
    <d v="2025-03-07T00:00:00"/>
  </r>
  <r>
    <n v="8501"/>
    <x v="51"/>
    <x v="74"/>
    <m/>
    <m/>
    <n v="30"/>
    <x v="0"/>
    <n v="2767"/>
    <x v="7"/>
    <m/>
    <x v="1"/>
    <n v="4"/>
    <s v="SOPORTE/CAPACITACION"/>
    <n v="2"/>
    <s v="MEDIA"/>
    <n v="2"/>
    <n v="2"/>
    <n v="1"/>
    <n v="1"/>
    <n v="2"/>
    <s v="MEDIANO"/>
    <d v="2025-03-03T00:00:00"/>
    <d v="2025-03-03T00:00:00"/>
    <d v="2025-03-31T00:00:00"/>
    <x v="19"/>
    <m/>
    <s v="&lt;p&gt;Resolver todos los problemas que se presente en la prueba piloto.&lt;/p&gt;"/>
    <n v="8501"/>
    <n v="75936"/>
    <s v="Problemas con los recibos de pago para realizar anticipos"/>
    <x v="35"/>
    <n v="6"/>
    <d v="1899-12-30T06:00:00"/>
    <d v="2025-03-07T00:00:00"/>
  </r>
  <r>
    <n v="8501"/>
    <x v="51"/>
    <x v="74"/>
    <m/>
    <m/>
    <n v="30"/>
    <x v="0"/>
    <n v="2767"/>
    <x v="7"/>
    <m/>
    <x v="1"/>
    <n v="4"/>
    <s v="SOPORTE/CAPACITACION"/>
    <n v="2"/>
    <s v="MEDIA"/>
    <n v="2"/>
    <n v="2"/>
    <n v="1"/>
    <n v="1"/>
    <n v="2"/>
    <s v="MEDIANO"/>
    <d v="2025-03-03T00:00:00"/>
    <d v="2025-03-03T00:00:00"/>
    <d v="2025-03-31T00:00:00"/>
    <x v="19"/>
    <m/>
    <s v="&lt;p&gt;Resolver todos los problemas que se presente en la prueba piloto.&lt;/p&gt;"/>
    <n v="8501"/>
    <n v="75938"/>
    <s v="Agregar la cuenta de anticipos para clientes"/>
    <x v="6"/>
    <n v="5"/>
    <d v="1899-12-30T05:00:00"/>
    <d v="2025-03-07T00:00:00"/>
  </r>
  <r>
    <n v="8501"/>
    <x v="51"/>
    <x v="74"/>
    <m/>
    <m/>
    <n v="30"/>
    <x v="0"/>
    <n v="2767"/>
    <x v="7"/>
    <m/>
    <x v="1"/>
    <n v="4"/>
    <s v="SOPORTE/CAPACITACION"/>
    <n v="2"/>
    <s v="MEDIA"/>
    <n v="2"/>
    <n v="2"/>
    <n v="1"/>
    <n v="1"/>
    <n v="2"/>
    <s v="MEDIANO"/>
    <d v="2025-03-03T00:00:00"/>
    <d v="2025-03-03T00:00:00"/>
    <d v="2025-03-31T00:00:00"/>
    <x v="19"/>
    <m/>
    <s v="&lt;p&gt;Resolver todos los problemas que se presente en la prueba piloto.&lt;/p&gt;"/>
    <n v="8501"/>
    <n v="75489"/>
    <s v="Tiempo de espera de envió de correo"/>
    <x v="6"/>
    <n v="0.5"/>
    <d v="1899-12-30T00:30:00"/>
    <d v="2025-03-05T00:00:00"/>
  </r>
  <r>
    <n v="8501"/>
    <x v="51"/>
    <x v="74"/>
    <m/>
    <m/>
    <n v="30"/>
    <x v="0"/>
    <n v="2767"/>
    <x v="7"/>
    <m/>
    <x v="1"/>
    <n v="4"/>
    <s v="SOPORTE/CAPACITACION"/>
    <n v="2"/>
    <s v="MEDIA"/>
    <n v="2"/>
    <n v="2"/>
    <n v="1"/>
    <n v="1"/>
    <n v="2"/>
    <s v="MEDIANO"/>
    <d v="2025-03-03T00:00:00"/>
    <d v="2025-03-03T00:00:00"/>
    <d v="2025-03-31T00:00:00"/>
    <x v="19"/>
    <m/>
    <s v="&lt;p&gt;Resolver todos los problemas que se presente en la prueba piloto.&lt;/p&gt;"/>
    <n v="8501"/>
    <n v="75488"/>
    <s v="Capacitacion con los bancos en quetzales y en dolares"/>
    <x v="6"/>
    <n v="0.5"/>
    <d v="1899-12-30T00:30:00"/>
    <d v="2025-03-05T00:00:00"/>
  </r>
  <r>
    <n v="8501"/>
    <x v="51"/>
    <x v="74"/>
    <m/>
    <m/>
    <n v="30"/>
    <x v="0"/>
    <n v="2767"/>
    <x v="7"/>
    <m/>
    <x v="1"/>
    <n v="4"/>
    <s v="SOPORTE/CAPACITACION"/>
    <n v="2"/>
    <s v="MEDIA"/>
    <n v="2"/>
    <n v="2"/>
    <n v="1"/>
    <n v="1"/>
    <n v="2"/>
    <s v="MEDIANO"/>
    <d v="2025-03-03T00:00:00"/>
    <d v="2025-03-03T00:00:00"/>
    <d v="2025-03-31T00:00:00"/>
    <x v="19"/>
    <m/>
    <s v="&lt;p&gt;Resolver todos los problemas que se presente en la prueba piloto.&lt;/p&gt;"/>
    <n v="8501"/>
    <n v="75487"/>
    <s v="Problema con la cuenta en dólares"/>
    <x v="36"/>
    <n v="4"/>
    <d v="1899-12-30T04:00:00"/>
    <d v="2025-03-05T00:00:00"/>
  </r>
  <r>
    <n v="8501"/>
    <x v="51"/>
    <x v="74"/>
    <m/>
    <m/>
    <n v="30"/>
    <x v="0"/>
    <n v="2767"/>
    <x v="7"/>
    <m/>
    <x v="1"/>
    <n v="4"/>
    <s v="SOPORTE/CAPACITACION"/>
    <n v="2"/>
    <s v="MEDIA"/>
    <n v="2"/>
    <n v="2"/>
    <n v="1"/>
    <n v="1"/>
    <n v="2"/>
    <s v="MEDIANO"/>
    <d v="2025-03-03T00:00:00"/>
    <d v="2025-03-03T00:00:00"/>
    <d v="2025-03-31T00:00:00"/>
    <x v="19"/>
    <m/>
    <s v="&lt;p&gt;Resolver todos los problemas que se presente en la prueba piloto.&lt;/p&gt;"/>
    <n v="8501"/>
    <n v="75038"/>
    <s v="Reunion para funcionamiento de la herramienta de cuadre de cartera"/>
    <x v="29"/>
    <n v="1"/>
    <d v="1899-12-30T01:00:00"/>
    <d v="2025-03-03T00:00:00"/>
  </r>
  <r>
    <n v="8501"/>
    <x v="51"/>
    <x v="74"/>
    <m/>
    <m/>
    <n v="30"/>
    <x v="0"/>
    <n v="2767"/>
    <x v="7"/>
    <m/>
    <x v="1"/>
    <n v="4"/>
    <s v="SOPORTE/CAPACITACION"/>
    <n v="2"/>
    <s v="MEDIA"/>
    <n v="2"/>
    <n v="2"/>
    <n v="1"/>
    <n v="1"/>
    <n v="2"/>
    <s v="MEDIANO"/>
    <d v="2025-03-03T00:00:00"/>
    <d v="2025-03-03T00:00:00"/>
    <d v="2025-03-31T00:00:00"/>
    <x v="19"/>
    <m/>
    <s v="&lt;p&gt;Resolver todos los problemas que se presente en la prueba piloto.&lt;/p&gt;"/>
    <n v="8501"/>
    <n v="75036"/>
    <s v="Reunion para ver avances en la prueba piloto"/>
    <x v="29"/>
    <n v="0.5"/>
    <d v="1899-12-30T00:30:00"/>
    <d v="2025-03-03T00:00:00"/>
  </r>
  <r>
    <n v="8501"/>
    <x v="51"/>
    <x v="74"/>
    <m/>
    <m/>
    <n v="30"/>
    <x v="0"/>
    <n v="2767"/>
    <x v="7"/>
    <m/>
    <x v="1"/>
    <n v="4"/>
    <s v="SOPORTE/CAPACITACION"/>
    <n v="2"/>
    <s v="MEDIA"/>
    <n v="2"/>
    <n v="2"/>
    <n v="1"/>
    <n v="1"/>
    <n v="2"/>
    <s v="MEDIANO"/>
    <d v="2025-03-03T00:00:00"/>
    <d v="2025-03-03T00:00:00"/>
    <d v="2025-03-31T00:00:00"/>
    <x v="19"/>
    <m/>
    <s v="&lt;p&gt;Resolver todos los problemas que se presente en la prueba piloto.&lt;/p&gt;"/>
    <n v="8501"/>
    <n v="75034"/>
    <s v="Problemas con cheques en dólares"/>
    <x v="29"/>
    <n v="4"/>
    <d v="1899-12-30T04:00:00"/>
    <d v="2025-03-03T00:00:00"/>
  </r>
  <r>
    <n v="8289"/>
    <x v="51"/>
    <x v="75"/>
    <m/>
    <m/>
    <n v="28"/>
    <x v="2"/>
    <n v="3203"/>
    <x v="8"/>
    <s v="x"/>
    <x v="0"/>
    <m/>
    <m/>
    <m/>
    <m/>
    <m/>
    <m/>
    <m/>
    <m/>
    <m/>
    <m/>
    <d v="2025-02-03T00:00:00"/>
    <d v="2025-02-03T00:00:00"/>
    <m/>
    <x v="19"/>
    <m/>
    <m/>
    <n v="8289"/>
    <n v="73634"/>
    <s v="/"/>
    <x v="10"/>
    <n v="9"/>
    <d v="1899-12-30T09:00:00"/>
    <d v="2025-02-26T00:00:00"/>
  </r>
  <r>
    <n v="8289"/>
    <x v="51"/>
    <x v="75"/>
    <m/>
    <m/>
    <n v="28"/>
    <x v="2"/>
    <n v="3203"/>
    <x v="8"/>
    <m/>
    <x v="0"/>
    <m/>
    <m/>
    <m/>
    <m/>
    <m/>
    <m/>
    <m/>
    <m/>
    <m/>
    <m/>
    <d v="2025-02-03T00:00:00"/>
    <d v="2025-02-03T00:00:00"/>
    <m/>
    <x v="19"/>
    <m/>
    <m/>
    <n v="8289"/>
    <n v="73283"/>
    <s v="/"/>
    <x v="11"/>
    <n v="9"/>
    <d v="1899-12-30T09:00:00"/>
    <d v="2025-02-25T00:00:00"/>
  </r>
  <r>
    <n v="8289"/>
    <x v="51"/>
    <x v="75"/>
    <m/>
    <m/>
    <n v="28"/>
    <x v="2"/>
    <n v="3203"/>
    <x v="8"/>
    <m/>
    <x v="0"/>
    <m/>
    <m/>
    <m/>
    <m/>
    <m/>
    <m/>
    <m/>
    <m/>
    <m/>
    <m/>
    <d v="2025-02-03T00:00:00"/>
    <d v="2025-02-03T00:00:00"/>
    <m/>
    <x v="19"/>
    <m/>
    <m/>
    <n v="8289"/>
    <n v="73084"/>
    <s v="/"/>
    <x v="12"/>
    <n v="9"/>
    <d v="1899-12-30T09:00:00"/>
    <d v="2025-02-24T00:00:00"/>
  </r>
  <r>
    <n v="8289"/>
    <x v="51"/>
    <x v="75"/>
    <m/>
    <m/>
    <n v="28"/>
    <x v="2"/>
    <n v="3203"/>
    <x v="8"/>
    <m/>
    <x v="0"/>
    <m/>
    <m/>
    <m/>
    <m/>
    <m/>
    <m/>
    <m/>
    <m/>
    <m/>
    <m/>
    <d v="2025-02-03T00:00:00"/>
    <d v="2025-02-03T00:00:00"/>
    <m/>
    <x v="19"/>
    <m/>
    <m/>
    <n v="8289"/>
    <n v="73082"/>
    <s v="/"/>
    <x v="0"/>
    <n v="9"/>
    <d v="1899-12-30T09:00:00"/>
    <d v="2025-02-24T00:00:00"/>
  </r>
  <r>
    <n v="8289"/>
    <x v="51"/>
    <x v="75"/>
    <m/>
    <m/>
    <n v="28"/>
    <x v="2"/>
    <n v="3203"/>
    <x v="8"/>
    <m/>
    <x v="0"/>
    <m/>
    <m/>
    <m/>
    <m/>
    <m/>
    <m/>
    <m/>
    <m/>
    <m/>
    <m/>
    <d v="2025-02-03T00:00:00"/>
    <d v="2025-02-03T00:00:00"/>
    <m/>
    <x v="19"/>
    <m/>
    <m/>
    <n v="8289"/>
    <n v="72179"/>
    <s v="/"/>
    <x v="1"/>
    <n v="6.5"/>
    <d v="1899-12-30T06:30:00"/>
    <d v="2025-02-20T00:00:00"/>
  </r>
  <r>
    <n v="8289"/>
    <x v="51"/>
    <x v="75"/>
    <m/>
    <m/>
    <n v="28"/>
    <x v="2"/>
    <n v="3203"/>
    <x v="8"/>
    <m/>
    <x v="0"/>
    <m/>
    <m/>
    <m/>
    <m/>
    <m/>
    <m/>
    <m/>
    <m/>
    <m/>
    <m/>
    <d v="2025-02-03T00:00:00"/>
    <d v="2025-02-03T00:00:00"/>
    <m/>
    <x v="19"/>
    <m/>
    <m/>
    <n v="8289"/>
    <n v="72167"/>
    <s v="/"/>
    <x v="1"/>
    <n v="1"/>
    <d v="1899-12-30T01:00:00"/>
    <d v="2025-02-20T00:00:00"/>
  </r>
  <r>
    <n v="8289"/>
    <x v="51"/>
    <x v="75"/>
    <m/>
    <m/>
    <n v="28"/>
    <x v="2"/>
    <n v="3203"/>
    <x v="8"/>
    <m/>
    <x v="0"/>
    <m/>
    <m/>
    <m/>
    <m/>
    <m/>
    <m/>
    <m/>
    <m/>
    <m/>
    <m/>
    <d v="2025-02-03T00:00:00"/>
    <d v="2025-02-03T00:00:00"/>
    <m/>
    <x v="19"/>
    <m/>
    <m/>
    <n v="8289"/>
    <n v="72152"/>
    <s v="/"/>
    <x v="1"/>
    <n v="1.5"/>
    <d v="1899-12-30T01:30:00"/>
    <d v="2025-02-20T00:00:00"/>
  </r>
  <r>
    <n v="8289"/>
    <x v="51"/>
    <x v="75"/>
    <m/>
    <m/>
    <n v="28"/>
    <x v="2"/>
    <n v="3203"/>
    <x v="8"/>
    <m/>
    <x v="0"/>
    <m/>
    <m/>
    <m/>
    <m/>
    <m/>
    <m/>
    <m/>
    <m/>
    <m/>
    <m/>
    <d v="2025-02-03T00:00:00"/>
    <d v="2025-02-03T00:00:00"/>
    <m/>
    <x v="19"/>
    <m/>
    <m/>
    <n v="8289"/>
    <n v="72040"/>
    <s v="Revisión de series y análisis de integración de la nueva serie"/>
    <x v="1"/>
    <n v="1.5"/>
    <d v="1899-12-30T01:30:00"/>
    <d v="2025-02-20T00:00:00"/>
  </r>
  <r>
    <n v="8289"/>
    <x v="51"/>
    <x v="75"/>
    <m/>
    <m/>
    <n v="28"/>
    <x v="2"/>
    <n v="3203"/>
    <x v="8"/>
    <m/>
    <x v="0"/>
    <m/>
    <m/>
    <m/>
    <m/>
    <m/>
    <m/>
    <m/>
    <m/>
    <m/>
    <m/>
    <d v="2025-02-03T00:00:00"/>
    <d v="2025-02-03T00:00:00"/>
    <m/>
    <x v="19"/>
    <m/>
    <m/>
    <n v="8289"/>
    <n v="72156"/>
    <s v="/"/>
    <x v="2"/>
    <n v="2"/>
    <d v="1899-12-30T02:00:00"/>
    <d v="2025-02-20T00:00:00"/>
  </r>
  <r>
    <n v="8289"/>
    <x v="51"/>
    <x v="75"/>
    <m/>
    <m/>
    <n v="28"/>
    <x v="2"/>
    <n v="3203"/>
    <x v="8"/>
    <m/>
    <x v="0"/>
    <m/>
    <m/>
    <m/>
    <m/>
    <m/>
    <m/>
    <m/>
    <m/>
    <m/>
    <m/>
    <d v="2025-02-03T00:00:00"/>
    <d v="2025-02-03T00:00:00"/>
    <m/>
    <x v="19"/>
    <m/>
    <m/>
    <n v="8289"/>
    <n v="72153"/>
    <s v="/"/>
    <x v="2"/>
    <n v="7"/>
    <d v="1899-12-30T07:00:00"/>
    <d v="2025-02-20T00:00:00"/>
  </r>
  <r>
    <n v="8289"/>
    <x v="51"/>
    <x v="75"/>
    <m/>
    <m/>
    <n v="28"/>
    <x v="2"/>
    <n v="3203"/>
    <x v="8"/>
    <m/>
    <x v="0"/>
    <m/>
    <m/>
    <m/>
    <m/>
    <m/>
    <m/>
    <m/>
    <m/>
    <m/>
    <m/>
    <d v="2025-02-03T00:00:00"/>
    <d v="2025-02-03T00:00:00"/>
    <m/>
    <x v="19"/>
    <m/>
    <m/>
    <n v="8289"/>
    <n v="72172"/>
    <s v="/"/>
    <x v="3"/>
    <n v="1"/>
    <d v="1899-12-30T01:00:00"/>
    <d v="2025-02-20T00:00:00"/>
  </r>
  <r>
    <n v="8289"/>
    <x v="51"/>
    <x v="75"/>
    <m/>
    <m/>
    <n v="28"/>
    <x v="2"/>
    <n v="3203"/>
    <x v="8"/>
    <m/>
    <x v="0"/>
    <m/>
    <m/>
    <m/>
    <m/>
    <m/>
    <m/>
    <m/>
    <m/>
    <m/>
    <m/>
    <d v="2025-02-03T00:00:00"/>
    <d v="2025-02-03T00:00:00"/>
    <m/>
    <x v="19"/>
    <m/>
    <m/>
    <n v="8289"/>
    <n v="72171"/>
    <s v="/"/>
    <x v="3"/>
    <n v="2"/>
    <d v="1899-12-30T02:00:00"/>
    <d v="2025-02-20T00:00:00"/>
  </r>
  <r>
    <n v="8289"/>
    <x v="51"/>
    <x v="75"/>
    <m/>
    <m/>
    <n v="28"/>
    <x v="2"/>
    <n v="3203"/>
    <x v="8"/>
    <m/>
    <x v="0"/>
    <m/>
    <m/>
    <m/>
    <m/>
    <m/>
    <m/>
    <m/>
    <m/>
    <m/>
    <m/>
    <d v="2025-02-03T00:00:00"/>
    <d v="2025-02-03T00:00:00"/>
    <m/>
    <x v="19"/>
    <m/>
    <m/>
    <n v="8289"/>
    <n v="71532"/>
    <s v="/"/>
    <x v="3"/>
    <n v="1"/>
    <d v="1899-12-30T01:00:00"/>
    <d v="2025-02-18T00:00:00"/>
  </r>
  <r>
    <n v="8289"/>
    <x v="51"/>
    <x v="75"/>
    <m/>
    <m/>
    <n v="28"/>
    <x v="2"/>
    <n v="3203"/>
    <x v="8"/>
    <m/>
    <x v="0"/>
    <m/>
    <m/>
    <m/>
    <m/>
    <m/>
    <m/>
    <m/>
    <m/>
    <m/>
    <m/>
    <d v="2025-02-03T00:00:00"/>
    <d v="2025-02-03T00:00:00"/>
    <m/>
    <x v="19"/>
    <m/>
    <m/>
    <n v="8289"/>
    <n v="71665"/>
    <s v="/"/>
    <x v="13"/>
    <n v="1"/>
    <d v="1899-12-30T01:00:00"/>
    <d v="2025-02-18T00:00:00"/>
  </r>
  <r>
    <n v="8289"/>
    <x v="51"/>
    <x v="75"/>
    <m/>
    <m/>
    <n v="28"/>
    <x v="2"/>
    <n v="3203"/>
    <x v="8"/>
    <m/>
    <x v="0"/>
    <m/>
    <m/>
    <m/>
    <m/>
    <m/>
    <m/>
    <m/>
    <m/>
    <m/>
    <m/>
    <d v="2025-02-03T00:00:00"/>
    <d v="2025-02-03T00:00:00"/>
    <m/>
    <x v="19"/>
    <m/>
    <m/>
    <n v="8289"/>
    <n v="71390"/>
    <s v="/"/>
    <x v="13"/>
    <n v="0"/>
    <d v="1899-12-30T00:00:00"/>
    <d v="2025-02-17T00:00:00"/>
  </r>
  <r>
    <n v="8289"/>
    <x v="51"/>
    <x v="75"/>
    <m/>
    <m/>
    <n v="28"/>
    <x v="2"/>
    <n v="3203"/>
    <x v="8"/>
    <m/>
    <x v="0"/>
    <m/>
    <m/>
    <m/>
    <m/>
    <m/>
    <m/>
    <m/>
    <m/>
    <m/>
    <m/>
    <d v="2025-02-03T00:00:00"/>
    <d v="2025-02-03T00:00:00"/>
    <m/>
    <x v="19"/>
    <m/>
    <m/>
    <n v="8289"/>
    <n v="71384"/>
    <s v="/"/>
    <x v="13"/>
    <n v="1"/>
    <d v="1899-12-30T01:00:00"/>
    <d v="2025-02-17T00:00:00"/>
  </r>
  <r>
    <n v="8289"/>
    <x v="51"/>
    <x v="75"/>
    <m/>
    <m/>
    <n v="28"/>
    <x v="2"/>
    <n v="3203"/>
    <x v="8"/>
    <m/>
    <x v="0"/>
    <m/>
    <m/>
    <m/>
    <m/>
    <m/>
    <m/>
    <m/>
    <m/>
    <m/>
    <m/>
    <d v="2025-02-03T00:00:00"/>
    <d v="2025-02-03T00:00:00"/>
    <m/>
    <x v="19"/>
    <m/>
    <m/>
    <n v="8289"/>
    <n v="71378"/>
    <s v="/"/>
    <x v="13"/>
    <n v="1"/>
    <d v="1899-12-30T01:00:00"/>
    <d v="2025-02-17T00:00:00"/>
  </r>
  <r>
    <n v="8289"/>
    <x v="51"/>
    <x v="75"/>
    <m/>
    <m/>
    <n v="28"/>
    <x v="2"/>
    <n v="3203"/>
    <x v="8"/>
    <m/>
    <x v="0"/>
    <m/>
    <m/>
    <m/>
    <m/>
    <m/>
    <m/>
    <m/>
    <m/>
    <m/>
    <m/>
    <d v="2025-02-03T00:00:00"/>
    <d v="2025-02-03T00:00:00"/>
    <m/>
    <x v="19"/>
    <m/>
    <m/>
    <n v="8289"/>
    <n v="71373"/>
    <s v="/"/>
    <x v="13"/>
    <n v="1"/>
    <d v="1899-12-30T01:00:00"/>
    <d v="2025-02-17T00:00:00"/>
  </r>
  <r>
    <n v="8289"/>
    <x v="51"/>
    <x v="75"/>
    <m/>
    <m/>
    <n v="28"/>
    <x v="2"/>
    <n v="3203"/>
    <x v="8"/>
    <m/>
    <x v="0"/>
    <m/>
    <m/>
    <m/>
    <m/>
    <m/>
    <m/>
    <m/>
    <m/>
    <m/>
    <m/>
    <d v="2025-02-03T00:00:00"/>
    <d v="2025-02-03T00:00:00"/>
    <m/>
    <x v="19"/>
    <m/>
    <m/>
    <n v="8289"/>
    <n v="71366"/>
    <s v="/"/>
    <x v="13"/>
    <n v="2"/>
    <d v="1899-12-30T02:00:00"/>
    <d v="2025-02-17T00:00:00"/>
  </r>
  <r>
    <n v="8289"/>
    <x v="51"/>
    <x v="75"/>
    <m/>
    <m/>
    <n v="28"/>
    <x v="2"/>
    <n v="3203"/>
    <x v="8"/>
    <m/>
    <x v="0"/>
    <m/>
    <m/>
    <m/>
    <m/>
    <m/>
    <m/>
    <m/>
    <m/>
    <m/>
    <m/>
    <d v="2025-02-03T00:00:00"/>
    <d v="2025-02-03T00:00:00"/>
    <m/>
    <x v="19"/>
    <m/>
    <m/>
    <n v="8289"/>
    <n v="71318"/>
    <s v="/"/>
    <x v="13"/>
    <n v="1"/>
    <d v="1899-12-30T01:00:00"/>
    <d v="2025-02-17T00:00:00"/>
  </r>
  <r>
    <n v="8289"/>
    <x v="51"/>
    <x v="75"/>
    <m/>
    <m/>
    <n v="28"/>
    <x v="2"/>
    <n v="3203"/>
    <x v="8"/>
    <m/>
    <x v="0"/>
    <m/>
    <m/>
    <m/>
    <m/>
    <m/>
    <m/>
    <m/>
    <m/>
    <m/>
    <m/>
    <d v="2025-02-03T00:00:00"/>
    <d v="2025-02-03T00:00:00"/>
    <m/>
    <x v="19"/>
    <m/>
    <m/>
    <n v="8289"/>
    <n v="71168"/>
    <s v="/"/>
    <x v="14"/>
    <n v="5"/>
    <d v="1899-12-30T05:00:00"/>
    <d v="2025-02-17T00:00:00"/>
  </r>
  <r>
    <n v="8289"/>
    <x v="51"/>
    <x v="75"/>
    <m/>
    <m/>
    <n v="28"/>
    <x v="2"/>
    <n v="3203"/>
    <x v="8"/>
    <m/>
    <x v="0"/>
    <m/>
    <m/>
    <m/>
    <m/>
    <m/>
    <m/>
    <m/>
    <m/>
    <m/>
    <m/>
    <d v="2025-02-03T00:00:00"/>
    <d v="2025-02-03T00:00:00"/>
    <m/>
    <x v="19"/>
    <m/>
    <m/>
    <n v="8289"/>
    <n v="70386"/>
    <s v="/"/>
    <x v="14"/>
    <n v="1"/>
    <d v="1899-12-30T01:00:00"/>
    <d v="2025-02-14T00:00:00"/>
  </r>
  <r>
    <n v="8289"/>
    <x v="51"/>
    <x v="75"/>
    <m/>
    <m/>
    <n v="28"/>
    <x v="2"/>
    <n v="3203"/>
    <x v="8"/>
    <m/>
    <x v="0"/>
    <m/>
    <m/>
    <m/>
    <m/>
    <m/>
    <m/>
    <m/>
    <m/>
    <m/>
    <m/>
    <d v="2025-02-03T00:00:00"/>
    <d v="2025-02-03T00:00:00"/>
    <m/>
    <x v="19"/>
    <m/>
    <m/>
    <n v="8289"/>
    <n v="70385"/>
    <s v="/"/>
    <x v="14"/>
    <n v="1"/>
    <d v="1899-12-30T01:00:00"/>
    <d v="2025-02-14T00:00:00"/>
  </r>
  <r>
    <n v="8289"/>
    <x v="51"/>
    <x v="75"/>
    <m/>
    <m/>
    <n v="28"/>
    <x v="2"/>
    <n v="3203"/>
    <x v="8"/>
    <m/>
    <x v="0"/>
    <m/>
    <m/>
    <m/>
    <m/>
    <m/>
    <m/>
    <m/>
    <m/>
    <m/>
    <m/>
    <d v="2025-02-03T00:00:00"/>
    <d v="2025-02-03T00:00:00"/>
    <m/>
    <x v="19"/>
    <m/>
    <m/>
    <n v="8289"/>
    <n v="70325"/>
    <s v="/"/>
    <x v="14"/>
    <n v="1"/>
    <d v="1899-12-30T01:00:00"/>
    <d v="2025-02-14T00:00:00"/>
  </r>
  <r>
    <n v="8289"/>
    <x v="51"/>
    <x v="75"/>
    <m/>
    <m/>
    <n v="28"/>
    <x v="2"/>
    <n v="3203"/>
    <x v="8"/>
    <m/>
    <x v="0"/>
    <m/>
    <m/>
    <m/>
    <m/>
    <m/>
    <m/>
    <m/>
    <m/>
    <m/>
    <m/>
    <d v="2025-02-03T00:00:00"/>
    <d v="2025-02-03T00:00:00"/>
    <m/>
    <x v="19"/>
    <m/>
    <m/>
    <n v="8289"/>
    <n v="70155"/>
    <s v="/"/>
    <x v="15"/>
    <n v="4"/>
    <d v="1899-12-30T04:00:00"/>
    <d v="2025-02-13T00:00:00"/>
  </r>
  <r>
    <n v="8289"/>
    <x v="51"/>
    <x v="75"/>
    <m/>
    <m/>
    <n v="28"/>
    <x v="2"/>
    <n v="3203"/>
    <x v="8"/>
    <m/>
    <x v="0"/>
    <m/>
    <m/>
    <m/>
    <m/>
    <m/>
    <m/>
    <m/>
    <m/>
    <m/>
    <m/>
    <d v="2025-02-03T00:00:00"/>
    <d v="2025-02-03T00:00:00"/>
    <m/>
    <x v="19"/>
    <m/>
    <m/>
    <n v="8289"/>
    <n v="70152"/>
    <s v="/"/>
    <x v="15"/>
    <n v="2"/>
    <d v="1899-12-30T02:00:00"/>
    <d v="2025-02-13T00:00:00"/>
  </r>
  <r>
    <n v="8289"/>
    <x v="51"/>
    <x v="75"/>
    <m/>
    <m/>
    <n v="28"/>
    <x v="2"/>
    <n v="3203"/>
    <x v="8"/>
    <m/>
    <x v="0"/>
    <m/>
    <m/>
    <m/>
    <m/>
    <m/>
    <m/>
    <m/>
    <m/>
    <m/>
    <m/>
    <d v="2025-02-03T00:00:00"/>
    <d v="2025-02-03T00:00:00"/>
    <m/>
    <x v="19"/>
    <m/>
    <m/>
    <n v="8289"/>
    <n v="70065"/>
    <s v="/"/>
    <x v="15"/>
    <n v="1"/>
    <d v="1899-12-30T01:00:00"/>
    <d v="2025-02-13T00:00:00"/>
  </r>
  <r>
    <n v="8289"/>
    <x v="51"/>
    <x v="75"/>
    <m/>
    <m/>
    <n v="28"/>
    <x v="2"/>
    <n v="3203"/>
    <x v="8"/>
    <m/>
    <x v="0"/>
    <m/>
    <m/>
    <m/>
    <m/>
    <m/>
    <m/>
    <m/>
    <m/>
    <m/>
    <m/>
    <d v="2025-02-03T00:00:00"/>
    <d v="2025-02-03T00:00:00"/>
    <m/>
    <x v="19"/>
    <m/>
    <m/>
    <n v="8289"/>
    <n v="70064"/>
    <s v="/"/>
    <x v="15"/>
    <n v="1"/>
    <d v="1899-12-30T01:00:00"/>
    <d v="2025-02-13T00:00:00"/>
  </r>
  <r>
    <n v="8289"/>
    <x v="51"/>
    <x v="75"/>
    <m/>
    <m/>
    <n v="28"/>
    <x v="2"/>
    <n v="3203"/>
    <x v="8"/>
    <m/>
    <x v="0"/>
    <m/>
    <m/>
    <m/>
    <m/>
    <m/>
    <m/>
    <m/>
    <m/>
    <m/>
    <m/>
    <d v="2025-02-03T00:00:00"/>
    <d v="2025-02-03T00:00:00"/>
    <m/>
    <x v="19"/>
    <m/>
    <m/>
    <n v="8289"/>
    <n v="70063"/>
    <s v="/"/>
    <x v="15"/>
    <n v="1"/>
    <d v="1899-12-30T01:00:00"/>
    <d v="2025-02-13T00:00:00"/>
  </r>
  <r>
    <n v="8289"/>
    <x v="51"/>
    <x v="75"/>
    <m/>
    <m/>
    <n v="28"/>
    <x v="2"/>
    <n v="3203"/>
    <x v="8"/>
    <m/>
    <x v="0"/>
    <m/>
    <m/>
    <m/>
    <m/>
    <m/>
    <m/>
    <m/>
    <m/>
    <m/>
    <m/>
    <d v="2025-02-03T00:00:00"/>
    <d v="2025-02-03T00:00:00"/>
    <m/>
    <x v="19"/>
    <m/>
    <m/>
    <n v="8289"/>
    <n v="70041"/>
    <s v="/"/>
    <x v="16"/>
    <n v="1"/>
    <d v="1899-12-30T01:00:00"/>
    <d v="2025-02-13T00:00:00"/>
  </r>
  <r>
    <n v="8289"/>
    <x v="51"/>
    <x v="75"/>
    <m/>
    <m/>
    <n v="28"/>
    <x v="2"/>
    <n v="3203"/>
    <x v="8"/>
    <m/>
    <x v="0"/>
    <m/>
    <m/>
    <m/>
    <m/>
    <m/>
    <m/>
    <m/>
    <m/>
    <m/>
    <m/>
    <d v="2025-02-03T00:00:00"/>
    <d v="2025-02-03T00:00:00"/>
    <m/>
    <x v="19"/>
    <m/>
    <m/>
    <n v="8289"/>
    <n v="69869"/>
    <s v="/"/>
    <x v="16"/>
    <n v="3"/>
    <d v="1899-12-30T03:00:00"/>
    <d v="2025-02-12T00:00:00"/>
  </r>
  <r>
    <n v="8289"/>
    <x v="51"/>
    <x v="75"/>
    <m/>
    <m/>
    <n v="28"/>
    <x v="2"/>
    <n v="3203"/>
    <x v="8"/>
    <m/>
    <x v="0"/>
    <m/>
    <m/>
    <m/>
    <m/>
    <m/>
    <m/>
    <m/>
    <m/>
    <m/>
    <m/>
    <d v="2025-02-03T00:00:00"/>
    <d v="2025-02-03T00:00:00"/>
    <m/>
    <x v="19"/>
    <m/>
    <m/>
    <n v="8289"/>
    <n v="69861"/>
    <s v="/"/>
    <x v="16"/>
    <n v="2"/>
    <d v="1899-12-30T02:00:00"/>
    <d v="2025-02-12T00:00:00"/>
  </r>
  <r>
    <n v="8289"/>
    <x v="51"/>
    <x v="75"/>
    <m/>
    <m/>
    <n v="28"/>
    <x v="2"/>
    <n v="3203"/>
    <x v="8"/>
    <m/>
    <x v="0"/>
    <m/>
    <m/>
    <m/>
    <m/>
    <m/>
    <m/>
    <m/>
    <m/>
    <m/>
    <m/>
    <d v="2025-02-03T00:00:00"/>
    <d v="2025-02-03T00:00:00"/>
    <m/>
    <x v="19"/>
    <m/>
    <m/>
    <n v="8289"/>
    <n v="69857"/>
    <s v="/"/>
    <x v="16"/>
    <n v="2"/>
    <d v="1899-12-30T02:00:00"/>
    <d v="2025-02-12T00:00:00"/>
  </r>
  <r>
    <n v="8289"/>
    <x v="51"/>
    <x v="75"/>
    <m/>
    <m/>
    <n v="28"/>
    <x v="2"/>
    <n v="3203"/>
    <x v="8"/>
    <m/>
    <x v="0"/>
    <m/>
    <m/>
    <m/>
    <m/>
    <m/>
    <m/>
    <m/>
    <m/>
    <m/>
    <m/>
    <d v="2025-02-03T00:00:00"/>
    <d v="2025-02-03T00:00:00"/>
    <m/>
    <x v="19"/>
    <m/>
    <m/>
    <n v="8289"/>
    <n v="69856"/>
    <s v="/"/>
    <x v="16"/>
    <n v="0"/>
    <d v="1899-12-30T00:00:00"/>
    <d v="2025-02-12T00:00:00"/>
  </r>
  <r>
    <n v="8289"/>
    <x v="51"/>
    <x v="75"/>
    <m/>
    <m/>
    <n v="28"/>
    <x v="2"/>
    <n v="3203"/>
    <x v="8"/>
    <m/>
    <x v="0"/>
    <m/>
    <m/>
    <m/>
    <m/>
    <m/>
    <m/>
    <m/>
    <m/>
    <m/>
    <m/>
    <d v="2025-02-03T00:00:00"/>
    <d v="2025-02-03T00:00:00"/>
    <m/>
    <x v="19"/>
    <m/>
    <m/>
    <n v="8289"/>
    <n v="69855"/>
    <s v="/"/>
    <x v="16"/>
    <n v="1"/>
    <d v="1899-12-30T01:00:00"/>
    <d v="2025-02-12T00:00:00"/>
  </r>
  <r>
    <n v="8289"/>
    <x v="51"/>
    <x v="75"/>
    <m/>
    <m/>
    <n v="28"/>
    <x v="2"/>
    <n v="3203"/>
    <x v="8"/>
    <m/>
    <x v="0"/>
    <m/>
    <m/>
    <m/>
    <m/>
    <m/>
    <m/>
    <m/>
    <m/>
    <m/>
    <m/>
    <d v="2025-02-03T00:00:00"/>
    <d v="2025-02-03T00:00:00"/>
    <m/>
    <x v="19"/>
    <m/>
    <m/>
    <n v="8289"/>
    <n v="69561"/>
    <s v="/"/>
    <x v="17"/>
    <n v="2"/>
    <d v="1899-12-30T02:00:00"/>
    <d v="2025-02-11T00:00:00"/>
  </r>
  <r>
    <n v="8289"/>
    <x v="51"/>
    <x v="75"/>
    <m/>
    <m/>
    <n v="28"/>
    <x v="2"/>
    <n v="3203"/>
    <x v="8"/>
    <m/>
    <x v="0"/>
    <m/>
    <m/>
    <m/>
    <m/>
    <m/>
    <m/>
    <m/>
    <m/>
    <m/>
    <m/>
    <d v="2025-02-03T00:00:00"/>
    <d v="2025-02-03T00:00:00"/>
    <m/>
    <x v="19"/>
    <m/>
    <m/>
    <n v="8289"/>
    <n v="69474"/>
    <s v="/"/>
    <x v="17"/>
    <n v="2"/>
    <d v="1899-12-30T02:00:00"/>
    <d v="2025-02-11T00:00:00"/>
  </r>
  <r>
    <n v="8289"/>
    <x v="51"/>
    <x v="75"/>
    <m/>
    <m/>
    <n v="28"/>
    <x v="2"/>
    <n v="3203"/>
    <x v="8"/>
    <m/>
    <x v="0"/>
    <m/>
    <m/>
    <m/>
    <m/>
    <m/>
    <m/>
    <m/>
    <m/>
    <m/>
    <m/>
    <d v="2025-02-03T00:00:00"/>
    <d v="2025-02-03T00:00:00"/>
    <m/>
    <x v="19"/>
    <m/>
    <m/>
    <n v="8289"/>
    <n v="69438"/>
    <s v="/"/>
    <x v="17"/>
    <n v="3"/>
    <d v="1899-12-30T03:00:00"/>
    <d v="2025-02-11T00:00:00"/>
  </r>
  <r>
    <n v="8289"/>
    <x v="51"/>
    <x v="75"/>
    <m/>
    <m/>
    <n v="28"/>
    <x v="2"/>
    <n v="3203"/>
    <x v="8"/>
    <m/>
    <x v="0"/>
    <m/>
    <m/>
    <m/>
    <m/>
    <m/>
    <m/>
    <m/>
    <m/>
    <m/>
    <m/>
    <d v="2025-02-03T00:00:00"/>
    <d v="2025-02-03T00:00:00"/>
    <m/>
    <x v="19"/>
    <m/>
    <m/>
    <n v="8289"/>
    <n v="69437"/>
    <s v="/"/>
    <x v="17"/>
    <n v="2"/>
    <d v="1899-12-30T02:00:00"/>
    <d v="2025-02-11T00:00:00"/>
  </r>
  <r>
    <n v="8289"/>
    <x v="51"/>
    <x v="75"/>
    <m/>
    <m/>
    <n v="28"/>
    <x v="2"/>
    <n v="3203"/>
    <x v="8"/>
    <m/>
    <x v="0"/>
    <m/>
    <m/>
    <m/>
    <m/>
    <m/>
    <m/>
    <m/>
    <m/>
    <m/>
    <m/>
    <d v="2025-02-03T00:00:00"/>
    <d v="2025-02-03T00:00:00"/>
    <m/>
    <x v="19"/>
    <m/>
    <m/>
    <n v="8289"/>
    <n v="69303"/>
    <s v="/"/>
    <x v="30"/>
    <n v="3"/>
    <d v="1899-12-30T03:00:00"/>
    <d v="2025-02-10T00:00:00"/>
  </r>
  <r>
    <n v="8289"/>
    <x v="51"/>
    <x v="75"/>
    <m/>
    <m/>
    <n v="28"/>
    <x v="2"/>
    <n v="3203"/>
    <x v="8"/>
    <m/>
    <x v="0"/>
    <m/>
    <m/>
    <m/>
    <m/>
    <m/>
    <m/>
    <m/>
    <m/>
    <m/>
    <m/>
    <d v="2025-02-03T00:00:00"/>
    <d v="2025-02-03T00:00:00"/>
    <m/>
    <x v="19"/>
    <m/>
    <m/>
    <n v="8289"/>
    <n v="69259"/>
    <s v="/"/>
    <x v="30"/>
    <n v="3"/>
    <d v="1899-12-30T03:00:00"/>
    <d v="2025-02-10T00:00:00"/>
  </r>
  <r>
    <n v="8289"/>
    <x v="51"/>
    <x v="75"/>
    <m/>
    <m/>
    <n v="28"/>
    <x v="2"/>
    <n v="3203"/>
    <x v="8"/>
    <m/>
    <x v="0"/>
    <m/>
    <m/>
    <m/>
    <m/>
    <m/>
    <m/>
    <m/>
    <m/>
    <m/>
    <m/>
    <d v="2025-02-03T00:00:00"/>
    <d v="2025-02-03T00:00:00"/>
    <m/>
    <x v="19"/>
    <m/>
    <m/>
    <n v="8289"/>
    <n v="69215"/>
    <s v="/"/>
    <x v="30"/>
    <n v="1"/>
    <d v="1899-12-30T01:00:00"/>
    <d v="2025-02-10T00:00:00"/>
  </r>
  <r>
    <n v="8289"/>
    <x v="51"/>
    <x v="75"/>
    <m/>
    <m/>
    <n v="28"/>
    <x v="2"/>
    <n v="3203"/>
    <x v="8"/>
    <m/>
    <x v="0"/>
    <m/>
    <m/>
    <m/>
    <m/>
    <m/>
    <m/>
    <m/>
    <m/>
    <m/>
    <m/>
    <d v="2025-02-03T00:00:00"/>
    <d v="2025-02-03T00:00:00"/>
    <m/>
    <x v="19"/>
    <m/>
    <m/>
    <n v="8289"/>
    <n v="69213"/>
    <s v="/"/>
    <x v="30"/>
    <n v="1"/>
    <d v="1899-12-30T01:00:00"/>
    <d v="2025-02-10T00:00:00"/>
  </r>
  <r>
    <n v="8289"/>
    <x v="51"/>
    <x v="75"/>
    <m/>
    <m/>
    <n v="28"/>
    <x v="2"/>
    <n v="3203"/>
    <x v="8"/>
    <m/>
    <x v="0"/>
    <m/>
    <m/>
    <m/>
    <m/>
    <m/>
    <m/>
    <m/>
    <m/>
    <m/>
    <m/>
    <d v="2025-02-03T00:00:00"/>
    <d v="2025-02-03T00:00:00"/>
    <m/>
    <x v="19"/>
    <m/>
    <m/>
    <n v="8289"/>
    <n v="68851"/>
    <s v="/"/>
    <x v="4"/>
    <n v="8"/>
    <d v="1899-12-30T08:00:00"/>
    <d v="2025-02-07T00:00:00"/>
  </r>
  <r>
    <n v="8289"/>
    <x v="51"/>
    <x v="75"/>
    <m/>
    <m/>
    <n v="28"/>
    <x v="2"/>
    <n v="3203"/>
    <x v="8"/>
    <m/>
    <x v="0"/>
    <m/>
    <m/>
    <m/>
    <m/>
    <m/>
    <m/>
    <m/>
    <m/>
    <m/>
    <m/>
    <d v="2025-02-03T00:00:00"/>
    <d v="2025-02-03T00:00:00"/>
    <m/>
    <x v="19"/>
    <m/>
    <m/>
    <n v="8289"/>
    <n v="68847"/>
    <s v="/"/>
    <x v="18"/>
    <n v="2"/>
    <d v="1899-12-30T02:00:00"/>
    <d v="2025-02-07T00:00:00"/>
  </r>
  <r>
    <n v="8289"/>
    <x v="51"/>
    <x v="75"/>
    <m/>
    <m/>
    <n v="28"/>
    <x v="2"/>
    <n v="3203"/>
    <x v="8"/>
    <m/>
    <x v="0"/>
    <m/>
    <m/>
    <m/>
    <m/>
    <m/>
    <m/>
    <m/>
    <m/>
    <m/>
    <m/>
    <d v="2025-02-03T00:00:00"/>
    <d v="2025-02-03T00:00:00"/>
    <m/>
    <x v="19"/>
    <m/>
    <m/>
    <n v="8289"/>
    <n v="68180"/>
    <s v="/"/>
    <x v="18"/>
    <n v="1"/>
    <d v="1899-12-30T01:00:00"/>
    <d v="2025-02-06T00:00:00"/>
  </r>
  <r>
    <n v="8289"/>
    <x v="51"/>
    <x v="75"/>
    <m/>
    <m/>
    <n v="28"/>
    <x v="2"/>
    <n v="3203"/>
    <x v="8"/>
    <m/>
    <x v="0"/>
    <m/>
    <m/>
    <m/>
    <m/>
    <m/>
    <m/>
    <m/>
    <m/>
    <m/>
    <m/>
    <d v="2025-02-03T00:00:00"/>
    <d v="2025-02-03T00:00:00"/>
    <m/>
    <x v="19"/>
    <m/>
    <m/>
    <n v="8289"/>
    <n v="68167"/>
    <s v="/"/>
    <x v="18"/>
    <n v="1"/>
    <d v="1899-12-30T01:00:00"/>
    <d v="2025-02-06T00:00:00"/>
  </r>
  <r>
    <n v="8289"/>
    <x v="51"/>
    <x v="75"/>
    <m/>
    <m/>
    <n v="28"/>
    <x v="2"/>
    <n v="3203"/>
    <x v="8"/>
    <m/>
    <x v="0"/>
    <m/>
    <m/>
    <m/>
    <m/>
    <m/>
    <m/>
    <m/>
    <m/>
    <m/>
    <m/>
    <d v="2025-02-03T00:00:00"/>
    <d v="2025-02-03T00:00:00"/>
    <m/>
    <x v="19"/>
    <m/>
    <m/>
    <n v="8289"/>
    <n v="68166"/>
    <s v="/"/>
    <x v="18"/>
    <n v="1"/>
    <d v="1899-12-30T01:00:00"/>
    <d v="2025-02-06T00:00:00"/>
  </r>
  <r>
    <n v="8289"/>
    <x v="51"/>
    <x v="75"/>
    <m/>
    <m/>
    <n v="28"/>
    <x v="2"/>
    <n v="3203"/>
    <x v="8"/>
    <m/>
    <x v="0"/>
    <m/>
    <m/>
    <m/>
    <m/>
    <m/>
    <m/>
    <m/>
    <m/>
    <m/>
    <m/>
    <d v="2025-02-03T00:00:00"/>
    <d v="2025-02-03T00:00:00"/>
    <m/>
    <x v="19"/>
    <m/>
    <m/>
    <n v="8289"/>
    <n v="68068"/>
    <s v="/"/>
    <x v="19"/>
    <n v="4"/>
    <d v="1899-12-30T04:00:00"/>
    <d v="2025-02-05T00:00:00"/>
  </r>
  <r>
    <n v="8289"/>
    <x v="51"/>
    <x v="75"/>
    <m/>
    <m/>
    <n v="28"/>
    <x v="2"/>
    <n v="3203"/>
    <x v="8"/>
    <m/>
    <x v="0"/>
    <m/>
    <m/>
    <m/>
    <m/>
    <m/>
    <m/>
    <m/>
    <m/>
    <m/>
    <m/>
    <d v="2025-02-03T00:00:00"/>
    <d v="2025-02-03T00:00:00"/>
    <m/>
    <x v="19"/>
    <m/>
    <m/>
    <n v="8289"/>
    <n v="67935"/>
    <s v="/"/>
    <x v="19"/>
    <n v="4"/>
    <d v="1899-12-30T04:00:00"/>
    <d v="2025-02-05T00:00:00"/>
  </r>
  <r>
    <n v="8289"/>
    <x v="51"/>
    <x v="75"/>
    <m/>
    <m/>
    <n v="28"/>
    <x v="2"/>
    <n v="3203"/>
    <x v="8"/>
    <m/>
    <x v="0"/>
    <m/>
    <m/>
    <m/>
    <m/>
    <m/>
    <m/>
    <m/>
    <m/>
    <m/>
    <m/>
    <d v="2025-02-03T00:00:00"/>
    <d v="2025-02-03T00:00:00"/>
    <m/>
    <x v="19"/>
    <m/>
    <m/>
    <n v="8289"/>
    <n v="67927"/>
    <s v="/"/>
    <x v="19"/>
    <n v="1"/>
    <d v="1899-12-30T01:00:00"/>
    <d v="2025-02-05T00:00:00"/>
  </r>
  <r>
    <n v="8289"/>
    <x v="51"/>
    <x v="75"/>
    <m/>
    <m/>
    <n v="28"/>
    <x v="2"/>
    <n v="3203"/>
    <x v="8"/>
    <m/>
    <x v="0"/>
    <m/>
    <m/>
    <m/>
    <m/>
    <m/>
    <m/>
    <m/>
    <m/>
    <m/>
    <m/>
    <d v="2025-02-03T00:00:00"/>
    <d v="2025-02-03T00:00:00"/>
    <m/>
    <x v="19"/>
    <m/>
    <m/>
    <n v="8289"/>
    <n v="68849"/>
    <s v="/"/>
    <x v="25"/>
    <n v="6"/>
    <d v="1899-12-30T06:00:00"/>
    <d v="2025-02-07T00:00:00"/>
  </r>
  <r>
    <n v="8289"/>
    <x v="51"/>
    <x v="75"/>
    <m/>
    <m/>
    <n v="28"/>
    <x v="2"/>
    <n v="3203"/>
    <x v="8"/>
    <m/>
    <x v="0"/>
    <m/>
    <m/>
    <m/>
    <m/>
    <m/>
    <m/>
    <m/>
    <m/>
    <m/>
    <m/>
    <d v="2025-02-03T00:00:00"/>
    <d v="2025-02-03T00:00:00"/>
    <m/>
    <x v="19"/>
    <m/>
    <m/>
    <n v="8289"/>
    <n v="67830"/>
    <s v="/"/>
    <x v="25"/>
    <n v="3"/>
    <d v="1899-12-30T03:00:00"/>
    <d v="2025-02-05T00:00:00"/>
  </r>
  <r>
    <n v="8289"/>
    <x v="51"/>
    <x v="75"/>
    <m/>
    <m/>
    <n v="28"/>
    <x v="2"/>
    <n v="3203"/>
    <x v="8"/>
    <m/>
    <x v="0"/>
    <m/>
    <m/>
    <m/>
    <m/>
    <m/>
    <m/>
    <m/>
    <m/>
    <m/>
    <m/>
    <d v="2025-02-03T00:00:00"/>
    <d v="2025-02-03T00:00:00"/>
    <m/>
    <x v="19"/>
    <m/>
    <m/>
    <n v="8289"/>
    <n v="68850"/>
    <s v="/"/>
    <x v="26"/>
    <n v="9"/>
    <d v="1899-12-30T09:00:00"/>
    <d v="2025-02-07T00:00:00"/>
  </r>
  <r>
    <n v="8480"/>
    <x v="51"/>
    <x v="76"/>
    <m/>
    <m/>
    <n v="21"/>
    <x v="3"/>
    <n v="3202"/>
    <x v="3"/>
    <s v="x"/>
    <x v="1"/>
    <n v="4"/>
    <s v="SOPORTE/CAPACITACION"/>
    <n v="1"/>
    <s v="BAJA"/>
    <n v="1"/>
    <n v="1"/>
    <n v="1"/>
    <n v="1"/>
    <n v="1"/>
    <s v="PEQUEÑO"/>
    <d v="2025-02-22T00:00:00"/>
    <d v="2025-02-22T00:00:00"/>
    <d v="2025-02-22T00:00:00"/>
    <x v="25"/>
    <d v="2025-02-22T00:00:00"/>
    <s v="&lt;p&gt;Cuando un proveedor no está activo el mensaje indicando esa información no se muestra, en su lugar se muestra un error de SQL&lt;/p&gt;"/>
    <n v="8480"/>
    <n v="72926"/>
    <s v="Corrección del error en SP"/>
    <x v="23"/>
    <n v="1"/>
    <d v="1899-12-30T01:00:00"/>
    <d v="2025-02-22T00:00:00"/>
  </r>
  <r>
    <n v="8480"/>
    <x v="51"/>
    <x v="76"/>
    <m/>
    <m/>
    <n v="21"/>
    <x v="3"/>
    <n v="3202"/>
    <x v="3"/>
    <m/>
    <x v="1"/>
    <n v="4"/>
    <s v="SOPORTE/CAPACITACION"/>
    <n v="1"/>
    <s v="BAJA"/>
    <n v="1"/>
    <n v="1"/>
    <n v="1"/>
    <n v="1"/>
    <n v="1"/>
    <s v="PEQUEÑO"/>
    <d v="2025-02-22T00:00:00"/>
    <d v="2025-02-22T00:00:00"/>
    <d v="2025-02-22T00:00:00"/>
    <x v="25"/>
    <d v="2025-02-22T00:00:00"/>
    <s v="&lt;p&gt;Cuando un proveedor no está activo el mensaje indicando esa información no se muestra, en su lugar se muestra un error de SQL&lt;/p&gt;"/>
    <n v="8480"/>
    <n v="72925"/>
    <s v="Verificación del origen del error en SP"/>
    <x v="23"/>
    <n v="1"/>
    <d v="1899-12-30T01:00:00"/>
    <d v="2025-02-22T00:00:00"/>
  </r>
  <r>
    <n v="8480"/>
    <x v="51"/>
    <x v="76"/>
    <m/>
    <m/>
    <n v="21"/>
    <x v="3"/>
    <n v="3202"/>
    <x v="3"/>
    <m/>
    <x v="1"/>
    <n v="4"/>
    <s v="SOPORTE/CAPACITACION"/>
    <n v="1"/>
    <s v="BAJA"/>
    <n v="1"/>
    <n v="1"/>
    <n v="1"/>
    <n v="1"/>
    <n v="1"/>
    <s v="PEQUEÑO"/>
    <d v="2025-02-22T00:00:00"/>
    <d v="2025-02-22T00:00:00"/>
    <d v="2025-02-22T00:00:00"/>
    <x v="25"/>
    <d v="2025-02-22T00:00:00"/>
    <s v="&lt;p&gt;Cuando un proveedor no está activo el mensaje indicando esa información no se muestra, en su lugar se muestra un error de SQL&lt;/p&gt;"/>
    <n v="8480"/>
    <n v="72924"/>
    <s v="Verificación del origen del error en el código de STOD"/>
    <x v="23"/>
    <n v="2"/>
    <d v="1899-12-30T02:00:00"/>
    <d v="2025-02-22T00:00:00"/>
  </r>
  <r>
    <n v="8539"/>
    <x v="51"/>
    <x v="77"/>
    <n v="247897"/>
    <s v="JOSE LUIS PRADO PORTILLO"/>
    <n v="21"/>
    <x v="3"/>
    <n v="3202"/>
    <x v="3"/>
    <s v="x"/>
    <x v="1"/>
    <n v="4"/>
    <s v="SOPORTE/CAPACITACION"/>
    <n v="1"/>
    <s v="BAJA"/>
    <n v="3"/>
    <n v="3"/>
    <n v="3"/>
    <n v="3"/>
    <n v="1"/>
    <s v="PEQUEÑO"/>
    <d v="2025-03-07T00:00:00"/>
    <d v="2025-03-07T00:00:00"/>
    <d v="2025-03-07T00:00:00"/>
    <x v="26"/>
    <d v="2025-03-08T00:00:00"/>
    <s v="&lt;p&gt;Se presenta un error en la interfaz de pagos debido a que ya no procesa los recibos luego del mediodía.&lt;/p&gt;"/>
    <n v="8539"/>
    <n v="76611"/>
    <s v="Se agregó nuevamente el recibo y de igual forma presentaba error, junto con mesa de ayuda se revisaron las configuraciones de la caja ya que faltaba de agregar un dato relacionado al tipo de pago con tarjeta"/>
    <x v="37"/>
    <n v="2"/>
    <d v="1899-12-30T02:00:00"/>
    <d v="2025-03-08T00:00:00"/>
  </r>
  <r>
    <n v="8539"/>
    <x v="51"/>
    <x v="77"/>
    <n v="247897"/>
    <s v="JOSE LUIS PRADO PORTILLO"/>
    <n v="21"/>
    <x v="3"/>
    <n v="3202"/>
    <x v="3"/>
    <m/>
    <x v="1"/>
    <n v="4"/>
    <s v="SOPORTE/CAPACITACION"/>
    <n v="1"/>
    <s v="BAJA"/>
    <n v="3"/>
    <n v="3"/>
    <n v="3"/>
    <n v="3"/>
    <n v="1"/>
    <s v="PEQUEÑO"/>
    <d v="2025-03-07T00:00:00"/>
    <d v="2025-03-07T00:00:00"/>
    <d v="2025-03-07T00:00:00"/>
    <x v="26"/>
    <d v="2025-03-08T00:00:00"/>
    <s v="&lt;p&gt;Se presenta un error en la interfaz de pagos debido a que ya no procesa los recibos luego del mediodía.&lt;/p&gt;"/>
    <n v="8539"/>
    <n v="76610"/>
    <s v="Se debbugeó la interfaz para saber que registro y en que parte genera problema, se reportó el problema ya que faltó agregar un dato relacionado al pago realizado con tarjeta"/>
    <x v="38"/>
    <n v="2.5833333333333299"/>
    <d v="1899-12-30T02:35:00"/>
    <d v="2025-03-08T00:00:00"/>
  </r>
  <r>
    <n v="8497"/>
    <x v="51"/>
    <x v="78"/>
    <n v="247094"/>
    <s v="RAUL ESTUARDO PEREZ ALVARADO"/>
    <n v="21"/>
    <x v="3"/>
    <n v="3233"/>
    <x v="0"/>
    <s v="x"/>
    <x v="1"/>
    <n v="4"/>
    <s v="SOPORTE/CAPACITACION"/>
    <n v="1"/>
    <s v="BAJA"/>
    <n v="1"/>
    <n v="1"/>
    <n v="1"/>
    <n v="1"/>
    <n v="1"/>
    <s v="PEQUEÑO"/>
    <d v="2025-02-27T00:00:00"/>
    <d v="2025-02-27T00:00:00"/>
    <d v="2025-02-27T00:00:00"/>
    <x v="22"/>
    <m/>
    <s v="&lt;p&gt;soporte a Raul para grabar factura de clientes que daba error&lt;/p&gt;"/>
    <n v="8497"/>
    <n v="74303"/>
    <s v="soporte"/>
    <x v="9"/>
    <n v="0.5"/>
    <d v="1899-12-30T00:30:00"/>
    <d v="2025-02-28T00:00:00"/>
  </r>
  <r>
    <n v="8497"/>
    <x v="51"/>
    <x v="78"/>
    <n v="247094"/>
    <s v="RAUL ESTUARDO PEREZ ALVARADO"/>
    <n v="21"/>
    <x v="3"/>
    <n v="3233"/>
    <x v="0"/>
    <m/>
    <x v="1"/>
    <n v="4"/>
    <s v="SOPORTE/CAPACITACION"/>
    <n v="1"/>
    <s v="BAJA"/>
    <n v="1"/>
    <n v="1"/>
    <n v="1"/>
    <n v="1"/>
    <n v="1"/>
    <s v="PEQUEÑO"/>
    <d v="2025-02-27T00:00:00"/>
    <d v="2025-02-27T00:00:00"/>
    <d v="2025-02-27T00:00:00"/>
    <x v="22"/>
    <m/>
    <s v="&lt;p&gt;soporte a Raul para grabar factura de clientes que daba error&lt;/p&gt;"/>
    <n v="8497"/>
    <n v="74301"/>
    <s v="soporte"/>
    <x v="9"/>
    <n v="0.5"/>
    <d v="1899-12-30T00:30:00"/>
    <d v="2025-02-28T00:00:00"/>
  </r>
  <r>
    <n v="8553"/>
    <x v="51"/>
    <x v="79"/>
    <n v="246832"/>
    <s v="KAREN SELENA MENDIZABAL LOPEZ"/>
    <n v="21"/>
    <x v="3"/>
    <n v="3204"/>
    <x v="10"/>
    <s v="x"/>
    <x v="1"/>
    <n v="4"/>
    <s v="SOPORTE/CAPACITACION"/>
    <n v="2"/>
    <s v="MEDIA"/>
    <n v="2"/>
    <n v="2"/>
    <m/>
    <m/>
    <m/>
    <m/>
    <d v="2025-03-07T00:00:00"/>
    <d v="2025-03-07T00:00:00"/>
    <d v="2025-03-07T00:00:00"/>
    <x v="17"/>
    <d v="2025-03-07T00:00:00"/>
    <m/>
    <n v="8553"/>
    <n v="77049"/>
    <s v="/"/>
    <x v="38"/>
    <n v="1"/>
    <d v="1899-12-30T01:00:00"/>
    <d v="2025-03-11T00:00:00"/>
  </r>
  <r>
    <n v="8553"/>
    <x v="51"/>
    <x v="79"/>
    <n v="246832"/>
    <s v="KAREN SELENA MENDIZABAL LOPEZ"/>
    <n v="21"/>
    <x v="3"/>
    <n v="3204"/>
    <x v="10"/>
    <m/>
    <x v="1"/>
    <n v="4"/>
    <s v="SOPORTE/CAPACITACION"/>
    <n v="2"/>
    <s v="MEDIA"/>
    <n v="2"/>
    <n v="2"/>
    <m/>
    <m/>
    <m/>
    <m/>
    <d v="2025-03-07T00:00:00"/>
    <d v="2025-03-07T00:00:00"/>
    <d v="2025-03-07T00:00:00"/>
    <x v="17"/>
    <d v="2025-03-07T00:00:00"/>
    <m/>
    <n v="8553"/>
    <n v="77048"/>
    <s v="validación 1820008"/>
    <x v="38"/>
    <n v="1"/>
    <d v="1899-12-30T01:00:00"/>
    <d v="2025-03-11T00:00:00"/>
  </r>
  <r>
    <n v="8543"/>
    <x v="51"/>
    <x v="80"/>
    <n v="247434"/>
    <s v="ESTEBAN ESPINOZA DIAZ"/>
    <n v="21"/>
    <x v="3"/>
    <n v="3200"/>
    <x v="5"/>
    <s v="x"/>
    <x v="0"/>
    <m/>
    <m/>
    <n v="1"/>
    <s v="BAJA"/>
    <n v="1"/>
    <n v="1"/>
    <n v="1"/>
    <n v="1"/>
    <n v="1"/>
    <s v="PEQUEÑO"/>
    <d v="2025-03-10T00:00:00"/>
    <d v="2025-03-10T00:00:00"/>
    <m/>
    <x v="19"/>
    <d v="2025-03-10T00:00:00"/>
    <m/>
    <n v="8543"/>
    <n v="76840"/>
    <s v="Instalación de driver para impresora"/>
    <x v="28"/>
    <n v="0.33333333333333298"/>
    <d v="1899-12-30T00:20:00"/>
    <d v="2025-03-10T00:00:00"/>
  </r>
  <r>
    <n v="8471"/>
    <x v="51"/>
    <x v="81"/>
    <n v="247897"/>
    <s v="JOSE LUIS PRADO PORTILLO"/>
    <n v="21"/>
    <x v="3"/>
    <n v="3202"/>
    <x v="3"/>
    <s v="x"/>
    <x v="0"/>
    <n v="4"/>
    <s v="SOPORTE/CAPACITACION"/>
    <n v="2"/>
    <s v="MEDIA"/>
    <n v="3"/>
    <n v="3"/>
    <n v="3"/>
    <n v="3"/>
    <n v="1"/>
    <s v="PEQUEÑO"/>
    <d v="2025-02-18T00:00:00"/>
    <d v="2025-02-18T00:00:00"/>
    <d v="2025-02-19T00:00:00"/>
    <x v="27"/>
    <d v="2025-02-19T00:00:00"/>
    <m/>
    <n v="8471"/>
    <n v="72071"/>
    <s v="Validación en el método de búsqueda que obtiene los datos de la OV"/>
    <x v="2"/>
    <n v="2.2000000000000002"/>
    <d v="1899-12-30T02:12:00"/>
    <d v="2025-02-20T00:00:00"/>
  </r>
  <r>
    <n v="8471"/>
    <x v="51"/>
    <x v="81"/>
    <n v="247897"/>
    <s v="JOSE LUIS PRADO PORTILLO"/>
    <n v="21"/>
    <x v="3"/>
    <n v="3202"/>
    <x v="3"/>
    <m/>
    <x v="0"/>
    <n v="4"/>
    <s v="SOPORTE/CAPACITACION"/>
    <n v="2"/>
    <s v="MEDIA"/>
    <n v="3"/>
    <n v="3"/>
    <n v="3"/>
    <n v="3"/>
    <n v="1"/>
    <s v="PEQUEÑO"/>
    <d v="2025-02-18T00:00:00"/>
    <d v="2025-02-18T00:00:00"/>
    <d v="2025-02-19T00:00:00"/>
    <x v="27"/>
    <d v="2025-02-19T00:00:00"/>
    <m/>
    <n v="8471"/>
    <n v="72068"/>
    <s v="Verificación de código al apuntar al servidor de Producción y Desarrollo"/>
    <x v="3"/>
    <n v="0.58333333333333304"/>
    <d v="1899-12-30T00:35:00"/>
    <d v="2025-02-20T00:00:00"/>
  </r>
  <r>
    <n v="8547"/>
    <x v="51"/>
    <x v="82"/>
    <n v="247434"/>
    <s v="ESTEBAN ESPINOZA DIAZ"/>
    <n v="21"/>
    <x v="3"/>
    <n v="3200"/>
    <x v="5"/>
    <s v="x"/>
    <x v="0"/>
    <n v="4"/>
    <s v="SOPORTE/CAPACITACION"/>
    <n v="1"/>
    <s v="BAJA"/>
    <n v="1"/>
    <n v="1"/>
    <n v="1"/>
    <n v="1"/>
    <n v="1"/>
    <s v="PEQUEÑO"/>
    <d v="2025-03-10T00:00:00"/>
    <d v="2025-03-10T00:00:00"/>
    <m/>
    <x v="19"/>
    <d v="2025-03-10T00:00:00"/>
    <m/>
    <n v="8547"/>
    <n v="77012"/>
    <s v="Borrar cookies"/>
    <x v="28"/>
    <n v="8.3333333333333301E-2"/>
    <d v="1899-12-30T00:05:00"/>
    <d v="2025-03-11T00:00:00"/>
  </r>
  <r>
    <n v="8290"/>
    <x v="51"/>
    <x v="83"/>
    <m/>
    <m/>
    <n v="21"/>
    <x v="3"/>
    <n v="3201"/>
    <x v="12"/>
    <s v="x"/>
    <x v="0"/>
    <n v="4"/>
    <s v="SOPORTE/CAPACITACION"/>
    <n v="1"/>
    <s v="BAJA"/>
    <n v="2"/>
    <n v="2"/>
    <n v="3"/>
    <n v="3"/>
    <n v="2"/>
    <s v="MEDIANO"/>
    <d v="2025-01-01T00:00:00"/>
    <d v="2025-01-01T00:00:00"/>
    <d v="2025-01-31T00:00:00"/>
    <x v="3"/>
    <d v="2025-01-31T00:00:00"/>
    <m/>
    <n v="8290"/>
    <n v="67504"/>
    <s v="Soporte de Isuzu por problemas en Matriz de Riesgo, validación ONU, instancias suspendidas, creaciones de usuarios, etc"/>
    <x v="34"/>
    <n v="5"/>
    <d v="1899-12-30T05:00:00"/>
    <d v="2025-02-03T00:00:00"/>
  </r>
  <r>
    <n v="8314"/>
    <x v="51"/>
    <x v="84"/>
    <m/>
    <m/>
    <n v="21"/>
    <x v="3"/>
    <n v="3201"/>
    <x v="12"/>
    <s v="x"/>
    <x v="0"/>
    <n v="4"/>
    <s v="SOPORTE/CAPACITACION"/>
    <n v="1"/>
    <s v="BAJA"/>
    <n v="2"/>
    <n v="2"/>
    <n v="3"/>
    <n v="3"/>
    <n v="1"/>
    <s v="PEQUEÑO"/>
    <d v="2025-02-01T00:00:00"/>
    <d v="2025-02-01T00:00:00"/>
    <d v="2025-02-28T00:00:00"/>
    <x v="5"/>
    <m/>
    <m/>
    <n v="8314"/>
    <n v="74176"/>
    <s v="Soporte por anulación de facturas, actualización de tipo de persona para carga de documentación en etapa de ventas y creación de usuario, sincronización en Forms y notificación a ejecutivo"/>
    <x v="9"/>
    <n v="1.5"/>
    <d v="1899-12-30T01:30:00"/>
    <d v="2025-02-28T00:00:00"/>
  </r>
  <r>
    <n v="8314"/>
    <x v="51"/>
    <x v="84"/>
    <m/>
    <m/>
    <n v="21"/>
    <x v="3"/>
    <n v="3201"/>
    <x v="12"/>
    <m/>
    <x v="0"/>
    <n v="4"/>
    <s v="SOPORTE/CAPACITACION"/>
    <n v="1"/>
    <s v="BAJA"/>
    <n v="2"/>
    <n v="2"/>
    <n v="3"/>
    <n v="3"/>
    <n v="1"/>
    <s v="PEQUEÑO"/>
    <d v="2025-02-01T00:00:00"/>
    <d v="2025-02-01T00:00:00"/>
    <d v="2025-02-28T00:00:00"/>
    <x v="5"/>
    <m/>
    <m/>
    <n v="8314"/>
    <n v="73430"/>
    <s v="Soporte por creación manual de expediente de cliente, validación de tipo de persona para carga de documentación de ventas, cambio de asignación de tareas a vendedor por reemplazo y validación de envío de FEIC correcto a vendedores"/>
    <x v="11"/>
    <n v="2.5"/>
    <d v="1899-12-30T02:30:00"/>
    <d v="2025-02-25T00:00:00"/>
  </r>
  <r>
    <n v="8314"/>
    <x v="51"/>
    <x v="84"/>
    <m/>
    <m/>
    <n v="21"/>
    <x v="3"/>
    <n v="3201"/>
    <x v="12"/>
    <m/>
    <x v="0"/>
    <n v="4"/>
    <s v="SOPORTE/CAPACITACION"/>
    <n v="1"/>
    <s v="BAJA"/>
    <n v="2"/>
    <n v="2"/>
    <n v="3"/>
    <n v="3"/>
    <n v="1"/>
    <s v="PEQUEÑO"/>
    <d v="2025-02-01T00:00:00"/>
    <d v="2025-02-01T00:00:00"/>
    <d v="2025-02-28T00:00:00"/>
    <x v="5"/>
    <m/>
    <m/>
    <n v="8314"/>
    <n v="71806"/>
    <s v="Soporte por tarea suspendida y modificación por cambio de ejecutivo de ventas asignado"/>
    <x v="3"/>
    <n v="1"/>
    <d v="1899-12-30T01:00:00"/>
    <d v="2025-02-19T00:00:00"/>
  </r>
  <r>
    <n v="8314"/>
    <x v="51"/>
    <x v="84"/>
    <m/>
    <m/>
    <n v="21"/>
    <x v="3"/>
    <n v="3201"/>
    <x v="12"/>
    <m/>
    <x v="0"/>
    <n v="4"/>
    <s v="SOPORTE/CAPACITACION"/>
    <n v="1"/>
    <s v="BAJA"/>
    <n v="2"/>
    <n v="2"/>
    <n v="3"/>
    <n v="3"/>
    <n v="1"/>
    <s v="PEQUEÑO"/>
    <d v="2025-02-01T00:00:00"/>
    <d v="2025-02-01T00:00:00"/>
    <d v="2025-02-28T00:00:00"/>
    <x v="5"/>
    <m/>
    <m/>
    <n v="8314"/>
    <n v="69862"/>
    <s v="Soporte por validación en Matriz de Riesgo y ONU"/>
    <x v="30"/>
    <n v="1"/>
    <d v="1899-12-30T01:00:00"/>
    <d v="2025-02-12T00:00:00"/>
  </r>
  <r>
    <n v="8314"/>
    <x v="51"/>
    <x v="84"/>
    <m/>
    <m/>
    <n v="21"/>
    <x v="3"/>
    <n v="3201"/>
    <x v="12"/>
    <m/>
    <x v="0"/>
    <n v="4"/>
    <s v="SOPORTE/CAPACITACION"/>
    <n v="1"/>
    <s v="BAJA"/>
    <n v="2"/>
    <n v="2"/>
    <n v="3"/>
    <n v="3"/>
    <n v="1"/>
    <s v="PEQUEÑO"/>
    <d v="2025-02-01T00:00:00"/>
    <d v="2025-02-01T00:00:00"/>
    <d v="2025-02-28T00:00:00"/>
    <x v="5"/>
    <m/>
    <m/>
    <n v="8314"/>
    <n v="68295"/>
    <s v="Soporte por creación de usuarios"/>
    <x v="18"/>
    <n v="1"/>
    <d v="1899-12-30T01:00:00"/>
    <d v="2025-02-06T00:00:00"/>
  </r>
  <r>
    <n v="8314"/>
    <x v="51"/>
    <x v="84"/>
    <m/>
    <m/>
    <n v="21"/>
    <x v="3"/>
    <n v="3201"/>
    <x v="12"/>
    <m/>
    <x v="0"/>
    <n v="4"/>
    <s v="SOPORTE/CAPACITACION"/>
    <n v="1"/>
    <s v="BAJA"/>
    <n v="2"/>
    <n v="2"/>
    <n v="3"/>
    <n v="3"/>
    <n v="1"/>
    <s v="PEQUEÑO"/>
    <d v="2025-02-01T00:00:00"/>
    <d v="2025-02-01T00:00:00"/>
    <d v="2025-02-28T00:00:00"/>
    <x v="5"/>
    <m/>
    <m/>
    <n v="8314"/>
    <n v="68294"/>
    <s v="Soporte por validación en Matriz de Riesgo y ONU"/>
    <x v="25"/>
    <n v="1.5"/>
    <d v="1899-12-30T01:30:00"/>
    <d v="2025-02-06T00:00:00"/>
  </r>
  <r>
    <n v="8314"/>
    <x v="51"/>
    <x v="84"/>
    <m/>
    <m/>
    <n v="21"/>
    <x v="3"/>
    <n v="3201"/>
    <x v="12"/>
    <m/>
    <x v="0"/>
    <n v="4"/>
    <s v="SOPORTE/CAPACITACION"/>
    <n v="1"/>
    <s v="BAJA"/>
    <n v="2"/>
    <n v="2"/>
    <n v="3"/>
    <n v="3"/>
    <n v="1"/>
    <s v="PEQUEÑO"/>
    <d v="2025-02-01T00:00:00"/>
    <d v="2025-02-01T00:00:00"/>
    <d v="2025-02-28T00:00:00"/>
    <x v="5"/>
    <m/>
    <m/>
    <n v="8314"/>
    <n v="68293"/>
    <s v="Soporte por validación en Matriz de Riesgo y ONU"/>
    <x v="26"/>
    <n v="2"/>
    <d v="1899-12-30T02:00:00"/>
    <d v="2025-02-06T00:00:00"/>
  </r>
  <r>
    <n v="8506"/>
    <x v="51"/>
    <x v="85"/>
    <n v="247828"/>
    <s v="DOUGLAS ALEJANDRO MALDONADO DUMAS"/>
    <n v="22"/>
    <x v="4"/>
    <n v="3204"/>
    <x v="10"/>
    <s v="x"/>
    <x v="1"/>
    <n v="3"/>
    <s v="REPORTE"/>
    <n v="2"/>
    <s v="MEDIA"/>
    <n v="2"/>
    <n v="2"/>
    <m/>
    <m/>
    <m/>
    <m/>
    <d v="2025-03-03T00:00:00"/>
    <d v="2025-03-03T00:00:00"/>
    <d v="2025-03-03T00:00:00"/>
    <x v="19"/>
    <m/>
    <m/>
    <n v="8506"/>
    <n v="76990"/>
    <s v="/"/>
    <x v="28"/>
    <n v="1"/>
    <d v="1899-12-30T01:00:00"/>
    <d v="2025-03-10T00:00:00"/>
  </r>
  <r>
    <n v="8506"/>
    <x v="51"/>
    <x v="85"/>
    <n v="247828"/>
    <s v="DOUGLAS ALEJANDRO MALDONADO DUMAS"/>
    <n v="22"/>
    <x v="4"/>
    <n v="3204"/>
    <x v="10"/>
    <m/>
    <x v="1"/>
    <n v="3"/>
    <s v="REPORTE"/>
    <n v="2"/>
    <s v="MEDIA"/>
    <n v="2"/>
    <n v="2"/>
    <m/>
    <m/>
    <m/>
    <m/>
    <d v="2025-03-03T00:00:00"/>
    <d v="2025-03-03T00:00:00"/>
    <d v="2025-03-03T00:00:00"/>
    <x v="19"/>
    <m/>
    <m/>
    <n v="8506"/>
    <n v="75572"/>
    <s v="/"/>
    <x v="29"/>
    <n v="6"/>
    <d v="1899-12-30T06:00:00"/>
    <d v="2025-03-05T00:00:00"/>
  </r>
  <r>
    <n v="8506"/>
    <x v="51"/>
    <x v="85"/>
    <n v="247828"/>
    <s v="DOUGLAS ALEJANDRO MALDONADO DUMAS"/>
    <n v="22"/>
    <x v="4"/>
    <n v="3204"/>
    <x v="10"/>
    <m/>
    <x v="1"/>
    <n v="3"/>
    <s v="REPORTE"/>
    <n v="2"/>
    <s v="MEDIA"/>
    <n v="2"/>
    <n v="2"/>
    <m/>
    <m/>
    <m/>
    <m/>
    <d v="2025-03-03T00:00:00"/>
    <d v="2025-03-03T00:00:00"/>
    <d v="2025-03-03T00:00:00"/>
    <x v="19"/>
    <m/>
    <m/>
    <n v="8506"/>
    <n v="75261"/>
    <s v="/"/>
    <x v="29"/>
    <n v="3"/>
    <d v="1899-12-30T03:00:00"/>
    <d v="2025-03-04T00:00:00"/>
  </r>
  <r>
    <n v="8307"/>
    <x v="51"/>
    <x v="86"/>
    <m/>
    <m/>
    <n v="28"/>
    <x v="2"/>
    <n v="195"/>
    <x v="4"/>
    <s v="x"/>
    <x v="0"/>
    <m/>
    <m/>
    <m/>
    <m/>
    <m/>
    <m/>
    <m/>
    <m/>
    <m/>
    <m/>
    <m/>
    <m/>
    <m/>
    <x v="19"/>
    <m/>
    <m/>
    <n v="8307"/>
    <n v="74581"/>
    <s v="Carga de reporte de corte de caja general y diario"/>
    <x v="9"/>
    <n v="3"/>
    <d v="1899-12-30T03:00:00"/>
    <d v="2025-02-28T00:00:00"/>
  </r>
  <r>
    <n v="8307"/>
    <x v="51"/>
    <x v="86"/>
    <m/>
    <m/>
    <n v="28"/>
    <x v="2"/>
    <n v="195"/>
    <x v="4"/>
    <m/>
    <x v="0"/>
    <m/>
    <m/>
    <m/>
    <m/>
    <m/>
    <m/>
    <m/>
    <m/>
    <m/>
    <m/>
    <m/>
    <m/>
    <m/>
    <x v="19"/>
    <m/>
    <m/>
    <n v="8307"/>
    <n v="74580"/>
    <s v="Reporte proyección STOD TALLER ISUZU"/>
    <x v="9"/>
    <n v="1"/>
    <d v="1899-12-30T01:00:00"/>
    <d v="2025-02-28T00:00:00"/>
  </r>
  <r>
    <n v="8307"/>
    <x v="51"/>
    <x v="86"/>
    <m/>
    <m/>
    <n v="28"/>
    <x v="2"/>
    <n v="195"/>
    <x v="4"/>
    <m/>
    <x v="0"/>
    <m/>
    <m/>
    <m/>
    <m/>
    <m/>
    <m/>
    <m/>
    <m/>
    <m/>
    <m/>
    <m/>
    <m/>
    <m/>
    <x v="19"/>
    <m/>
    <m/>
    <n v="8307"/>
    <n v="74577"/>
    <s v="Capacitación combos MOTUL"/>
    <x v="11"/>
    <n v="1"/>
    <d v="1899-12-30T01:00:00"/>
    <d v="2025-02-28T00:00:00"/>
  </r>
  <r>
    <n v="8307"/>
    <x v="51"/>
    <x v="86"/>
    <m/>
    <m/>
    <n v="28"/>
    <x v="2"/>
    <n v="195"/>
    <x v="4"/>
    <m/>
    <x v="0"/>
    <m/>
    <m/>
    <m/>
    <m/>
    <m/>
    <m/>
    <m/>
    <m/>
    <m/>
    <m/>
    <m/>
    <m/>
    <m/>
    <x v="19"/>
    <m/>
    <m/>
    <n v="8307"/>
    <n v="74576"/>
    <s v="Capacitación combos MOTUL"/>
    <x v="11"/>
    <n v="1"/>
    <d v="1899-12-30T01:00:00"/>
    <d v="2025-02-28T00:00:00"/>
  </r>
  <r>
    <n v="8307"/>
    <x v="51"/>
    <x v="86"/>
    <m/>
    <m/>
    <n v="28"/>
    <x v="2"/>
    <n v="195"/>
    <x v="4"/>
    <m/>
    <x v="0"/>
    <m/>
    <m/>
    <m/>
    <m/>
    <m/>
    <m/>
    <m/>
    <m/>
    <m/>
    <m/>
    <m/>
    <m/>
    <m/>
    <x v="19"/>
    <m/>
    <m/>
    <n v="8307"/>
    <n v="72801"/>
    <s v="Revisión de tickets, corrección de malas practicas en grabado de tickets en Odoo"/>
    <x v="1"/>
    <n v="2.75"/>
    <d v="1899-12-30T02:45:00"/>
    <d v="2025-02-21T00:00:00"/>
  </r>
  <r>
    <n v="8307"/>
    <x v="51"/>
    <x v="86"/>
    <m/>
    <m/>
    <n v="28"/>
    <x v="2"/>
    <n v="195"/>
    <x v="4"/>
    <m/>
    <x v="0"/>
    <m/>
    <m/>
    <m/>
    <m/>
    <m/>
    <m/>
    <m/>
    <m/>
    <m/>
    <m/>
    <m/>
    <m/>
    <m/>
    <x v="19"/>
    <m/>
    <m/>
    <n v="8307"/>
    <n v="70183"/>
    <s v="Llenado de tickets, documentación de procesos y llenado de horas 13/02/2025"/>
    <x v="15"/>
    <n v="1"/>
    <d v="1899-12-30T01:00:00"/>
    <d v="2025-02-13T00:00:00"/>
  </r>
  <r>
    <n v="8307"/>
    <x v="51"/>
    <x v="86"/>
    <m/>
    <m/>
    <n v="28"/>
    <x v="2"/>
    <n v="195"/>
    <x v="4"/>
    <m/>
    <x v="0"/>
    <m/>
    <m/>
    <m/>
    <m/>
    <m/>
    <m/>
    <m/>
    <m/>
    <m/>
    <m/>
    <m/>
    <m/>
    <m/>
    <x v="19"/>
    <m/>
    <m/>
    <n v="8307"/>
    <n v="70159"/>
    <s v="Llenado de tickets, documentación de procesos y llenado de horas 13/02/2025"/>
    <x v="15"/>
    <n v="1"/>
    <d v="1899-12-30T01:00:00"/>
    <d v="2025-02-13T00:00:00"/>
  </r>
  <r>
    <n v="8307"/>
    <x v="51"/>
    <x v="86"/>
    <m/>
    <m/>
    <n v="28"/>
    <x v="2"/>
    <n v="195"/>
    <x v="4"/>
    <m/>
    <x v="0"/>
    <m/>
    <m/>
    <m/>
    <m/>
    <m/>
    <m/>
    <m/>
    <m/>
    <m/>
    <m/>
    <m/>
    <m/>
    <m/>
    <x v="19"/>
    <m/>
    <m/>
    <n v="8307"/>
    <n v="68235"/>
    <s v="Diapositivas para reunión de RPA Boletas de créditos y cobros"/>
    <x v="18"/>
    <n v="3"/>
    <d v="1899-12-30T03:00:00"/>
    <d v="2025-02-06T00:00:00"/>
  </r>
  <r>
    <n v="8307"/>
    <x v="51"/>
    <x v="86"/>
    <m/>
    <m/>
    <n v="28"/>
    <x v="2"/>
    <n v="195"/>
    <x v="4"/>
    <m/>
    <x v="0"/>
    <m/>
    <m/>
    <m/>
    <m/>
    <m/>
    <m/>
    <m/>
    <m/>
    <m/>
    <m/>
    <m/>
    <m/>
    <m/>
    <x v="19"/>
    <m/>
    <m/>
    <n v="8307"/>
    <n v="68081"/>
    <s v="Llenado de tickets, documentación de procesos y llenado de horas 05/02/2025"/>
    <x v="19"/>
    <n v="1.5"/>
    <d v="1899-12-30T01:30:00"/>
    <d v="2025-02-05T00:00:00"/>
  </r>
  <r>
    <n v="8492"/>
    <x v="51"/>
    <x v="87"/>
    <n v="247857"/>
    <s v="ARNALDO RENE COTTO STREMS"/>
    <n v="30"/>
    <x v="0"/>
    <n v="3241"/>
    <x v="15"/>
    <s v="x"/>
    <x v="0"/>
    <n v="1"/>
    <s v="API"/>
    <n v="2"/>
    <s v="MEDIA"/>
    <n v="1"/>
    <n v="1"/>
    <n v="1"/>
    <n v="1"/>
    <n v="2"/>
    <s v="MEDIANO"/>
    <d v="2025-02-25T00:00:00"/>
    <d v="2025-02-25T00:00:00"/>
    <d v="2025-03-03T00:00:00"/>
    <x v="28"/>
    <d v="2025-03-03T00:00:00"/>
    <s v="&lt;p&gt;solicitan ws a medida para inventario de baterias intestate donde muestre los vehiculos compatibles con cada bateria. Adicional al WS se debe realizar una pantalla para cargar el archivo excel que crea el area administrativa de interstate como manteminiento a los vehiculos compatibles.&lt;/p&gt;"/>
    <n v="8492"/>
    <n v="75435"/>
    <s v="Creacion de tabla para almacenar la informacion en base de datos"/>
    <x v="39"/>
    <n v="0.5"/>
    <d v="1899-12-30T00:30:00"/>
    <d v="2025-03-04T00:00:00"/>
  </r>
  <r>
    <n v="8492"/>
    <x v="51"/>
    <x v="87"/>
    <n v="247857"/>
    <s v="ARNALDO RENE COTTO STREMS"/>
    <n v="30"/>
    <x v="0"/>
    <n v="3241"/>
    <x v="15"/>
    <m/>
    <x v="0"/>
    <n v="1"/>
    <s v="API"/>
    <n v="2"/>
    <s v="MEDIA"/>
    <n v="1"/>
    <n v="1"/>
    <n v="1"/>
    <n v="1"/>
    <n v="2"/>
    <s v="MEDIANO"/>
    <d v="2025-02-25T00:00:00"/>
    <d v="2025-02-25T00:00:00"/>
    <d v="2025-03-03T00:00:00"/>
    <x v="28"/>
    <d v="2025-03-03T00:00:00"/>
    <s v="&lt;p&gt;solicitan ws a medida para inventario de baterias intestate donde muestre los vehiculos compatibles con cada bateria. Adicional al WS se debe realizar una pantalla para cargar el archivo excel que crea el area administrativa de interstate como manteminiento a los vehiculos compatibles.&lt;/p&gt;"/>
    <n v="8492"/>
    <n v="75452"/>
    <s v="Creacion de paquete para envio a canella"/>
    <x v="36"/>
    <n v="0.25"/>
    <d v="1899-12-30T00:15:00"/>
    <d v="2025-03-04T00:00:00"/>
  </r>
  <r>
    <n v="8492"/>
    <x v="51"/>
    <x v="87"/>
    <n v="247857"/>
    <s v="ARNALDO RENE COTTO STREMS"/>
    <n v="30"/>
    <x v="0"/>
    <n v="3241"/>
    <x v="15"/>
    <m/>
    <x v="0"/>
    <n v="1"/>
    <s v="API"/>
    <n v="2"/>
    <s v="MEDIA"/>
    <n v="1"/>
    <n v="1"/>
    <n v="1"/>
    <n v="1"/>
    <n v="2"/>
    <s v="MEDIANO"/>
    <d v="2025-02-25T00:00:00"/>
    <d v="2025-02-25T00:00:00"/>
    <d v="2025-03-03T00:00:00"/>
    <x v="28"/>
    <d v="2025-03-03T00:00:00"/>
    <s v="&lt;p&gt;solicitan ws a medida para inventario de baterias intestate donde muestre los vehiculos compatibles con cada bateria. Adicional al WS se debe realizar una pantalla para cargar el archivo excel que crea el area administrativa de interstate como manteminiento a los vehiculos compatibles.&lt;/p&gt;"/>
    <n v="8492"/>
    <n v="75451"/>
    <s v="Envio de correo para que publique equipo interno it"/>
    <x v="36"/>
    <n v="8.3333333333333301E-2"/>
    <d v="1899-12-30T00:05:00"/>
    <d v="2025-03-04T00:00:00"/>
  </r>
  <r>
    <n v="8492"/>
    <x v="51"/>
    <x v="87"/>
    <n v="247857"/>
    <s v="ARNALDO RENE COTTO STREMS"/>
    <n v="30"/>
    <x v="0"/>
    <n v="3241"/>
    <x v="15"/>
    <m/>
    <x v="0"/>
    <n v="1"/>
    <s v="API"/>
    <n v="2"/>
    <s v="MEDIA"/>
    <n v="1"/>
    <n v="1"/>
    <n v="1"/>
    <n v="1"/>
    <n v="2"/>
    <s v="MEDIANO"/>
    <d v="2025-02-25T00:00:00"/>
    <d v="2025-02-25T00:00:00"/>
    <d v="2025-03-03T00:00:00"/>
    <x v="28"/>
    <d v="2025-03-03T00:00:00"/>
    <s v="&lt;p&gt;solicitan ws a medida para inventario de baterias intestate donde muestre los vehiculos compatibles con cada bateria. Adicional al WS se debe realizar una pantalla para cargar el archivo excel que crea el area administrativa de interstate como manteminiento a los vehiculos compatibles.&lt;/p&gt;"/>
    <n v="8492"/>
    <n v="75445"/>
    <s v="Envio de correo para que publique equipo interno it"/>
    <x v="36"/>
    <n v="8.3333333333333301E-2"/>
    <d v="1899-12-30T00:05:00"/>
    <d v="2025-03-04T00:00:00"/>
  </r>
  <r>
    <n v="8492"/>
    <x v="51"/>
    <x v="87"/>
    <n v="247857"/>
    <s v="ARNALDO RENE COTTO STREMS"/>
    <n v="30"/>
    <x v="0"/>
    <n v="3241"/>
    <x v="15"/>
    <m/>
    <x v="0"/>
    <n v="1"/>
    <s v="API"/>
    <n v="2"/>
    <s v="MEDIA"/>
    <n v="1"/>
    <n v="1"/>
    <n v="1"/>
    <n v="1"/>
    <n v="2"/>
    <s v="MEDIANO"/>
    <d v="2025-02-25T00:00:00"/>
    <d v="2025-02-25T00:00:00"/>
    <d v="2025-03-03T00:00:00"/>
    <x v="28"/>
    <d v="2025-03-03T00:00:00"/>
    <s v="&lt;p&gt;solicitan ws a medida para inventario de baterias intestate donde muestre los vehiculos compatibles con cada bateria. Adicional al WS se debe realizar una pantalla para cargar el archivo excel que crea el area administrativa de interstate como manteminiento a los vehiculos compatibles.&lt;/p&gt;"/>
    <n v="8492"/>
    <n v="75444"/>
    <s v="Creacion de paquete para envio a canella"/>
    <x v="36"/>
    <n v="0.25"/>
    <d v="1899-12-30T00:15:00"/>
    <d v="2025-03-04T00:00:00"/>
  </r>
  <r>
    <n v="8492"/>
    <x v="51"/>
    <x v="87"/>
    <n v="247857"/>
    <s v="ARNALDO RENE COTTO STREMS"/>
    <n v="30"/>
    <x v="0"/>
    <n v="3241"/>
    <x v="15"/>
    <m/>
    <x v="0"/>
    <n v="1"/>
    <s v="API"/>
    <n v="2"/>
    <s v="MEDIA"/>
    <n v="1"/>
    <n v="1"/>
    <n v="1"/>
    <n v="1"/>
    <n v="2"/>
    <s v="MEDIANO"/>
    <d v="2025-02-25T00:00:00"/>
    <d v="2025-02-25T00:00:00"/>
    <d v="2025-03-03T00:00:00"/>
    <x v="28"/>
    <d v="2025-03-03T00:00:00"/>
    <s v="&lt;p&gt;solicitan ws a medida para inventario de baterias intestate donde muestre los vehiculos compatibles con cada bateria. Adicional al WS se debe realizar una pantalla para cargar el archivo excel que crea el area administrativa de interstate como manteminiento a los vehiculos compatibles.&lt;/p&gt;"/>
    <n v="8492"/>
    <n v="75450"/>
    <s v="pruebas de servicio"/>
    <x v="29"/>
    <n v="1"/>
    <d v="1899-12-30T01:00:00"/>
    <d v="2025-03-04T00:00:00"/>
  </r>
  <r>
    <n v="8492"/>
    <x v="51"/>
    <x v="87"/>
    <n v="247857"/>
    <s v="ARNALDO RENE COTTO STREMS"/>
    <n v="30"/>
    <x v="0"/>
    <n v="3241"/>
    <x v="15"/>
    <m/>
    <x v="0"/>
    <n v="1"/>
    <s v="API"/>
    <n v="2"/>
    <s v="MEDIA"/>
    <n v="1"/>
    <n v="1"/>
    <n v="1"/>
    <n v="1"/>
    <n v="2"/>
    <s v="MEDIANO"/>
    <d v="2025-02-25T00:00:00"/>
    <d v="2025-02-25T00:00:00"/>
    <d v="2025-03-03T00:00:00"/>
    <x v="28"/>
    <d v="2025-03-03T00:00:00"/>
    <s v="&lt;p&gt;solicitan ws a medida para inventario de baterias intestate donde muestre los vehiculos compatibles con cada bateria. Adicional al WS se debe realizar una pantalla para cargar el archivo excel que crea el area administrativa de interstate como manteminiento a los vehiculos compatibles.&lt;/p&gt;"/>
    <n v="8492"/>
    <n v="75449"/>
    <s v="Creacion de metodo en controlador"/>
    <x v="40"/>
    <n v="1.5"/>
    <d v="1899-12-30T01:30:00"/>
    <d v="2025-03-04T00:00:00"/>
  </r>
  <r>
    <n v="8492"/>
    <x v="51"/>
    <x v="87"/>
    <n v="247857"/>
    <s v="ARNALDO RENE COTTO STREMS"/>
    <n v="30"/>
    <x v="0"/>
    <n v="3241"/>
    <x v="15"/>
    <m/>
    <x v="0"/>
    <n v="1"/>
    <s v="API"/>
    <n v="2"/>
    <s v="MEDIA"/>
    <n v="1"/>
    <n v="1"/>
    <n v="1"/>
    <n v="1"/>
    <n v="2"/>
    <s v="MEDIANO"/>
    <d v="2025-02-25T00:00:00"/>
    <d v="2025-02-25T00:00:00"/>
    <d v="2025-03-03T00:00:00"/>
    <x v="28"/>
    <d v="2025-03-03T00:00:00"/>
    <s v="&lt;p&gt;solicitan ws a medida para inventario de baterias intestate donde muestre los vehiculos compatibles con cada bateria. Adicional al WS se debe realizar una pantalla para cargar el archivo excel que crea el area administrativa de interstate como manteminiento a los vehiculos compatibles.&lt;/p&gt;"/>
    <n v="8492"/>
    <n v="75448"/>
    <s v="Creacion de clase detalle de inventario"/>
    <x v="40"/>
    <n v="0.5"/>
    <d v="1899-12-30T00:30:00"/>
    <d v="2025-03-04T00:00:00"/>
  </r>
  <r>
    <n v="8492"/>
    <x v="51"/>
    <x v="87"/>
    <n v="247857"/>
    <s v="ARNALDO RENE COTTO STREMS"/>
    <n v="30"/>
    <x v="0"/>
    <n v="3241"/>
    <x v="15"/>
    <m/>
    <x v="0"/>
    <n v="1"/>
    <s v="API"/>
    <n v="2"/>
    <s v="MEDIA"/>
    <n v="1"/>
    <n v="1"/>
    <n v="1"/>
    <n v="1"/>
    <n v="2"/>
    <s v="MEDIANO"/>
    <d v="2025-02-25T00:00:00"/>
    <d v="2025-02-25T00:00:00"/>
    <d v="2025-03-03T00:00:00"/>
    <x v="28"/>
    <d v="2025-03-03T00:00:00"/>
    <s v="&lt;p&gt;solicitan ws a medida para inventario de baterias intestate donde muestre los vehiculos compatibles con cada bateria. Adicional al WS se debe realizar una pantalla para cargar el archivo excel que crea el area administrativa de interstate como manteminiento a los vehiculos compatibles.&lt;/p&gt;"/>
    <n v="8492"/>
    <n v="75447"/>
    <s v="Creacion de clase para inventario"/>
    <x v="40"/>
    <n v="0.5"/>
    <d v="1899-12-30T00:30:00"/>
    <d v="2025-03-04T00:00:00"/>
  </r>
  <r>
    <n v="8492"/>
    <x v="51"/>
    <x v="87"/>
    <n v="247857"/>
    <s v="ARNALDO RENE COTTO STREMS"/>
    <n v="30"/>
    <x v="0"/>
    <n v="3241"/>
    <x v="15"/>
    <m/>
    <x v="0"/>
    <n v="1"/>
    <s v="API"/>
    <n v="2"/>
    <s v="MEDIA"/>
    <n v="1"/>
    <n v="1"/>
    <n v="1"/>
    <n v="1"/>
    <n v="2"/>
    <s v="MEDIANO"/>
    <d v="2025-02-25T00:00:00"/>
    <d v="2025-02-25T00:00:00"/>
    <d v="2025-03-03T00:00:00"/>
    <x v="28"/>
    <d v="2025-03-03T00:00:00"/>
    <s v="&lt;p&gt;solicitan ws a medida para inventario de baterias intestate donde muestre los vehiculos compatibles con cada bateria. Adicional al WS se debe realizar una pantalla para cargar el archivo excel que crea el area administrativa de interstate como manteminiento a los vehiculos compatibles.&lt;/p&gt;"/>
    <n v="8492"/>
    <n v="75446"/>
    <s v="Creacion de sp para obtener informacion de sap y tabla creada de referencias"/>
    <x v="40"/>
    <n v="1.5"/>
    <d v="1899-12-30T01:30:00"/>
    <d v="2025-03-04T00:00:00"/>
  </r>
  <r>
    <n v="8492"/>
    <x v="51"/>
    <x v="87"/>
    <n v="247857"/>
    <s v="ARNALDO RENE COTTO STREMS"/>
    <n v="30"/>
    <x v="0"/>
    <n v="3241"/>
    <x v="15"/>
    <m/>
    <x v="0"/>
    <n v="1"/>
    <s v="API"/>
    <n v="2"/>
    <s v="MEDIA"/>
    <n v="1"/>
    <n v="1"/>
    <n v="1"/>
    <n v="1"/>
    <n v="2"/>
    <s v="MEDIANO"/>
    <d v="2025-02-25T00:00:00"/>
    <d v="2025-02-25T00:00:00"/>
    <d v="2025-03-03T00:00:00"/>
    <x v="28"/>
    <d v="2025-03-03T00:00:00"/>
    <s v="&lt;p&gt;solicitan ws a medida para inventario de baterias intestate donde muestre los vehiculos compatibles con cada bateria. Adicional al WS se debe realizar una pantalla para cargar el archivo excel que crea el area administrativa de interstate como manteminiento a los vehiculos compatibles.&lt;/p&gt;"/>
    <n v="8492"/>
    <n v="75443"/>
    <s v="programacion de metodo para llenar grid"/>
    <x v="7"/>
    <n v="0.5"/>
    <d v="1899-12-30T00:30:00"/>
    <d v="2025-03-04T00:00:00"/>
  </r>
  <r>
    <n v="8492"/>
    <x v="51"/>
    <x v="87"/>
    <n v="247857"/>
    <s v="ARNALDO RENE COTTO STREMS"/>
    <n v="30"/>
    <x v="0"/>
    <n v="3241"/>
    <x v="15"/>
    <m/>
    <x v="0"/>
    <n v="1"/>
    <s v="API"/>
    <n v="2"/>
    <s v="MEDIA"/>
    <n v="1"/>
    <n v="1"/>
    <n v="1"/>
    <n v="1"/>
    <n v="2"/>
    <s v="MEDIANO"/>
    <d v="2025-02-25T00:00:00"/>
    <d v="2025-02-25T00:00:00"/>
    <d v="2025-03-03T00:00:00"/>
    <x v="28"/>
    <d v="2025-03-03T00:00:00"/>
    <s v="&lt;p&gt;solicitan ws a medida para inventario de baterias intestate donde muestre los vehiculos compatibles con cada bateria. Adicional al WS se debe realizar una pantalla para cargar el archivo excel que crea el area administrativa de interstate como manteminiento a los vehiculos compatibles.&lt;/p&gt;"/>
    <n v="8492"/>
    <n v="75442"/>
    <s v="programacion de metodo para grabar data set este elimina antes de cargar"/>
    <x v="8"/>
    <n v="1.5"/>
    <d v="1899-12-30T01:30:00"/>
    <d v="2025-03-04T00:00:00"/>
  </r>
  <r>
    <n v="8492"/>
    <x v="51"/>
    <x v="87"/>
    <n v="247857"/>
    <s v="ARNALDO RENE COTTO STREMS"/>
    <n v="30"/>
    <x v="0"/>
    <n v="3241"/>
    <x v="15"/>
    <m/>
    <x v="0"/>
    <n v="1"/>
    <s v="API"/>
    <n v="2"/>
    <s v="MEDIA"/>
    <n v="1"/>
    <n v="1"/>
    <n v="1"/>
    <n v="1"/>
    <n v="2"/>
    <s v="MEDIANO"/>
    <d v="2025-02-25T00:00:00"/>
    <d v="2025-02-25T00:00:00"/>
    <d v="2025-03-03T00:00:00"/>
    <x v="28"/>
    <d v="2025-03-03T00:00:00"/>
    <s v="&lt;p&gt;solicitan ws a medida para inventario de baterias intestate donde muestre los vehiculos compatibles con cada bateria. Adicional al WS se debe realizar una pantalla para cargar el archivo excel que crea el area administrativa de interstate como manteminiento a los vehiculos compatibles.&lt;/p&gt;"/>
    <n v="8492"/>
    <n v="75441"/>
    <s v="Programacion de metodo para cargar excel"/>
    <x v="8"/>
    <n v="1"/>
    <d v="1899-12-30T01:00:00"/>
    <d v="2025-03-04T00:00:00"/>
  </r>
  <r>
    <n v="8492"/>
    <x v="51"/>
    <x v="87"/>
    <n v="247857"/>
    <s v="ARNALDO RENE COTTO STREMS"/>
    <n v="30"/>
    <x v="0"/>
    <n v="3241"/>
    <x v="15"/>
    <m/>
    <x v="0"/>
    <n v="1"/>
    <s v="API"/>
    <n v="2"/>
    <s v="MEDIA"/>
    <n v="1"/>
    <n v="1"/>
    <n v="1"/>
    <n v="1"/>
    <n v="2"/>
    <s v="MEDIANO"/>
    <d v="2025-02-25T00:00:00"/>
    <d v="2025-02-25T00:00:00"/>
    <d v="2025-03-03T00:00:00"/>
    <x v="28"/>
    <d v="2025-03-03T00:00:00"/>
    <s v="&lt;p&gt;solicitan ws a medida para inventario de baterias intestate donde muestre los vehiculos compatibles con cada bateria. Adicional al WS se debe realizar una pantalla para cargar el archivo excel que crea el area administrativa de interstate como manteminiento a los vehiculos compatibles.&lt;/p&gt;"/>
    <n v="8492"/>
    <n v="75440"/>
    <s v="Creacion de diseño de pagina de stod"/>
    <x v="8"/>
    <n v="2"/>
    <d v="1899-12-30T02:00:00"/>
    <d v="2025-03-04T00:00:00"/>
  </r>
  <r>
    <n v="8492"/>
    <x v="51"/>
    <x v="87"/>
    <n v="247857"/>
    <s v="ARNALDO RENE COTTO STREMS"/>
    <n v="30"/>
    <x v="0"/>
    <n v="3241"/>
    <x v="15"/>
    <m/>
    <x v="0"/>
    <n v="1"/>
    <s v="API"/>
    <n v="2"/>
    <s v="MEDIA"/>
    <n v="1"/>
    <n v="1"/>
    <n v="1"/>
    <n v="1"/>
    <n v="2"/>
    <s v="MEDIANO"/>
    <d v="2025-02-25T00:00:00"/>
    <d v="2025-02-25T00:00:00"/>
    <d v="2025-03-03T00:00:00"/>
    <x v="28"/>
    <d v="2025-03-03T00:00:00"/>
    <s v="&lt;p&gt;solicitan ws a medida para inventario de baterias intestate donde muestre los vehiculos compatibles con cada bateria. Adicional al WS se debe realizar una pantalla para cargar el archivo excel que crea el area administrativa de interstate como manteminiento a los vehiculos compatibles.&lt;/p&gt;"/>
    <n v="8492"/>
    <n v="75439"/>
    <s v="Creacion de archivo excel para cargar a pantalla"/>
    <x v="8"/>
    <n v="0.5"/>
    <d v="1899-12-30T00:30:00"/>
    <d v="2025-03-04T00:00:00"/>
  </r>
  <r>
    <n v="8492"/>
    <x v="51"/>
    <x v="87"/>
    <n v="247857"/>
    <s v="ARNALDO RENE COTTO STREMS"/>
    <n v="30"/>
    <x v="0"/>
    <n v="3241"/>
    <x v="15"/>
    <m/>
    <x v="0"/>
    <n v="1"/>
    <s v="API"/>
    <n v="2"/>
    <s v="MEDIA"/>
    <n v="1"/>
    <n v="1"/>
    <n v="1"/>
    <n v="1"/>
    <n v="2"/>
    <s v="MEDIANO"/>
    <d v="2025-02-25T00:00:00"/>
    <d v="2025-02-25T00:00:00"/>
    <d v="2025-03-03T00:00:00"/>
    <x v="28"/>
    <d v="2025-03-03T00:00:00"/>
    <s v="&lt;p&gt;solicitan ws a medida para inventario de baterias intestate donde muestre los vehiculos compatibles con cada bateria. Adicional al WS se debe realizar una pantalla para cargar el archivo excel que crea el area administrativa de interstate como manteminiento a los vehiculos compatibles.&lt;/p&gt;"/>
    <n v="8492"/>
    <n v="75438"/>
    <s v="Creacion de sp INTE_SelectVehiculos para validar la carga de informacion"/>
    <x v="9"/>
    <n v="0.5"/>
    <d v="1899-12-30T00:30:00"/>
    <d v="2025-03-04T00:00:00"/>
  </r>
  <r>
    <n v="8492"/>
    <x v="51"/>
    <x v="87"/>
    <n v="247857"/>
    <s v="ARNALDO RENE COTTO STREMS"/>
    <n v="30"/>
    <x v="0"/>
    <n v="3241"/>
    <x v="15"/>
    <m/>
    <x v="0"/>
    <n v="1"/>
    <s v="API"/>
    <n v="2"/>
    <s v="MEDIA"/>
    <n v="1"/>
    <n v="1"/>
    <n v="1"/>
    <n v="1"/>
    <n v="2"/>
    <s v="MEDIANO"/>
    <d v="2025-02-25T00:00:00"/>
    <d v="2025-02-25T00:00:00"/>
    <d v="2025-03-03T00:00:00"/>
    <x v="28"/>
    <d v="2025-03-03T00:00:00"/>
    <s v="&lt;p&gt;solicitan ws a medida para inventario de baterias intestate donde muestre los vehiculos compatibles con cada bateria. Adicional al WS se debe realizar una pantalla para cargar el archivo excel que crea el area administrativa de interstate como manteminiento a los vehiculos compatibles.&lt;/p&gt;"/>
    <n v="8492"/>
    <n v="75437"/>
    <s v="Creacion de sp INTE_InsertLinea para insertar la informacion del data set que se guarda en la tabla de usuario a la tabla princial"/>
    <x v="9"/>
    <n v="1"/>
    <d v="1899-12-30T01:00:00"/>
    <d v="2025-03-04T00:00:00"/>
  </r>
  <r>
    <n v="8492"/>
    <x v="51"/>
    <x v="87"/>
    <n v="247857"/>
    <s v="ARNALDO RENE COTTO STREMS"/>
    <n v="30"/>
    <x v="0"/>
    <n v="3241"/>
    <x v="15"/>
    <m/>
    <x v="0"/>
    <n v="1"/>
    <s v="API"/>
    <n v="2"/>
    <s v="MEDIA"/>
    <n v="1"/>
    <n v="1"/>
    <n v="1"/>
    <n v="1"/>
    <n v="2"/>
    <s v="MEDIANO"/>
    <d v="2025-02-25T00:00:00"/>
    <d v="2025-02-25T00:00:00"/>
    <d v="2025-03-03T00:00:00"/>
    <x v="28"/>
    <d v="2025-03-03T00:00:00"/>
    <s v="&lt;p&gt;solicitan ws a medida para inventario de baterias intestate donde muestre los vehiculos compatibles con cada bateria. Adicional al WS se debe realizar una pantalla para cargar el archivo excel que crea el area administrativa de interstate como manteminiento a los vehiculos compatibles.&lt;/p&gt;"/>
    <n v="8492"/>
    <n v="75436"/>
    <s v="Creacion de sp INTE_EliminarData para vaciar la tabla antes de realizar la carga"/>
    <x v="9"/>
    <n v="0.5"/>
    <d v="1899-12-30T00:30:00"/>
    <d v="2025-03-04T00:00:00"/>
  </r>
  <r>
    <n v="8492"/>
    <x v="51"/>
    <x v="87"/>
    <n v="247857"/>
    <s v="ARNALDO RENE COTTO STREMS"/>
    <n v="30"/>
    <x v="0"/>
    <n v="3241"/>
    <x v="15"/>
    <m/>
    <x v="0"/>
    <n v="1"/>
    <s v="API"/>
    <n v="2"/>
    <s v="MEDIA"/>
    <n v="1"/>
    <n v="1"/>
    <n v="1"/>
    <n v="1"/>
    <n v="2"/>
    <s v="MEDIANO"/>
    <d v="2025-02-25T00:00:00"/>
    <d v="2025-02-25T00:00:00"/>
    <d v="2025-03-03T00:00:00"/>
    <x v="28"/>
    <d v="2025-03-03T00:00:00"/>
    <s v="&lt;p&gt;solicitan ws a medida para inventario de baterias intestate donde muestre los vehiculos compatibles con cada bateria. Adicional al WS se debe realizar una pantalla para cargar el archivo excel que crea el area administrativa de interstate como manteminiento a los vehiculos compatibles.&lt;/p&gt;"/>
    <n v="8492"/>
    <n v="75434"/>
    <s v="Creacion de tipo de tablas definidas por el usuario para cargar el data set como un objeto directo a base de datos"/>
    <x v="9"/>
    <n v="1"/>
    <d v="1899-12-30T01:00:00"/>
    <d v="2025-03-04T00:00:00"/>
  </r>
  <r>
    <n v="8509"/>
    <x v="51"/>
    <x v="88"/>
    <n v="247374"/>
    <s v="LUIS PEDRO LOPEZ RODAS"/>
    <n v="29"/>
    <x v="1"/>
    <n v="3241"/>
    <x v="15"/>
    <s v="x"/>
    <x v="0"/>
    <n v="1"/>
    <s v="API"/>
    <n v="2"/>
    <s v="MEDIA"/>
    <n v="2"/>
    <n v="2"/>
    <n v="2"/>
    <n v="2"/>
    <n v="2"/>
    <s v="MEDIANO"/>
    <d v="2025-03-04T00:00:00"/>
    <d v="2025-03-06T00:00:00"/>
    <d v="2025-03-06T00:00:00"/>
    <x v="29"/>
    <d v="2025-03-06T00:00:00"/>
    <s v="&lt;p&gt;este ws nos lo solicitan para validar en donde se encuentra el vehiculo si se encuentra en el barco, almacenadora y bodega&lt;/p&gt;&lt;p&gt; **  **  **  **  ** &lt;/p&gt;"/>
    <m/>
    <m/>
    <m/>
    <x v="5"/>
    <m/>
    <m/>
    <m/>
  </r>
  <r>
    <n v="8508"/>
    <x v="51"/>
    <x v="89"/>
    <n v="247828"/>
    <s v="DOUGLAS ALEJANDRO MALDONADO DUMAS"/>
    <n v="29"/>
    <x v="1"/>
    <n v="3241"/>
    <x v="15"/>
    <s v="x"/>
    <x v="0"/>
    <n v="1"/>
    <s v="API"/>
    <n v="2"/>
    <s v="MEDIA"/>
    <n v="2"/>
    <n v="2"/>
    <n v="2"/>
    <n v="2"/>
    <n v="2"/>
    <s v="MEDIANO"/>
    <d v="2025-03-04T00:00:00"/>
    <d v="2025-03-06T00:00:00"/>
    <d v="2025-03-06T00:00:00"/>
    <x v="29"/>
    <d v="2025-03-06T00:00:00"/>
    <s v="&lt;p&gt;se estara realizando ws para que puedan visualizar a travez de la pagina de perinola en que etapa esta el vehiculo por medio de chasis&amp;nbsp;&lt;/p&gt;"/>
    <m/>
    <m/>
    <m/>
    <x v="5"/>
    <m/>
    <m/>
    <m/>
  </r>
  <r>
    <n v="8510"/>
    <x v="51"/>
    <x v="90"/>
    <n v="247793"/>
    <s v="ANGEL GABRIEL PINEDA RAMIREZ"/>
    <n v="28"/>
    <x v="2"/>
    <n v="3241"/>
    <x v="15"/>
    <s v="x"/>
    <x v="0"/>
    <n v="1"/>
    <s v="API"/>
    <n v="2"/>
    <s v="MEDIA"/>
    <n v="2"/>
    <n v="2"/>
    <n v="2"/>
    <n v="2"/>
    <n v="2"/>
    <s v="MEDIANO"/>
    <d v="2025-03-04T00:00:00"/>
    <d v="2025-03-06T00:00:00"/>
    <d v="2025-03-06T00:00:00"/>
    <x v="29"/>
    <d v="2025-03-06T00:00:00"/>
    <s v="&lt;p&gt;Se debe dividir el servicio de inventario de home office en detalles del articulo y otro que por medio de los detalles del articulo muestre inventario en bodegas.&lt;/p&gt;"/>
    <m/>
    <m/>
    <m/>
    <x v="5"/>
    <m/>
    <m/>
    <m/>
  </r>
  <r>
    <n v="8507"/>
    <x v="51"/>
    <x v="91"/>
    <n v="247857"/>
    <s v="ARNALDO RENE COTTO STREMS"/>
    <n v="27"/>
    <x v="5"/>
    <n v="3241"/>
    <x v="15"/>
    <s v="x"/>
    <x v="0"/>
    <n v="1"/>
    <s v="API"/>
    <n v="2"/>
    <s v="MEDIA"/>
    <n v="2"/>
    <n v="2"/>
    <n v="2"/>
    <n v="2"/>
    <n v="2"/>
    <s v="MEDIANO"/>
    <d v="2025-03-04T00:00:00"/>
    <d v="2025-03-06T00:00:00"/>
    <d v="2025-03-07T00:00:00"/>
    <x v="17"/>
    <m/>
    <s v="&lt;p&gt;Creacion de servicio para crear oferta de venta en sap, se debe validar que el wsonlinestore cree las ofertas de venta o bien crear el flujo para que realice el documento&lt;/p&gt;"/>
    <m/>
    <m/>
    <m/>
    <x v="5"/>
    <m/>
    <m/>
    <m/>
  </r>
  <r>
    <n v="8544"/>
    <x v="51"/>
    <x v="92"/>
    <n v="246912"/>
    <s v="CARMEN LUCIA BERDUO ARAGON"/>
    <n v="30"/>
    <x v="0"/>
    <n v="3233"/>
    <x v="0"/>
    <s v="x"/>
    <x v="0"/>
    <n v="2"/>
    <s v="PROCESO"/>
    <n v="2"/>
    <s v="MEDIA"/>
    <n v="2"/>
    <n v="2"/>
    <n v="2"/>
    <n v="2"/>
    <n v="2"/>
    <s v="MEDIANO"/>
    <d v="2025-03-05T00:00:00"/>
    <d v="2025-03-05T00:00:00"/>
    <d v="2025-03-11T00:00:00"/>
    <x v="30"/>
    <m/>
    <s v="&lt;p&gt;cambios a cubo EERR Servicios Compartidos&lt;/p&gt;"/>
    <n v="8544"/>
    <n v="76842"/>
    <s v="cambios a cubo EERR para Serv. Compartidos"/>
    <x v="28"/>
    <n v="3"/>
    <d v="1899-12-30T03:00:00"/>
    <d v="2025-03-10T00:00:00"/>
  </r>
  <r>
    <n v="8511"/>
    <x v="51"/>
    <x v="93"/>
    <n v="247828"/>
    <s v="DOUGLAS ALEJANDRO MALDONADO DUMAS"/>
    <n v="22"/>
    <x v="4"/>
    <n v="3233"/>
    <x v="0"/>
    <s v="x"/>
    <x v="0"/>
    <n v="2"/>
    <s v="PROCESO"/>
    <n v="2"/>
    <s v="MEDIA"/>
    <n v="1"/>
    <n v="1"/>
    <n v="1"/>
    <n v="1"/>
    <n v="2"/>
    <s v="MEDIANO"/>
    <d v="2025-03-03T00:00:00"/>
    <d v="2025-03-04T00:00:00"/>
    <d v="2025-03-07T00:00:00"/>
    <x v="17"/>
    <m/>
    <m/>
    <n v="8511"/>
    <n v="75700"/>
    <s v="se hizo cubo altas y bajas"/>
    <x v="6"/>
    <n v="3"/>
    <d v="1899-12-30T03:00:00"/>
    <d v="2025-03-05T00:00:00"/>
  </r>
  <r>
    <n v="8511"/>
    <x v="51"/>
    <x v="93"/>
    <n v="247828"/>
    <s v="DOUGLAS ALEJANDRO MALDONADO DUMAS"/>
    <n v="22"/>
    <x v="4"/>
    <n v="3233"/>
    <x v="0"/>
    <m/>
    <x v="0"/>
    <n v="2"/>
    <s v="PROCESO"/>
    <n v="2"/>
    <s v="MEDIA"/>
    <n v="1"/>
    <n v="1"/>
    <n v="1"/>
    <n v="1"/>
    <n v="2"/>
    <s v="MEDIANO"/>
    <d v="2025-03-03T00:00:00"/>
    <d v="2025-03-04T00:00:00"/>
    <d v="2025-03-07T00:00:00"/>
    <x v="17"/>
    <m/>
    <m/>
    <n v="8511"/>
    <n v="75511"/>
    <s v="hacer cubo"/>
    <x v="36"/>
    <n v="1"/>
    <d v="1899-12-30T01:00:00"/>
    <d v="2025-03-05T00:00:00"/>
  </r>
  <r>
    <n v="8545"/>
    <x v="51"/>
    <x v="94"/>
    <n v="247828"/>
    <s v="DOUGLAS ALEJANDRO MALDONADO DUMAS"/>
    <n v="30"/>
    <x v="0"/>
    <n v="3233"/>
    <x v="0"/>
    <s v="x"/>
    <x v="0"/>
    <n v="2"/>
    <s v="PROCESO"/>
    <n v="1"/>
    <s v="BAJA"/>
    <n v="1"/>
    <n v="1"/>
    <n v="1"/>
    <n v="1"/>
    <n v="1"/>
    <s v="PEQUEÑO"/>
    <d v="2025-03-06T00:00:00"/>
    <d v="2025-03-10T00:00:00"/>
    <d v="2025-03-11T00:00:00"/>
    <x v="30"/>
    <m/>
    <s v="&lt;p&gt;modificar cubo llamadas, agregar dos columnas y actualizar informacion&lt;/p&gt;"/>
    <n v="8545"/>
    <n v="76870"/>
    <s v="crear dos columnas y actualizar datos"/>
    <x v="28"/>
    <n v="2"/>
    <d v="1899-12-30T02:00:00"/>
    <d v="2025-03-10T00:00:00"/>
  </r>
  <r>
    <n v="8248"/>
    <x v="52"/>
    <x v="95"/>
    <n v="247857"/>
    <s v="ARNALDO RENE COTTO STREMS"/>
    <n v="21"/>
    <x v="3"/>
    <n v="3198"/>
    <x v="1"/>
    <s v="x"/>
    <x v="0"/>
    <m/>
    <m/>
    <m/>
    <m/>
    <n v="1"/>
    <n v="1"/>
    <n v="2"/>
    <n v="2"/>
    <m/>
    <m/>
    <d v="2025-01-01T00:00:00"/>
    <d v="1899-12-31T00:00:00"/>
    <d v="2025-01-31T00:00:00"/>
    <x v="3"/>
    <m/>
    <s v="&lt;p&gt; ** INDICADORES Consulta de ventas, KPI, clientes para utliizar en el celular **  ** &lt;/p&gt;"/>
    <n v="8248"/>
    <n v="66362"/>
    <s v="/"/>
    <x v="20"/>
    <n v="5"/>
    <d v="1899-12-30T05:00:00"/>
    <d v="2025-01-30T00:00:00"/>
  </r>
  <r>
    <n v="8248"/>
    <x v="52"/>
    <x v="95"/>
    <n v="247857"/>
    <s v="ARNALDO RENE COTTO STREMS"/>
    <n v="21"/>
    <x v="3"/>
    <n v="3198"/>
    <x v="1"/>
    <m/>
    <x v="0"/>
    <m/>
    <m/>
    <m/>
    <m/>
    <n v="1"/>
    <n v="1"/>
    <n v="2"/>
    <n v="2"/>
    <m/>
    <m/>
    <d v="2025-01-01T00:00:00"/>
    <d v="1899-12-31T00:00:00"/>
    <d v="2025-01-31T00:00:00"/>
    <x v="3"/>
    <m/>
    <s v="&lt;p&gt; ** INDICADORES Consulta de ventas, KPI, clientes para utliizar en el celular **  ** &lt;/p&gt;"/>
    <n v="8248"/>
    <n v="66361"/>
    <s v="/"/>
    <x v="21"/>
    <n v="9"/>
    <d v="1899-12-30T09:00:00"/>
    <d v="2025-01-30T00:00:00"/>
  </r>
  <r>
    <n v="8404"/>
    <x v="53"/>
    <x v="96"/>
    <n v="289006"/>
    <s v="SULY DANIELA CHUN SANTOS de RIVERA"/>
    <n v="21"/>
    <x v="3"/>
    <n v="195"/>
    <x v="4"/>
    <s v="x"/>
    <x v="1"/>
    <m/>
    <m/>
    <m/>
    <m/>
    <n v="1"/>
    <n v="1"/>
    <n v="1"/>
    <n v="1"/>
    <m/>
    <m/>
    <d v="2025-01-01T00:00:00"/>
    <d v="1899-12-31T00:00:00"/>
    <d v="2025-01-31T00:00:00"/>
    <x v="5"/>
    <m/>
    <s v="&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
    <n v="8404"/>
    <n v="72796"/>
    <s v="/"/>
    <x v="0"/>
    <n v="0"/>
    <d v="1899-12-30T00:00:00"/>
    <d v="2025-02-21T00:00:00"/>
  </r>
  <r>
    <n v="8404"/>
    <x v="53"/>
    <x v="96"/>
    <n v="289006"/>
    <s v="SULY DANIELA CHUN SANTOS de RIVERA"/>
    <n v="21"/>
    <x v="3"/>
    <n v="195"/>
    <x v="4"/>
    <m/>
    <x v="1"/>
    <m/>
    <m/>
    <m/>
    <m/>
    <n v="1"/>
    <n v="1"/>
    <n v="1"/>
    <n v="1"/>
    <m/>
    <m/>
    <d v="2025-01-01T00:00:00"/>
    <d v="1899-12-31T00:00:00"/>
    <d v="2025-01-31T00:00:00"/>
    <x v="5"/>
    <m/>
    <s v="&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
    <n v="8404"/>
    <n v="72795"/>
    <s v="Prueba de cambios en cajas"/>
    <x v="1"/>
    <n v="0.25"/>
    <d v="1899-12-30T00:15:00"/>
    <d v="2025-02-21T00:00:00"/>
  </r>
  <r>
    <n v="8404"/>
    <x v="53"/>
    <x v="96"/>
    <n v="289006"/>
    <s v="SULY DANIELA CHUN SANTOS de RIVERA"/>
    <n v="21"/>
    <x v="3"/>
    <n v="195"/>
    <x v="4"/>
    <m/>
    <x v="1"/>
    <m/>
    <m/>
    <m/>
    <m/>
    <n v="1"/>
    <n v="1"/>
    <n v="1"/>
    <n v="1"/>
    <m/>
    <m/>
    <d v="2025-01-01T00:00:00"/>
    <d v="1899-12-31T00:00:00"/>
    <d v="2025-01-31T00:00:00"/>
    <x v="5"/>
    <m/>
    <s v="&lt;p&gt;REPORTE ** Se debe integrar al reporte de corte de caja generado en SAP los datos del resumen que los cajeros manejan en un archivo Excel. Además, se deben agregar parámetros que permitan almacenar en la base de datos la información de las boletas de depósito realizadas por los cajeros al final del día, junto con los comentarios adjuntos.&lt;/p&gt;"/>
    <n v="8404"/>
    <n v="72794"/>
    <s v="Ajuste al crystal report del reporte derivado de mal calculo en las facturas anuladas de otros días"/>
    <x v="1"/>
    <n v="4"/>
    <d v="1899-12-30T04:00:00"/>
    <d v="2025-02-21T00:00:00"/>
  </r>
  <r>
    <n v="8261"/>
    <x v="54"/>
    <x v="97"/>
    <n v="247795"/>
    <s v="SANDRA JUDITH LOARCA HERNANDEZ de PEREZ"/>
    <n v="21"/>
    <x v="3"/>
    <n v="3202"/>
    <x v="3"/>
    <s v="x"/>
    <x v="0"/>
    <m/>
    <m/>
    <m/>
    <m/>
    <n v="1"/>
    <n v="1"/>
    <n v="3"/>
    <n v="3"/>
    <m/>
    <m/>
    <d v="2025-01-01T00:00:00"/>
    <d v="1899-12-31T00:00:00"/>
    <d v="2025-02-14T00:00:00"/>
    <x v="8"/>
    <d v="2025-02-04T00:00:00"/>
    <m/>
    <m/>
    <m/>
    <m/>
    <x v="5"/>
    <m/>
    <m/>
    <m/>
  </r>
  <r>
    <n v="8316"/>
    <x v="55"/>
    <x v="98"/>
    <m/>
    <m/>
    <n v="21"/>
    <x v="3"/>
    <n v="2767"/>
    <x v="7"/>
    <s v="x"/>
    <x v="1"/>
    <m/>
    <m/>
    <m/>
    <m/>
    <n v="1"/>
    <n v="1"/>
    <n v="1"/>
    <n v="1"/>
    <m/>
    <m/>
    <d v="2025-01-01T00:00:00"/>
    <d v="1899-12-31T00:00:00"/>
    <d v="2025-01-31T00:00:00"/>
    <x v="11"/>
    <m/>
    <s v="&lt;p&gt; ** SEGUIMIENTO Soporte al Sistema de Cobranza en ODOO. Edward Garcia fue el solicitante **  ** &lt;/p&gt;"/>
    <n v="8316"/>
    <n v="74815"/>
    <s v="Creacion de codigo de empleado para los recibos de pago"/>
    <x v="7"/>
    <n v="2"/>
    <d v="1899-12-30T02:00:00"/>
    <d v="2025-03-01T00:00:00"/>
  </r>
  <r>
    <n v="8316"/>
    <x v="55"/>
    <x v="98"/>
    <m/>
    <m/>
    <n v="21"/>
    <x v="3"/>
    <n v="2767"/>
    <x v="7"/>
    <m/>
    <x v="1"/>
    <m/>
    <m/>
    <m/>
    <m/>
    <n v="1"/>
    <n v="1"/>
    <n v="1"/>
    <n v="1"/>
    <m/>
    <m/>
    <d v="2025-01-01T00:00:00"/>
    <d v="1899-12-31T00:00:00"/>
    <d v="2025-01-31T00:00:00"/>
    <x v="11"/>
    <m/>
    <s v="&lt;p&gt; ** SEGUIMIENTO Soporte al Sistema de Cobranza en ODOO. Edward Garcia fue el solicitante **  ** &lt;/p&gt;"/>
    <n v="8316"/>
    <n v="74390"/>
    <s v="Reducir el tiempo de entrega del correo de los recibos de pagos"/>
    <x v="8"/>
    <n v="1"/>
    <d v="1899-12-30T01:00:00"/>
    <d v="2025-02-28T00:00:00"/>
  </r>
  <r>
    <n v="8316"/>
    <x v="55"/>
    <x v="98"/>
    <m/>
    <m/>
    <n v="21"/>
    <x v="3"/>
    <n v="2767"/>
    <x v="7"/>
    <m/>
    <x v="1"/>
    <m/>
    <m/>
    <m/>
    <m/>
    <n v="1"/>
    <n v="1"/>
    <n v="1"/>
    <n v="1"/>
    <m/>
    <m/>
    <d v="2025-01-01T00:00:00"/>
    <d v="1899-12-31T00:00:00"/>
    <d v="2025-01-31T00:00:00"/>
    <x v="11"/>
    <m/>
    <s v="&lt;p&gt; ** SEGUIMIENTO Soporte al Sistema de Cobranza en ODOO. Edward Garcia fue el solicitante **  ** &lt;/p&gt;"/>
    <n v="8316"/>
    <n v="74389"/>
    <s v="Ajuste al tipo de cambio"/>
    <x v="8"/>
    <n v="1"/>
    <d v="1899-12-30T01:00:00"/>
    <d v="2025-02-28T00:00:00"/>
  </r>
  <r>
    <n v="8316"/>
    <x v="55"/>
    <x v="98"/>
    <m/>
    <m/>
    <n v="21"/>
    <x v="3"/>
    <n v="2767"/>
    <x v="7"/>
    <m/>
    <x v="1"/>
    <m/>
    <m/>
    <m/>
    <m/>
    <n v="1"/>
    <n v="1"/>
    <n v="1"/>
    <n v="1"/>
    <m/>
    <m/>
    <d v="2025-01-01T00:00:00"/>
    <d v="1899-12-31T00:00:00"/>
    <d v="2025-01-31T00:00:00"/>
    <x v="11"/>
    <m/>
    <s v="&lt;p&gt; ** SEGUIMIENTO Soporte al Sistema de Cobranza en ODOO. Edward Garcia fue el solicitante **  ** &lt;/p&gt;"/>
    <n v="8316"/>
    <n v="73608"/>
    <s v="Soporte  en fallas del sistema"/>
    <x v="10"/>
    <n v="6"/>
    <d v="1899-12-30T06:00:00"/>
    <d v="2025-02-26T00:00:00"/>
  </r>
  <r>
    <n v="8316"/>
    <x v="55"/>
    <x v="98"/>
    <m/>
    <m/>
    <n v="21"/>
    <x v="3"/>
    <n v="2767"/>
    <x v="7"/>
    <m/>
    <x v="1"/>
    <m/>
    <m/>
    <m/>
    <m/>
    <n v="1"/>
    <n v="1"/>
    <n v="1"/>
    <n v="1"/>
    <m/>
    <m/>
    <d v="2025-01-01T00:00:00"/>
    <d v="1899-12-31T00:00:00"/>
    <d v="2025-01-31T00:00:00"/>
    <x v="11"/>
    <m/>
    <s v="&lt;p&gt; ** SEGUIMIENTO Soporte al Sistema de Cobranza en ODOO. Edward Garcia fue el solicitante **  ** &lt;/p&gt;"/>
    <n v="8316"/>
    <n v="73324"/>
    <s v="Agregar el botón de seguimiento"/>
    <x v="12"/>
    <n v="1"/>
    <d v="1899-12-30T01:00:00"/>
    <d v="2025-02-25T00:00:00"/>
  </r>
  <r>
    <n v="8316"/>
    <x v="55"/>
    <x v="98"/>
    <m/>
    <m/>
    <n v="21"/>
    <x v="3"/>
    <n v="2767"/>
    <x v="7"/>
    <m/>
    <x v="1"/>
    <m/>
    <m/>
    <m/>
    <m/>
    <n v="1"/>
    <n v="1"/>
    <n v="1"/>
    <n v="1"/>
    <m/>
    <m/>
    <d v="2025-01-01T00:00:00"/>
    <d v="1899-12-31T00:00:00"/>
    <d v="2025-01-31T00:00:00"/>
    <x v="11"/>
    <m/>
    <s v="&lt;p&gt; ** SEGUIMIENTO Soporte al Sistema de Cobranza en ODOO. Edward Garcia fue el solicitante **  ** &lt;/p&gt;"/>
    <n v="8316"/>
    <n v="73323"/>
    <s v="Problemas con la vista de las promesas"/>
    <x v="12"/>
    <n v="1"/>
    <d v="1899-12-30T01:00:00"/>
    <d v="2025-02-25T00:00:00"/>
  </r>
  <r>
    <n v="8316"/>
    <x v="55"/>
    <x v="98"/>
    <m/>
    <m/>
    <n v="21"/>
    <x v="3"/>
    <n v="2767"/>
    <x v="7"/>
    <m/>
    <x v="1"/>
    <m/>
    <m/>
    <m/>
    <m/>
    <n v="1"/>
    <n v="1"/>
    <n v="1"/>
    <n v="1"/>
    <m/>
    <m/>
    <d v="2025-01-01T00:00:00"/>
    <d v="1899-12-31T00:00:00"/>
    <d v="2025-01-31T00:00:00"/>
    <x v="11"/>
    <m/>
    <s v="&lt;p&gt; ** SEGUIMIENTO Soporte al Sistema de Cobranza en ODOO. Edward Garcia fue el solicitante **  ** &lt;/p&gt;"/>
    <n v="8316"/>
    <n v="73119"/>
    <s v="Error de visualizacion de los botones en el movil (generar recibo de pago, registrar visita y registrar contraseña de pago)"/>
    <x v="12"/>
    <n v="0.33333333333333298"/>
    <d v="1899-12-30T00:20:00"/>
    <d v="2025-02-24T00:00:00"/>
  </r>
  <r>
    <n v="8316"/>
    <x v="55"/>
    <x v="98"/>
    <m/>
    <m/>
    <n v="21"/>
    <x v="3"/>
    <n v="2767"/>
    <x v="7"/>
    <m/>
    <x v="1"/>
    <m/>
    <m/>
    <m/>
    <m/>
    <n v="1"/>
    <n v="1"/>
    <n v="1"/>
    <n v="1"/>
    <m/>
    <m/>
    <d v="2025-01-01T00:00:00"/>
    <d v="1899-12-31T00:00:00"/>
    <d v="2025-01-31T00:00:00"/>
    <x v="11"/>
    <m/>
    <s v="&lt;p&gt; ** SEGUIMIENTO Soporte al Sistema de Cobranza en ODOO. Edward Garcia fue el solicitante **  ** &lt;/p&gt;"/>
    <n v="8316"/>
    <n v="73118"/>
    <s v="Reunion de avances Proyecto Creditos y Cobros Fase 2"/>
    <x v="12"/>
    <n v="0.66666666666666596"/>
    <d v="1899-12-30T00:40:00"/>
    <d v="2025-02-24T00:00:00"/>
  </r>
  <r>
    <n v="8316"/>
    <x v="55"/>
    <x v="98"/>
    <m/>
    <m/>
    <n v="21"/>
    <x v="3"/>
    <n v="2767"/>
    <x v="7"/>
    <m/>
    <x v="1"/>
    <m/>
    <m/>
    <m/>
    <m/>
    <n v="1"/>
    <n v="1"/>
    <n v="1"/>
    <n v="1"/>
    <m/>
    <m/>
    <d v="2025-01-01T00:00:00"/>
    <d v="1899-12-31T00:00:00"/>
    <d v="2025-01-31T00:00:00"/>
    <x v="11"/>
    <m/>
    <s v="&lt;p&gt; ** SEGUIMIENTO Soporte al Sistema de Cobranza en ODOO. Edward Garcia fue el solicitante **  ** &lt;/p&gt;"/>
    <n v="8316"/>
    <n v="73117"/>
    <s v="Duplicidad de las promesas a la hora de asignar una gestion a un cobrador"/>
    <x v="12"/>
    <n v="2"/>
    <d v="1899-12-30T02:00:00"/>
    <d v="2025-02-24T00:00:00"/>
  </r>
  <r>
    <n v="8316"/>
    <x v="55"/>
    <x v="98"/>
    <m/>
    <m/>
    <n v="21"/>
    <x v="3"/>
    <n v="2767"/>
    <x v="7"/>
    <m/>
    <x v="1"/>
    <m/>
    <m/>
    <m/>
    <m/>
    <n v="1"/>
    <n v="1"/>
    <n v="1"/>
    <n v="1"/>
    <m/>
    <m/>
    <d v="2025-01-01T00:00:00"/>
    <d v="1899-12-31T00:00:00"/>
    <d v="2025-01-31T00:00:00"/>
    <x v="11"/>
    <m/>
    <s v="&lt;p&gt; ** SEGUIMIENTO Soporte al Sistema de Cobranza en ODOO. Edward Garcia fue el solicitante **  ** &lt;/p&gt;"/>
    <n v="8316"/>
    <n v="73116"/>
    <s v="Problemas con la vista de las promesas"/>
    <x v="12"/>
    <n v="2"/>
    <d v="1899-12-30T02:00:00"/>
    <d v="2025-02-24T00:00:00"/>
  </r>
  <r>
    <n v="8316"/>
    <x v="55"/>
    <x v="98"/>
    <m/>
    <m/>
    <n v="21"/>
    <x v="3"/>
    <n v="2767"/>
    <x v="7"/>
    <m/>
    <x v="1"/>
    <m/>
    <m/>
    <m/>
    <m/>
    <n v="1"/>
    <n v="1"/>
    <n v="1"/>
    <n v="1"/>
    <m/>
    <m/>
    <d v="2025-01-01T00:00:00"/>
    <d v="1899-12-31T00:00:00"/>
    <d v="2025-01-31T00:00:00"/>
    <x v="11"/>
    <m/>
    <s v="&lt;p&gt; ** SEGUIMIENTO Soporte al Sistema de Cobranza en ODOO. Edward Garcia fue el solicitante **  ** &lt;/p&gt;"/>
    <n v="8316"/>
    <n v="72908"/>
    <s v="Arreglo de las vistas en odoo"/>
    <x v="23"/>
    <n v="2"/>
    <d v="1899-12-30T02:00:00"/>
    <d v="2025-02-22T00:00:00"/>
  </r>
  <r>
    <n v="8316"/>
    <x v="55"/>
    <x v="98"/>
    <m/>
    <m/>
    <n v="21"/>
    <x v="3"/>
    <n v="2767"/>
    <x v="7"/>
    <m/>
    <x v="1"/>
    <m/>
    <m/>
    <m/>
    <m/>
    <n v="1"/>
    <n v="1"/>
    <n v="1"/>
    <n v="1"/>
    <m/>
    <m/>
    <d v="2025-01-01T00:00:00"/>
    <d v="1899-12-31T00:00:00"/>
    <d v="2025-01-31T00:00:00"/>
    <x v="11"/>
    <m/>
    <s v="&lt;p&gt; ** SEGUIMIENTO Soporte al Sistema de Cobranza en ODOO. Edward Garcia fue el solicitante **  ** &lt;/p&gt;"/>
    <n v="8316"/>
    <n v="72285"/>
    <s v="Caso especial con facturas de Vesa"/>
    <x v="0"/>
    <n v="0.5"/>
    <d v="1899-12-30T00:30:00"/>
    <d v="2025-02-21T00:00:00"/>
  </r>
  <r>
    <n v="8316"/>
    <x v="55"/>
    <x v="98"/>
    <m/>
    <m/>
    <n v="21"/>
    <x v="3"/>
    <n v="2767"/>
    <x v="7"/>
    <m/>
    <x v="1"/>
    <m/>
    <m/>
    <m/>
    <m/>
    <n v="1"/>
    <n v="1"/>
    <n v="1"/>
    <n v="1"/>
    <m/>
    <m/>
    <d v="2025-01-01T00:00:00"/>
    <d v="1899-12-31T00:00:00"/>
    <d v="2025-01-31T00:00:00"/>
    <x v="11"/>
    <m/>
    <s v="&lt;p&gt; ** SEGUIMIENTO Soporte al Sistema de Cobranza en ODOO. Edward Garcia fue el solicitante **  ** &lt;/p&gt;"/>
    <n v="8316"/>
    <n v="72265"/>
    <s v="Prueba de Duplicidad Con exito"/>
    <x v="1"/>
    <n v="0.33333333333333298"/>
    <d v="1899-12-30T00:20:00"/>
    <d v="2025-02-21T00:00:00"/>
  </r>
  <r>
    <n v="8316"/>
    <x v="55"/>
    <x v="98"/>
    <m/>
    <m/>
    <n v="21"/>
    <x v="3"/>
    <n v="2767"/>
    <x v="7"/>
    <m/>
    <x v="1"/>
    <m/>
    <m/>
    <m/>
    <m/>
    <n v="1"/>
    <n v="1"/>
    <n v="1"/>
    <n v="1"/>
    <m/>
    <m/>
    <d v="2025-01-01T00:00:00"/>
    <d v="1899-12-31T00:00:00"/>
    <d v="2025-01-31T00:00:00"/>
    <x v="11"/>
    <m/>
    <s v="&lt;p&gt; ** SEGUIMIENTO Soporte al Sistema de Cobranza en ODOO. Edward Garcia fue el solicitante **  ** &lt;/p&gt;"/>
    <n v="8316"/>
    <n v="72054"/>
    <s v="Creacion de SP  en Vesa caso especial"/>
    <x v="1"/>
    <n v="0.5"/>
    <d v="1899-12-30T00:30:00"/>
    <d v="2025-02-20T00:00:00"/>
  </r>
  <r>
    <n v="8316"/>
    <x v="55"/>
    <x v="98"/>
    <m/>
    <m/>
    <n v="21"/>
    <x v="3"/>
    <n v="2767"/>
    <x v="7"/>
    <m/>
    <x v="1"/>
    <m/>
    <m/>
    <m/>
    <m/>
    <n v="1"/>
    <n v="1"/>
    <n v="1"/>
    <n v="1"/>
    <m/>
    <m/>
    <d v="2025-01-01T00:00:00"/>
    <d v="1899-12-31T00:00:00"/>
    <d v="2025-01-31T00:00:00"/>
    <x v="11"/>
    <m/>
    <s v="&lt;p&gt; ** SEGUIMIENTO Soporte al Sistema de Cobranza en ODOO. Edward Garcia fue el solicitante **  ** &lt;/p&gt;"/>
    <n v="8316"/>
    <n v="72003"/>
    <s v="Problema del SP con duplicidad de factura debido a la direccion Fiscal"/>
    <x v="1"/>
    <n v="2"/>
    <d v="1899-12-30T02:00:00"/>
    <d v="2025-02-20T00:00:00"/>
  </r>
  <r>
    <n v="8316"/>
    <x v="55"/>
    <x v="98"/>
    <m/>
    <m/>
    <n v="21"/>
    <x v="3"/>
    <n v="2767"/>
    <x v="7"/>
    <m/>
    <x v="1"/>
    <m/>
    <m/>
    <m/>
    <m/>
    <n v="1"/>
    <n v="1"/>
    <n v="1"/>
    <n v="1"/>
    <m/>
    <m/>
    <d v="2025-01-01T00:00:00"/>
    <d v="1899-12-31T00:00:00"/>
    <d v="2025-01-31T00:00:00"/>
    <x v="11"/>
    <m/>
    <s v="&lt;p&gt; ** SEGUIMIENTO Soporte al Sistema de Cobranza en ODOO. Edward Garcia fue el solicitante **  ** &lt;/p&gt;"/>
    <n v="8316"/>
    <n v="72000"/>
    <s v="Identificación de origen de duplicidad de documentos en query que genera la cartera"/>
    <x v="1"/>
    <n v="1"/>
    <d v="1899-12-30T01:00:00"/>
    <d v="2025-02-20T00:00:00"/>
  </r>
  <r>
    <n v="8316"/>
    <x v="55"/>
    <x v="98"/>
    <m/>
    <m/>
    <n v="21"/>
    <x v="3"/>
    <n v="2767"/>
    <x v="7"/>
    <m/>
    <x v="1"/>
    <m/>
    <m/>
    <m/>
    <m/>
    <n v="1"/>
    <n v="1"/>
    <n v="1"/>
    <n v="1"/>
    <m/>
    <m/>
    <d v="2025-01-01T00:00:00"/>
    <d v="1899-12-31T00:00:00"/>
    <d v="2025-01-31T00:00:00"/>
    <x v="11"/>
    <m/>
    <s v="&lt;p&gt; ** SEGUIMIENTO Soporte al Sistema de Cobranza en ODOO. Edward Garcia fue el solicitante **  ** &lt;/p&gt;"/>
    <n v="8316"/>
    <n v="72002"/>
    <s v="Descuadre de la cartera Canela"/>
    <x v="2"/>
    <n v="2"/>
    <d v="1899-12-30T02:00:00"/>
    <d v="2025-02-20T00:00:00"/>
  </r>
  <r>
    <n v="8316"/>
    <x v="55"/>
    <x v="98"/>
    <m/>
    <m/>
    <n v="21"/>
    <x v="3"/>
    <n v="2767"/>
    <x v="7"/>
    <m/>
    <x v="1"/>
    <m/>
    <m/>
    <m/>
    <m/>
    <n v="1"/>
    <n v="1"/>
    <n v="1"/>
    <n v="1"/>
    <m/>
    <m/>
    <d v="2025-01-01T00:00:00"/>
    <d v="1899-12-31T00:00:00"/>
    <d v="2025-01-31T00:00:00"/>
    <x v="11"/>
    <m/>
    <s v="&lt;p&gt; ** SEGUIMIENTO Soporte al Sistema de Cobranza en ODOO. Edward Garcia fue el solicitante **  ** &lt;/p&gt;"/>
    <n v="8316"/>
    <n v="70686"/>
    <s v="Modificacion de tiempo y  revision de logs"/>
    <x v="14"/>
    <n v="3"/>
    <d v="1899-12-30T03:00:00"/>
    <d v="2025-02-14T00:00:00"/>
  </r>
  <r>
    <n v="8316"/>
    <x v="55"/>
    <x v="98"/>
    <m/>
    <m/>
    <n v="21"/>
    <x v="3"/>
    <n v="2767"/>
    <x v="7"/>
    <m/>
    <x v="1"/>
    <m/>
    <m/>
    <m/>
    <m/>
    <n v="1"/>
    <n v="1"/>
    <n v="1"/>
    <n v="1"/>
    <m/>
    <m/>
    <d v="2025-01-01T00:00:00"/>
    <d v="1899-12-31T00:00:00"/>
    <d v="2025-01-31T00:00:00"/>
    <x v="11"/>
    <m/>
    <s v="&lt;p&gt; ** SEGUIMIENTO Soporte al Sistema de Cobranza en ODOO. Edward Garcia fue el solicitante **  ** &lt;/p&gt;"/>
    <n v="8316"/>
    <n v="70290"/>
    <s v="Fallo de la Cartera de Canella"/>
    <x v="14"/>
    <n v="0.5"/>
    <d v="1899-12-30T00:30:00"/>
    <d v="2025-02-14T00:00:00"/>
  </r>
  <r>
    <n v="8316"/>
    <x v="55"/>
    <x v="98"/>
    <m/>
    <m/>
    <n v="21"/>
    <x v="3"/>
    <n v="2767"/>
    <x v="7"/>
    <m/>
    <x v="1"/>
    <m/>
    <m/>
    <m/>
    <m/>
    <n v="1"/>
    <n v="1"/>
    <n v="1"/>
    <n v="1"/>
    <m/>
    <m/>
    <d v="2025-01-01T00:00:00"/>
    <d v="1899-12-31T00:00:00"/>
    <d v="2025-01-31T00:00:00"/>
    <x v="11"/>
    <m/>
    <s v="&lt;p&gt; ** SEGUIMIENTO Soporte al Sistema de Cobranza en ODOO. Edward Garcia fue el solicitante **  ** &lt;/p&gt;"/>
    <n v="8316"/>
    <n v="70200"/>
    <s v="Cartera de Canella no corrio"/>
    <x v="15"/>
    <n v="0.5"/>
    <d v="1899-12-30T00:30:00"/>
    <d v="2025-02-13T00:00:00"/>
  </r>
  <r>
    <n v="8316"/>
    <x v="55"/>
    <x v="98"/>
    <m/>
    <m/>
    <n v="21"/>
    <x v="3"/>
    <n v="2767"/>
    <x v="7"/>
    <m/>
    <x v="1"/>
    <m/>
    <m/>
    <m/>
    <m/>
    <n v="1"/>
    <n v="1"/>
    <n v="1"/>
    <n v="1"/>
    <m/>
    <m/>
    <d v="2025-01-01T00:00:00"/>
    <d v="1899-12-31T00:00:00"/>
    <d v="2025-01-31T00:00:00"/>
    <x v="11"/>
    <m/>
    <s v="&lt;p&gt; ** SEGUIMIENTO Soporte al Sistema de Cobranza en ODOO. Edward Garcia fue el solicitante **  ** &lt;/p&gt;"/>
    <n v="8316"/>
    <n v="70983"/>
    <s v="Reunion con Juan Carlos de piensom para arreglar loso problemas de Odoo"/>
    <x v="30"/>
    <n v="4"/>
    <d v="1899-12-30T04:00:00"/>
    <d v="2025-02-15T00:00:00"/>
  </r>
  <r>
    <n v="8316"/>
    <x v="55"/>
    <x v="98"/>
    <m/>
    <m/>
    <n v="21"/>
    <x v="3"/>
    <n v="2767"/>
    <x v="7"/>
    <m/>
    <x v="1"/>
    <m/>
    <m/>
    <m/>
    <m/>
    <n v="1"/>
    <n v="1"/>
    <n v="1"/>
    <n v="1"/>
    <m/>
    <m/>
    <d v="2025-01-01T00:00:00"/>
    <d v="1899-12-31T00:00:00"/>
    <d v="2025-01-31T00:00:00"/>
    <x v="11"/>
    <m/>
    <s v="&lt;p&gt; ** SEGUIMIENTO Soporte al Sistema de Cobranza en ODOO. Edward Garcia fue el solicitante **  ** &lt;/p&gt;"/>
    <n v="8316"/>
    <n v="68418"/>
    <s v="Ciertos campos no lo visualizan los Telecobradores"/>
    <x v="19"/>
    <n v="1"/>
    <d v="1899-12-30T01:00:00"/>
    <d v="2025-02-07T00:00:00"/>
  </r>
  <r>
    <n v="8316"/>
    <x v="55"/>
    <x v="98"/>
    <m/>
    <m/>
    <n v="21"/>
    <x v="3"/>
    <n v="2767"/>
    <x v="7"/>
    <m/>
    <x v="1"/>
    <m/>
    <m/>
    <m/>
    <m/>
    <n v="1"/>
    <n v="1"/>
    <n v="1"/>
    <n v="1"/>
    <m/>
    <m/>
    <d v="2025-01-01T00:00:00"/>
    <d v="1899-12-31T00:00:00"/>
    <d v="2025-01-31T00:00:00"/>
    <x v="11"/>
    <m/>
    <s v="&lt;p&gt; ** SEGUIMIENTO Soporte al Sistema de Cobranza en ODOO. Edward Garcia fue el solicitante **  ** &lt;/p&gt;"/>
    <n v="8316"/>
    <n v="68417"/>
    <s v="Fallo del WebService con Odoo"/>
    <x v="25"/>
    <n v="4"/>
    <d v="1899-12-30T04:00:00"/>
    <d v="2025-02-07T00:00:00"/>
  </r>
  <r>
    <n v="8316"/>
    <x v="55"/>
    <x v="98"/>
    <m/>
    <m/>
    <n v="21"/>
    <x v="3"/>
    <n v="2767"/>
    <x v="7"/>
    <m/>
    <x v="1"/>
    <m/>
    <m/>
    <m/>
    <m/>
    <n v="1"/>
    <n v="1"/>
    <n v="1"/>
    <n v="1"/>
    <m/>
    <m/>
    <d v="2025-01-01T00:00:00"/>
    <d v="1899-12-31T00:00:00"/>
    <d v="2025-01-31T00:00:00"/>
    <x v="11"/>
    <m/>
    <s v="&lt;p&gt; ** SEGUIMIENTO Soporte al Sistema de Cobranza en ODOO. Edward Garcia fue el solicitante **  ** &lt;/p&gt;"/>
    <n v="8316"/>
    <n v="68416"/>
    <s v="Problemas de cuadre de Cartera"/>
    <x v="26"/>
    <n v="8"/>
    <d v="1899-12-30T08:00:00"/>
    <d v="2025-02-07T00:00:00"/>
  </r>
  <r>
    <n v="8287"/>
    <x v="56"/>
    <x v="99"/>
    <n v="247795"/>
    <s v="SANDRA JUDITH LOARCA HERNANDEZ de PEREZ"/>
    <n v="21"/>
    <x v="3"/>
    <n v="3201"/>
    <x v="12"/>
    <s v="x"/>
    <x v="0"/>
    <m/>
    <m/>
    <m/>
    <m/>
    <n v="1"/>
    <n v="1"/>
    <n v="1"/>
    <n v="1"/>
    <m/>
    <m/>
    <d v="2025-01-01T00:00:00"/>
    <d v="1899-12-31T00:00:00"/>
    <d v="2025-02-14T00:00:00"/>
    <x v="16"/>
    <m/>
    <s v="&lt;p&gt; ** Implementación del Sistema de Contraseñas de Proveedores Locales SAP/LASERFICHE **  ** &lt;/p&gt;"/>
    <n v="8287"/>
    <n v="72207"/>
    <s v="pruebas validar funcionalidad"/>
    <x v="1"/>
    <n v="3"/>
    <d v="1899-12-30T03:00:00"/>
    <d v="2025-02-20T00:00:00"/>
  </r>
  <r>
    <n v="8287"/>
    <x v="56"/>
    <x v="99"/>
    <n v="247795"/>
    <s v="SANDRA JUDITH LOARCA HERNANDEZ de PEREZ"/>
    <n v="21"/>
    <x v="3"/>
    <n v="3201"/>
    <x v="12"/>
    <m/>
    <x v="0"/>
    <m/>
    <m/>
    <m/>
    <m/>
    <n v="1"/>
    <n v="1"/>
    <n v="1"/>
    <n v="1"/>
    <m/>
    <m/>
    <d v="2025-01-01T00:00:00"/>
    <d v="1899-12-31T00:00:00"/>
    <d v="2025-02-14T00:00:00"/>
    <x v="16"/>
    <m/>
    <s v="&lt;p&gt; ** Implementación del Sistema de Contraseñas de Proveedores Locales SAP/LASERFICHE **  ** &lt;/p&gt;"/>
    <n v="8287"/>
    <n v="72188"/>
    <s v="Reunión para demostración del flujo completo a usuarios"/>
    <x v="1"/>
    <n v="4"/>
    <d v="1899-12-30T04:00:00"/>
    <d v="2025-02-20T00:00:00"/>
  </r>
  <r>
    <n v="8287"/>
    <x v="56"/>
    <x v="99"/>
    <n v="247795"/>
    <s v="SANDRA JUDITH LOARCA HERNANDEZ de PEREZ"/>
    <n v="21"/>
    <x v="3"/>
    <n v="3201"/>
    <x v="12"/>
    <m/>
    <x v="0"/>
    <m/>
    <m/>
    <m/>
    <m/>
    <n v="1"/>
    <n v="1"/>
    <n v="1"/>
    <n v="1"/>
    <m/>
    <m/>
    <d v="2025-01-01T00:00:00"/>
    <d v="1899-12-31T00:00:00"/>
    <d v="2025-02-14T00:00:00"/>
    <x v="16"/>
    <m/>
    <s v="&lt;p&gt; ** Implementación del Sistema de Contraseñas de Proveedores Locales SAP/LASERFICHE **  ** &lt;/p&gt;"/>
    <n v="8287"/>
    <n v="71354"/>
    <s v="Reunión para validaciones y pruebas del proceso"/>
    <x v="13"/>
    <n v="1"/>
    <d v="1899-12-30T01:00:00"/>
    <d v="2025-02-17T00:00:00"/>
  </r>
  <r>
    <n v="8287"/>
    <x v="56"/>
    <x v="99"/>
    <n v="247795"/>
    <s v="SANDRA JUDITH LOARCA HERNANDEZ de PEREZ"/>
    <n v="21"/>
    <x v="3"/>
    <n v="3201"/>
    <x v="12"/>
    <m/>
    <x v="0"/>
    <m/>
    <m/>
    <m/>
    <m/>
    <n v="1"/>
    <n v="1"/>
    <n v="1"/>
    <n v="1"/>
    <m/>
    <m/>
    <d v="2025-01-01T00:00:00"/>
    <d v="1899-12-31T00:00:00"/>
    <d v="2025-02-14T00:00:00"/>
    <x v="16"/>
    <m/>
    <s v="&lt;p&gt; ** Implementación del Sistema de Contraseñas de Proveedores Locales SAP/LASERFICHE **  ** &lt;/p&gt;"/>
    <n v="8287"/>
    <n v="70862"/>
    <s v="se crearon y probaron 2 validación para articulo y servicio en OC solo autorizados"/>
    <x v="14"/>
    <n v="4"/>
    <d v="1899-12-30T04:00:00"/>
    <d v="2025-02-14T00:00:00"/>
  </r>
  <r>
    <n v="8287"/>
    <x v="56"/>
    <x v="99"/>
    <n v="247795"/>
    <s v="SANDRA JUDITH LOARCA HERNANDEZ de PEREZ"/>
    <n v="21"/>
    <x v="3"/>
    <n v="3201"/>
    <x v="12"/>
    <m/>
    <x v="0"/>
    <m/>
    <m/>
    <m/>
    <m/>
    <n v="1"/>
    <n v="1"/>
    <n v="1"/>
    <n v="1"/>
    <m/>
    <m/>
    <d v="2025-01-01T00:00:00"/>
    <d v="1899-12-31T00:00:00"/>
    <d v="2025-02-14T00:00:00"/>
    <x v="16"/>
    <m/>
    <s v="&lt;p&gt; ** Implementación del Sistema de Contraseñas de Proveedores Locales SAP/LASERFICHE **  ** &lt;/p&gt;"/>
    <n v="8287"/>
    <n v="70463"/>
    <s v="Reunión para pruebas y validaciones del flujo completo"/>
    <x v="14"/>
    <n v="8"/>
    <d v="1899-12-30T08:00:00"/>
    <d v="2025-02-14T00:00:00"/>
  </r>
  <r>
    <n v="8287"/>
    <x v="56"/>
    <x v="99"/>
    <n v="247795"/>
    <s v="SANDRA JUDITH LOARCA HERNANDEZ de PEREZ"/>
    <n v="21"/>
    <x v="3"/>
    <n v="3201"/>
    <x v="12"/>
    <m/>
    <x v="0"/>
    <m/>
    <m/>
    <m/>
    <m/>
    <n v="1"/>
    <n v="1"/>
    <n v="1"/>
    <n v="1"/>
    <m/>
    <m/>
    <d v="2025-01-01T00:00:00"/>
    <d v="1899-12-31T00:00:00"/>
    <d v="2025-02-14T00:00:00"/>
    <x v="16"/>
    <m/>
    <s v="&lt;p&gt; ** Implementación del Sistema de Contraseñas de Proveedores Locales SAP/LASERFICHE **  ** &lt;/p&gt;"/>
    <n v="8287"/>
    <n v="70199"/>
    <s v="Modificaciones y mejoras en workflows y formularios por validaciones en pruebas"/>
    <x v="15"/>
    <n v="5"/>
    <d v="1899-12-30T05:00:00"/>
    <d v="2025-02-13T00:00:00"/>
  </r>
  <r>
    <n v="8287"/>
    <x v="56"/>
    <x v="99"/>
    <n v="247795"/>
    <s v="SANDRA JUDITH LOARCA HERNANDEZ de PEREZ"/>
    <n v="21"/>
    <x v="3"/>
    <n v="3201"/>
    <x v="12"/>
    <m/>
    <x v="0"/>
    <m/>
    <m/>
    <m/>
    <m/>
    <n v="1"/>
    <n v="1"/>
    <n v="1"/>
    <n v="1"/>
    <m/>
    <m/>
    <d v="2025-01-01T00:00:00"/>
    <d v="1899-12-31T00:00:00"/>
    <d v="2025-02-14T00:00:00"/>
    <x v="16"/>
    <m/>
    <s v="&lt;p&gt; ** Implementación del Sistema de Contraseñas de Proveedores Locales SAP/LASERFICHE **  ** &lt;/p&gt;"/>
    <n v="8287"/>
    <n v="70062"/>
    <s v="Reunión para pruebas de proceso"/>
    <x v="16"/>
    <n v="4.5"/>
    <d v="1899-12-30T04:30:00"/>
    <d v="2025-02-13T00:00:00"/>
  </r>
  <r>
    <n v="8287"/>
    <x v="56"/>
    <x v="99"/>
    <n v="247795"/>
    <s v="SANDRA JUDITH LOARCA HERNANDEZ de PEREZ"/>
    <n v="21"/>
    <x v="3"/>
    <n v="3201"/>
    <x v="12"/>
    <m/>
    <x v="0"/>
    <m/>
    <m/>
    <m/>
    <m/>
    <n v="1"/>
    <n v="1"/>
    <n v="1"/>
    <n v="1"/>
    <m/>
    <m/>
    <d v="2025-01-01T00:00:00"/>
    <d v="1899-12-31T00:00:00"/>
    <d v="2025-02-14T00:00:00"/>
    <x v="16"/>
    <m/>
    <s v="&lt;p&gt; ** Implementación del Sistema de Contraseñas de Proveedores Locales SAP/LASERFICHE **  ** &lt;/p&gt;"/>
    <n v="8287"/>
    <n v="70061"/>
    <s v="Reunión para pruebas del proceso"/>
    <x v="17"/>
    <n v="6"/>
    <d v="1899-12-30T06:00:00"/>
    <d v="2025-02-13T00:00:00"/>
  </r>
  <r>
    <n v="8287"/>
    <x v="56"/>
    <x v="99"/>
    <n v="247795"/>
    <s v="SANDRA JUDITH LOARCA HERNANDEZ de PEREZ"/>
    <n v="21"/>
    <x v="3"/>
    <n v="3201"/>
    <x v="12"/>
    <m/>
    <x v="0"/>
    <m/>
    <m/>
    <m/>
    <m/>
    <n v="1"/>
    <n v="1"/>
    <n v="1"/>
    <n v="1"/>
    <m/>
    <m/>
    <d v="2025-01-01T00:00:00"/>
    <d v="1899-12-31T00:00:00"/>
    <d v="2025-02-14T00:00:00"/>
    <x v="16"/>
    <m/>
    <s v="&lt;p&gt; ** Implementación del Sistema de Contraseñas de Proveedores Locales SAP/LASERFICHE **  ** &lt;/p&gt;"/>
    <n v="8287"/>
    <n v="69771"/>
    <s v="pruebas de validación"/>
    <x v="17"/>
    <n v="2"/>
    <d v="1899-12-30T02:00:00"/>
    <d v="2025-02-12T00:00:00"/>
  </r>
  <r>
    <n v="8287"/>
    <x v="56"/>
    <x v="99"/>
    <n v="247795"/>
    <s v="SANDRA JUDITH LOARCA HERNANDEZ de PEREZ"/>
    <n v="21"/>
    <x v="3"/>
    <n v="3201"/>
    <x v="12"/>
    <m/>
    <x v="0"/>
    <m/>
    <m/>
    <m/>
    <m/>
    <n v="1"/>
    <n v="1"/>
    <n v="1"/>
    <n v="1"/>
    <m/>
    <m/>
    <d v="2025-01-01T00:00:00"/>
    <d v="1899-12-31T00:00:00"/>
    <d v="2025-02-14T00:00:00"/>
    <x v="16"/>
    <m/>
    <s v="&lt;p&gt; ** Implementación del Sistema de Contraseñas de Proveedores Locales SAP/LASERFICHE **  ** &lt;/p&gt;"/>
    <n v="8287"/>
    <n v="69770"/>
    <s v="creación de validación"/>
    <x v="17"/>
    <n v="2"/>
    <d v="1899-12-30T02:00:00"/>
    <d v="2025-02-12T00:00:00"/>
  </r>
  <r>
    <n v="8288"/>
    <x v="57"/>
    <x v="100"/>
    <m/>
    <m/>
    <n v="29"/>
    <x v="1"/>
    <n v="3201"/>
    <x v="12"/>
    <s v="x"/>
    <x v="0"/>
    <m/>
    <m/>
    <m/>
    <m/>
    <n v="2"/>
    <n v="2"/>
    <n v="2"/>
    <n v="2"/>
    <m/>
    <m/>
    <d v="2025-01-01T00:00:00"/>
    <d v="1899-12-31T00:00:00"/>
    <d v="2025-02-14T00:00:00"/>
    <x v="9"/>
    <m/>
    <m/>
    <m/>
    <m/>
    <m/>
    <x v="5"/>
    <m/>
    <m/>
    <m/>
  </r>
  <r>
    <n v="8254"/>
    <x v="58"/>
    <x v="101"/>
    <m/>
    <m/>
    <n v="21"/>
    <x v="3"/>
    <n v="3201"/>
    <x v="12"/>
    <s v="x"/>
    <x v="0"/>
    <m/>
    <m/>
    <m/>
    <m/>
    <n v="1"/>
    <n v="1"/>
    <n v="1"/>
    <n v="1"/>
    <m/>
    <m/>
    <d v="2025-01-01T00:00:00"/>
    <d v="1899-12-31T00:00:00"/>
    <d v="2025-01-31T00:00:00"/>
    <x v="3"/>
    <m/>
    <m/>
    <n v="8254"/>
    <n v="67453"/>
    <s v="Generación de lotes pequeños con hojas en blanco e impresión para validar orden de expedientes"/>
    <x v="25"/>
    <n v="4"/>
    <d v="1899-12-30T04:00:00"/>
    <d v="2025-02-03T00:00:00"/>
  </r>
  <r>
    <n v="8254"/>
    <x v="58"/>
    <x v="101"/>
    <m/>
    <m/>
    <n v="21"/>
    <x v="3"/>
    <n v="3201"/>
    <x v="12"/>
    <m/>
    <x v="0"/>
    <m/>
    <m/>
    <m/>
    <m/>
    <n v="1"/>
    <n v="1"/>
    <n v="1"/>
    <n v="1"/>
    <m/>
    <m/>
    <d v="2025-01-01T00:00:00"/>
    <d v="1899-12-31T00:00:00"/>
    <d v="2025-01-31T00:00:00"/>
    <x v="3"/>
    <m/>
    <m/>
    <n v="8254"/>
    <n v="67461"/>
    <s v="Modificación de sdk del workflow para modificar tamaño de impresiones y pruebas con el cambio"/>
    <x v="20"/>
    <n v="3.5"/>
    <d v="1899-12-30T03:30:00"/>
    <d v="2025-02-03T00:00:00"/>
  </r>
  <r>
    <n v="8254"/>
    <x v="58"/>
    <x v="101"/>
    <m/>
    <m/>
    <n v="21"/>
    <x v="3"/>
    <n v="3201"/>
    <x v="12"/>
    <m/>
    <x v="0"/>
    <m/>
    <m/>
    <m/>
    <m/>
    <n v="1"/>
    <n v="1"/>
    <n v="1"/>
    <n v="1"/>
    <m/>
    <m/>
    <d v="2025-01-01T00:00:00"/>
    <d v="1899-12-31T00:00:00"/>
    <d v="2025-01-31T00:00:00"/>
    <x v="3"/>
    <m/>
    <m/>
    <n v="8254"/>
    <n v="67460"/>
    <s v="Impresión de lotes de expedientes completos para validar orden, reimpresión y cambios de estado de impresión por medio del API"/>
    <x v="21"/>
    <n v="4"/>
    <d v="1899-12-30T04:00:00"/>
    <d v="2025-02-03T00:00:00"/>
  </r>
  <r>
    <n v="8254"/>
    <x v="58"/>
    <x v="101"/>
    <m/>
    <m/>
    <n v="21"/>
    <x v="3"/>
    <n v="3201"/>
    <x v="12"/>
    <m/>
    <x v="0"/>
    <m/>
    <m/>
    <m/>
    <m/>
    <n v="1"/>
    <n v="1"/>
    <n v="1"/>
    <n v="1"/>
    <m/>
    <m/>
    <d v="2025-01-01T00:00:00"/>
    <d v="1899-12-31T00:00:00"/>
    <d v="2025-01-31T00:00:00"/>
    <x v="3"/>
    <m/>
    <m/>
    <n v="8254"/>
    <n v="67459"/>
    <s v="Implementación de workflow de expedientes completos con página en blanco para impresión a doble cara"/>
    <x v="21"/>
    <n v="2"/>
    <d v="1899-12-30T02:00:00"/>
    <d v="2025-02-03T00:00:00"/>
  </r>
  <r>
    <n v="8254"/>
    <x v="58"/>
    <x v="101"/>
    <m/>
    <m/>
    <n v="21"/>
    <x v="3"/>
    <n v="3201"/>
    <x v="12"/>
    <m/>
    <x v="0"/>
    <m/>
    <m/>
    <m/>
    <m/>
    <n v="1"/>
    <n v="1"/>
    <n v="1"/>
    <n v="1"/>
    <m/>
    <m/>
    <d v="2025-01-01T00:00:00"/>
    <d v="1899-12-31T00:00:00"/>
    <d v="2025-01-31T00:00:00"/>
    <x v="3"/>
    <m/>
    <m/>
    <n v="8254"/>
    <n v="67454"/>
    <s v="Pruebas de reimpresión y cambios de estado de expedientes"/>
    <x v="41"/>
    <n v="2"/>
    <d v="1899-12-30T02:00:00"/>
    <d v="2025-02-03T00:00:00"/>
  </r>
  <r>
    <n v="8254"/>
    <x v="58"/>
    <x v="101"/>
    <m/>
    <m/>
    <n v="21"/>
    <x v="3"/>
    <n v="3201"/>
    <x v="12"/>
    <m/>
    <x v="0"/>
    <m/>
    <m/>
    <m/>
    <m/>
    <n v="1"/>
    <n v="1"/>
    <n v="1"/>
    <n v="1"/>
    <m/>
    <m/>
    <d v="2025-01-01T00:00:00"/>
    <d v="1899-12-31T00:00:00"/>
    <d v="2025-01-31T00:00:00"/>
    <x v="3"/>
    <m/>
    <m/>
    <n v="8254"/>
    <n v="66058"/>
    <s v="Creación e implementación de workflow para armado de expedientes con hojas en blanco"/>
    <x v="41"/>
    <n v="1"/>
    <d v="1899-12-30T01:00:00"/>
    <d v="2025-01-29T00:00:00"/>
  </r>
  <r>
    <n v="8281"/>
    <x v="59"/>
    <x v="102"/>
    <n v="289006"/>
    <s v="SULY DANIELA CHUN SANTOS de RIVERA"/>
    <n v="21"/>
    <x v="3"/>
    <n v="3200"/>
    <x v="5"/>
    <s v="x"/>
    <x v="0"/>
    <m/>
    <m/>
    <m/>
    <m/>
    <n v="2"/>
    <n v="2"/>
    <n v="2"/>
    <n v="2"/>
    <m/>
    <m/>
    <d v="2025-01-28T00:00:00"/>
    <d v="1899-12-31T00:00:00"/>
    <d v="2025-02-12T00:00:00"/>
    <x v="31"/>
    <m/>
    <s v="&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
    <n v="8281"/>
    <n v="69992"/>
    <s v="Se probo el reporte y no mostro los datos de la columna nombre de caja se arreglo, también sobre las encomiendas"/>
    <x v="16"/>
    <n v="8"/>
    <d v="1899-12-30T08:00:00"/>
    <d v="2025-02-13T00:00:00"/>
  </r>
  <r>
    <n v="8281"/>
    <x v="59"/>
    <x v="102"/>
    <n v="289006"/>
    <s v="SULY DANIELA CHUN SANTOS de RIVERA"/>
    <n v="21"/>
    <x v="3"/>
    <n v="3200"/>
    <x v="5"/>
    <m/>
    <x v="0"/>
    <m/>
    <m/>
    <m/>
    <m/>
    <n v="2"/>
    <n v="2"/>
    <n v="2"/>
    <n v="2"/>
    <m/>
    <m/>
    <d v="2025-01-28T00:00:00"/>
    <d v="1899-12-31T00:00:00"/>
    <d v="2025-02-12T00:00:00"/>
    <x v="31"/>
    <m/>
    <s v="&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
    <n v="8281"/>
    <n v="69388"/>
    <s v="Se realizaran cambios al reporte y se estará probando"/>
    <x v="17"/>
    <n v="8"/>
    <d v="1899-12-30T08:00:00"/>
    <d v="2025-02-11T00:00:00"/>
  </r>
  <r>
    <n v="8281"/>
    <x v="59"/>
    <x v="102"/>
    <n v="289006"/>
    <s v="SULY DANIELA CHUN SANTOS de RIVERA"/>
    <n v="21"/>
    <x v="3"/>
    <n v="3200"/>
    <x v="5"/>
    <m/>
    <x v="0"/>
    <m/>
    <m/>
    <m/>
    <m/>
    <n v="2"/>
    <n v="2"/>
    <n v="2"/>
    <n v="2"/>
    <m/>
    <m/>
    <d v="2025-01-28T00:00:00"/>
    <d v="1899-12-31T00:00:00"/>
    <d v="2025-02-12T00:00:00"/>
    <x v="31"/>
    <m/>
    <s v="&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
    <n v="8281"/>
    <n v="68153"/>
    <s v="Se tuvo la reunión con el usuario para entender el proceso para crear el reporte."/>
    <x v="19"/>
    <n v="2"/>
    <d v="1899-12-30T02:00:00"/>
    <d v="2025-02-06T00:00:00"/>
  </r>
  <r>
    <n v="8281"/>
    <x v="59"/>
    <x v="102"/>
    <n v="289006"/>
    <s v="SULY DANIELA CHUN SANTOS de RIVERA"/>
    <n v="21"/>
    <x v="3"/>
    <n v="3200"/>
    <x v="5"/>
    <m/>
    <x v="0"/>
    <m/>
    <m/>
    <m/>
    <m/>
    <n v="2"/>
    <n v="2"/>
    <n v="2"/>
    <n v="2"/>
    <m/>
    <m/>
    <d v="2025-01-28T00:00:00"/>
    <d v="1899-12-31T00:00:00"/>
    <d v="2025-02-12T00:00:00"/>
    <x v="31"/>
    <m/>
    <s v="&lt;p&gt;Realizar un reporte sobre&amp;nbsp; ** las cajas de repuestos y que contenga la siguiente información:&lt;/p&gt;&lt;ul&gt; **  &lt;li&gt;Fecha y hora de emisión **      de entrega &lt;/li&gt; **  &lt;li&gt;Nombre del cliente o **      código&lt;/li&gt; **  &lt;li&gt;Hora de &lt;u&gt;impresión&lt;/u&gt; **      de la entrega &lt;/li&gt; **  &lt;li&gt;Hora de &lt;u&gt;facturación **      de las entrega&lt;/u&gt; &lt;/li&gt; **  &lt;li&gt;Recuento de entregas &lt;u&gt;por **      encomiendas&lt;/u&gt;&lt;/li&gt; ** &lt;/ul&gt;&lt;p&gt; **  **  **  **  **  ** &lt;/p&gt;"/>
    <n v="8281"/>
    <n v="67590"/>
    <s v="Se tuvo una reunión con el usuario"/>
    <x v="26"/>
    <n v="0.5"/>
    <d v="1899-12-30T00:30:00"/>
    <d v="2025-02-04T00:00:00"/>
  </r>
  <r>
    <n v="8326"/>
    <x v="51"/>
    <x v="103"/>
    <n v="289006"/>
    <s v="SULY DANIELA CHUN SANTOS de RIVERA"/>
    <n v="21"/>
    <x v="3"/>
    <n v="3202"/>
    <x v="3"/>
    <s v="x"/>
    <x v="1"/>
    <n v="4"/>
    <s v="SOPORTE/CAPACITACION"/>
    <n v="1"/>
    <s v="BAJA"/>
    <n v="2"/>
    <n v="2"/>
    <n v="2"/>
    <n v="2"/>
    <n v="1"/>
    <s v="PEQUEÑO"/>
    <d v="2025-02-06T00:00:00"/>
    <d v="2025-02-13T00:00:00"/>
    <d v="2025-02-28T00:00:00"/>
    <x v="5"/>
    <d v="2025-02-27T00:00:00"/>
    <m/>
    <n v="8326"/>
    <n v="75484"/>
    <s v="Modificación reporte de bodega PM122"/>
    <x v="10"/>
    <n v="2"/>
    <d v="1899-12-30T02:00:00"/>
    <d v="2025-03-05T00:00:00"/>
  </r>
  <r>
    <n v="8326"/>
    <x v="51"/>
    <x v="103"/>
    <n v="289006"/>
    <s v="SULY DANIELA CHUN SANTOS de RIVERA"/>
    <n v="21"/>
    <x v="3"/>
    <n v="3202"/>
    <x v="3"/>
    <m/>
    <x v="1"/>
    <n v="4"/>
    <s v="SOPORTE/CAPACITACION"/>
    <n v="1"/>
    <s v="BAJA"/>
    <n v="2"/>
    <n v="2"/>
    <n v="2"/>
    <n v="2"/>
    <n v="1"/>
    <s v="PEQUEÑO"/>
    <d v="2025-02-06T00:00:00"/>
    <d v="2025-02-13T00:00:00"/>
    <d v="2025-02-28T00:00:00"/>
    <x v="5"/>
    <d v="2025-02-27T00:00:00"/>
    <m/>
    <n v="8326"/>
    <n v="75483"/>
    <s v="Modificación reporte de bodega PM001 y PT030"/>
    <x v="10"/>
    <n v="3"/>
    <d v="1899-12-30T03:00:00"/>
    <d v="2025-03-05T00:00:00"/>
  </r>
  <r>
    <n v="8326"/>
    <x v="51"/>
    <x v="103"/>
    <n v="289006"/>
    <s v="SULY DANIELA CHUN SANTOS de RIVERA"/>
    <n v="21"/>
    <x v="3"/>
    <n v="3202"/>
    <x v="3"/>
    <m/>
    <x v="1"/>
    <n v="4"/>
    <s v="SOPORTE/CAPACITACION"/>
    <n v="1"/>
    <s v="BAJA"/>
    <n v="2"/>
    <n v="2"/>
    <n v="2"/>
    <n v="2"/>
    <n v="1"/>
    <s v="PEQUEÑO"/>
    <d v="2025-02-06T00:00:00"/>
    <d v="2025-02-13T00:00:00"/>
    <d v="2025-02-28T00:00:00"/>
    <x v="5"/>
    <d v="2025-02-27T00:00:00"/>
    <m/>
    <n v="8326"/>
    <n v="71690"/>
    <s v="Se modificó el reporte para que la información coincidiera con un reporte de Bodega Z13"/>
    <x v="3"/>
    <n v="1"/>
    <d v="1899-12-30T01:00:00"/>
    <d v="2025-02-19T00:00:00"/>
  </r>
  <r>
    <n v="8326"/>
    <x v="51"/>
    <x v="103"/>
    <n v="289006"/>
    <s v="SULY DANIELA CHUN SANTOS de RIVERA"/>
    <n v="21"/>
    <x v="3"/>
    <n v="3202"/>
    <x v="3"/>
    <m/>
    <x v="1"/>
    <n v="4"/>
    <s v="SOPORTE/CAPACITACION"/>
    <n v="1"/>
    <s v="BAJA"/>
    <n v="2"/>
    <n v="2"/>
    <n v="2"/>
    <n v="2"/>
    <n v="1"/>
    <s v="PEQUEÑO"/>
    <d v="2025-02-06T00:00:00"/>
    <d v="2025-02-13T00:00:00"/>
    <d v="2025-02-28T00:00:00"/>
    <x v="5"/>
    <d v="2025-02-27T00:00:00"/>
    <m/>
    <n v="8326"/>
    <n v="70758"/>
    <s v="Se agregó la columna extra y se agregó el filtrado solicitado"/>
    <x v="15"/>
    <n v="1.6666666666666601"/>
    <d v="1899-12-30T01:40:00"/>
    <d v="2025-02-14T00:00:00"/>
  </r>
  <r>
    <n v="8326"/>
    <x v="51"/>
    <x v="103"/>
    <n v="289006"/>
    <s v="SULY DANIELA CHUN SANTOS de RIVERA"/>
    <n v="21"/>
    <x v="3"/>
    <n v="3202"/>
    <x v="3"/>
    <m/>
    <x v="1"/>
    <n v="4"/>
    <s v="SOPORTE/CAPACITACION"/>
    <n v="1"/>
    <s v="BAJA"/>
    <n v="2"/>
    <n v="2"/>
    <n v="2"/>
    <n v="2"/>
    <n v="1"/>
    <s v="PEQUEÑO"/>
    <d v="2025-02-06T00:00:00"/>
    <d v="2025-02-13T00:00:00"/>
    <d v="2025-02-28T00:00:00"/>
    <x v="5"/>
    <d v="2025-02-27T00:00:00"/>
    <m/>
    <n v="8326"/>
    <n v="70748"/>
    <s v="Investigación sobre la localización donde se genera el reporte a modificar"/>
    <x v="15"/>
    <n v="1.6666666666666601"/>
    <d v="1899-12-30T01:40:00"/>
    <d v="2025-02-14T00:00:00"/>
  </r>
  <r>
    <n v="8552"/>
    <x v="51"/>
    <x v="104"/>
    <n v="247884"/>
    <s v="ANA CAROLINA PALACIOS GONZALEZ de MENENDEZ"/>
    <n v="21"/>
    <x v="3"/>
    <n v="3204"/>
    <x v="10"/>
    <s v="x"/>
    <x v="1"/>
    <n v="2"/>
    <s v="PROCESO"/>
    <n v="2"/>
    <s v="MEDIA"/>
    <n v="2"/>
    <n v="2"/>
    <m/>
    <m/>
    <m/>
    <m/>
    <d v="2025-03-07T00:00:00"/>
    <d v="2025-03-07T00:00:00"/>
    <d v="2025-03-07T00:00:00"/>
    <x v="17"/>
    <d v="2025-03-07T00:00:00"/>
    <m/>
    <n v="8552"/>
    <n v="77036"/>
    <s v="modifcacion de envió de correo y documento adjunto"/>
    <x v="38"/>
    <n v="5"/>
    <d v="1899-12-30T05:00:00"/>
    <d v="2025-03-11T00:00:00"/>
  </r>
  <r>
    <n v="8503"/>
    <x v="51"/>
    <x v="105"/>
    <n v="289092"/>
    <s v="CESAR ORLANDO MARTINEZ ABAL"/>
    <n v="30"/>
    <x v="0"/>
    <n v="339"/>
    <x v="14"/>
    <s v="x"/>
    <x v="0"/>
    <m/>
    <m/>
    <m/>
    <m/>
    <m/>
    <m/>
    <m/>
    <m/>
    <m/>
    <m/>
    <d v="2025-03-03T00:00:00"/>
    <d v="2025-03-03T00:00:00"/>
    <m/>
    <x v="19"/>
    <m/>
    <m/>
    <n v="8503"/>
    <n v="77039"/>
    <s v="Se capacito al usuario con temas relacionados a eWMS y ensamble"/>
    <x v="28"/>
    <n v="3"/>
    <d v="1899-12-30T03:00:00"/>
    <d v="2025-03-11T00:00:00"/>
  </r>
  <r>
    <n v="8503"/>
    <x v="51"/>
    <x v="105"/>
    <n v="289092"/>
    <s v="CESAR ORLANDO MARTINEZ ABAL"/>
    <n v="30"/>
    <x v="0"/>
    <n v="339"/>
    <x v="14"/>
    <m/>
    <x v="0"/>
    <m/>
    <m/>
    <m/>
    <m/>
    <m/>
    <m/>
    <m/>
    <m/>
    <m/>
    <m/>
    <d v="2025-03-03T00:00:00"/>
    <d v="2025-03-03T00:00:00"/>
    <m/>
    <x v="19"/>
    <m/>
    <m/>
    <n v="8503"/>
    <n v="77032"/>
    <s v="Se finalizó el query y fue testeado por el usuario"/>
    <x v="28"/>
    <n v="3"/>
    <d v="1899-12-30T03:00:00"/>
    <d v="2025-03-11T00:00:00"/>
  </r>
  <r>
    <n v="8503"/>
    <x v="51"/>
    <x v="105"/>
    <n v="289092"/>
    <s v="CESAR ORLANDO MARTINEZ ABAL"/>
    <n v="30"/>
    <x v="0"/>
    <n v="339"/>
    <x v="14"/>
    <m/>
    <x v="0"/>
    <m/>
    <m/>
    <m/>
    <m/>
    <m/>
    <m/>
    <m/>
    <m/>
    <m/>
    <m/>
    <d v="2025-03-03T00:00:00"/>
    <d v="2025-03-03T00:00:00"/>
    <m/>
    <x v="19"/>
    <m/>
    <m/>
    <n v="8503"/>
    <n v="77034"/>
    <s v="Se capacito al usuario con temas relacionados a eWMS"/>
    <x v="38"/>
    <n v="3"/>
    <d v="1899-12-30T03:00:00"/>
    <d v="2025-03-11T00:00:00"/>
  </r>
  <r>
    <n v="8503"/>
    <x v="51"/>
    <x v="105"/>
    <n v="289092"/>
    <s v="CESAR ORLANDO MARTINEZ ABAL"/>
    <n v="30"/>
    <x v="0"/>
    <n v="339"/>
    <x v="14"/>
    <m/>
    <x v="0"/>
    <m/>
    <m/>
    <m/>
    <m/>
    <m/>
    <m/>
    <m/>
    <m/>
    <m/>
    <m/>
    <d v="2025-03-03T00:00:00"/>
    <d v="2025-03-03T00:00:00"/>
    <m/>
    <x v="19"/>
    <m/>
    <m/>
    <n v="8503"/>
    <n v="77030"/>
    <s v="Se inicio con el query solicitado por Esteban que permitirá validar que documentos contienen facturas"/>
    <x v="38"/>
    <n v="3.5"/>
    <d v="1899-12-30T03:30:00"/>
    <d v="2025-03-11T00:00:00"/>
  </r>
  <r>
    <n v="8503"/>
    <x v="51"/>
    <x v="105"/>
    <n v="289092"/>
    <s v="CESAR ORLANDO MARTINEZ ABAL"/>
    <n v="30"/>
    <x v="0"/>
    <n v="339"/>
    <x v="14"/>
    <m/>
    <x v="0"/>
    <m/>
    <m/>
    <m/>
    <m/>
    <m/>
    <m/>
    <m/>
    <m/>
    <m/>
    <m/>
    <d v="2025-03-03T00:00:00"/>
    <d v="2025-03-03T00:00:00"/>
    <m/>
    <x v="19"/>
    <m/>
    <m/>
    <n v="8503"/>
    <n v="77029"/>
    <s v="Se brindo el soporte y la instalación correspondiente al área de encomienda"/>
    <x v="38"/>
    <n v="2.5"/>
    <d v="1899-12-30T02:30:00"/>
    <d v="2025-03-11T00:00:00"/>
  </r>
  <r>
    <n v="8503"/>
    <x v="51"/>
    <x v="105"/>
    <n v="289092"/>
    <s v="CESAR ORLANDO MARTINEZ ABAL"/>
    <n v="30"/>
    <x v="0"/>
    <n v="339"/>
    <x v="14"/>
    <m/>
    <x v="0"/>
    <m/>
    <m/>
    <m/>
    <m/>
    <m/>
    <m/>
    <m/>
    <m/>
    <m/>
    <m/>
    <d v="2025-03-03T00:00:00"/>
    <d v="2025-03-03T00:00:00"/>
    <m/>
    <x v="19"/>
    <m/>
    <m/>
    <n v="8503"/>
    <n v="77026"/>
    <s v="•_x0009_Se programó una reunión con el equipo de proyectos de Canella y el equipo outsourcing de REDECON con el objetivo de revisar los avances del proyecto general del sistema WMS."/>
    <x v="35"/>
    <n v="2.5"/>
    <d v="1899-12-30T02:30:00"/>
    <d v="2025-03-11T00:00:00"/>
  </r>
  <r>
    <n v="8503"/>
    <x v="51"/>
    <x v="105"/>
    <n v="289092"/>
    <s v="CESAR ORLANDO MARTINEZ ABAL"/>
    <n v="30"/>
    <x v="0"/>
    <n v="339"/>
    <x v="14"/>
    <m/>
    <x v="0"/>
    <m/>
    <m/>
    <m/>
    <m/>
    <m/>
    <m/>
    <m/>
    <m/>
    <m/>
    <m/>
    <d v="2025-03-03T00:00:00"/>
    <d v="2025-03-03T00:00:00"/>
    <m/>
    <x v="19"/>
    <m/>
    <m/>
    <n v="8503"/>
    <n v="77025"/>
    <s v="Se realizaron correcciones en los LPS para garantizar que no aparezcan en minúsculas al momento de ser enviados al sistema WMS."/>
    <x v="35"/>
    <n v="5.5"/>
    <d v="1899-12-30T05:30:00"/>
    <d v="2025-03-11T00:00:00"/>
  </r>
  <r>
    <n v="8503"/>
    <x v="51"/>
    <x v="105"/>
    <n v="289092"/>
    <s v="CESAR ORLANDO MARTINEZ ABAL"/>
    <n v="30"/>
    <x v="0"/>
    <n v="339"/>
    <x v="14"/>
    <m/>
    <x v="0"/>
    <m/>
    <m/>
    <m/>
    <m/>
    <m/>
    <m/>
    <m/>
    <m/>
    <m/>
    <m/>
    <d v="2025-03-03T00:00:00"/>
    <d v="2025-03-03T00:00:00"/>
    <m/>
    <x v="19"/>
    <m/>
    <m/>
    <n v="8503"/>
    <n v="77024"/>
    <s v="Se modificó una validación en el transaction de DM_ARTICULOS para que los usuarios no tengan inconveniente al momento de asignar bodega a los artículos, pero no debe dejarlos modificar la descripción de este mismo."/>
    <x v="6"/>
    <n v="5"/>
    <d v="1899-12-30T05:00:00"/>
    <d v="2025-03-11T00:00:00"/>
  </r>
  <r>
    <n v="8503"/>
    <x v="51"/>
    <x v="105"/>
    <n v="289092"/>
    <s v="CESAR ORLANDO MARTINEZ ABAL"/>
    <n v="30"/>
    <x v="0"/>
    <n v="339"/>
    <x v="14"/>
    <m/>
    <x v="0"/>
    <m/>
    <m/>
    <m/>
    <m/>
    <m/>
    <m/>
    <m/>
    <m/>
    <m/>
    <m/>
    <d v="2025-03-03T00:00:00"/>
    <d v="2025-03-03T00:00:00"/>
    <m/>
    <x v="19"/>
    <m/>
    <m/>
    <n v="8503"/>
    <n v="77023"/>
    <s v="•_x0009_Se efectuó la creación de la nueva bodega PD030 en el sistema WMS."/>
    <x v="6"/>
    <n v="3"/>
    <d v="1899-12-30T03:00:00"/>
    <d v="2025-03-11T00:00:00"/>
  </r>
  <r>
    <n v="8503"/>
    <x v="51"/>
    <x v="105"/>
    <n v="289092"/>
    <s v="CESAR ORLANDO MARTINEZ ABAL"/>
    <n v="30"/>
    <x v="0"/>
    <n v="339"/>
    <x v="14"/>
    <m/>
    <x v="0"/>
    <m/>
    <m/>
    <m/>
    <m/>
    <m/>
    <m/>
    <m/>
    <m/>
    <m/>
    <m/>
    <d v="2025-03-03T00:00:00"/>
    <d v="2025-03-03T00:00:00"/>
    <m/>
    <x v="19"/>
    <m/>
    <m/>
    <n v="8503"/>
    <n v="77028"/>
    <s v="Se le dio acceso al equipo al servidor 64"/>
    <x v="36"/>
    <n v="1"/>
    <d v="1899-12-30T01:00:00"/>
    <d v="2025-03-11T00:00:00"/>
  </r>
  <r>
    <n v="8503"/>
    <x v="51"/>
    <x v="105"/>
    <n v="289092"/>
    <s v="CESAR ORLANDO MARTINEZ ABAL"/>
    <n v="30"/>
    <x v="0"/>
    <n v="339"/>
    <x v="14"/>
    <m/>
    <x v="0"/>
    <m/>
    <m/>
    <m/>
    <m/>
    <m/>
    <m/>
    <m/>
    <m/>
    <m/>
    <m/>
    <d v="2025-03-03T00:00:00"/>
    <d v="2025-03-03T00:00:00"/>
    <m/>
    <x v="19"/>
    <m/>
    <m/>
    <n v="8503"/>
    <n v="77022"/>
    <s v="Se le dio acceso a 4 usuarios a la bodega PM999 de Refacturación"/>
    <x v="36"/>
    <n v="2"/>
    <d v="1899-12-30T02:00:00"/>
    <d v="2025-03-11T00:00:00"/>
  </r>
  <r>
    <n v="8503"/>
    <x v="51"/>
    <x v="105"/>
    <n v="289092"/>
    <s v="CESAR ORLANDO MARTINEZ ABAL"/>
    <n v="30"/>
    <x v="0"/>
    <n v="339"/>
    <x v="14"/>
    <m/>
    <x v="0"/>
    <m/>
    <m/>
    <m/>
    <m/>
    <m/>
    <m/>
    <m/>
    <m/>
    <m/>
    <m/>
    <d v="2025-03-03T00:00:00"/>
    <d v="2025-03-03T00:00:00"/>
    <m/>
    <x v="19"/>
    <m/>
    <m/>
    <n v="8503"/>
    <n v="77021"/>
    <s v="Se le dio acceso al equipo al servidor 58"/>
    <x v="36"/>
    <n v="1"/>
    <d v="1899-12-30T01:00:00"/>
    <d v="2025-03-11T00:00:00"/>
  </r>
  <r>
    <n v="8503"/>
    <x v="51"/>
    <x v="105"/>
    <n v="289092"/>
    <s v="CESAR ORLANDO MARTINEZ ABAL"/>
    <n v="30"/>
    <x v="0"/>
    <n v="339"/>
    <x v="14"/>
    <m/>
    <x v="0"/>
    <m/>
    <m/>
    <m/>
    <m/>
    <m/>
    <m/>
    <m/>
    <m/>
    <m/>
    <m/>
    <d v="2025-03-03T00:00:00"/>
    <d v="2025-03-03T00:00:00"/>
    <m/>
    <x v="19"/>
    <m/>
    <m/>
    <n v="8503"/>
    <n v="77020"/>
    <s v="•_x0009_Se depuro el código de un transaction que no permitía el correcto funcionamiento de la orden de traslados porque el campo almacén destino y el detalle de almacén destino no eran los mismos según la validación."/>
    <x v="36"/>
    <n v="4"/>
    <d v="1899-12-30T04:00:00"/>
    <d v="2025-03-11T00:00:00"/>
  </r>
  <r>
    <n v="8503"/>
    <x v="51"/>
    <x v="105"/>
    <n v="289092"/>
    <s v="CESAR ORLANDO MARTINEZ ABAL"/>
    <n v="30"/>
    <x v="0"/>
    <n v="339"/>
    <x v="14"/>
    <m/>
    <x v="0"/>
    <m/>
    <m/>
    <m/>
    <m/>
    <m/>
    <m/>
    <m/>
    <m/>
    <m/>
    <m/>
    <d v="2025-03-03T00:00:00"/>
    <d v="2025-03-03T00:00:00"/>
    <m/>
    <x v="19"/>
    <m/>
    <m/>
    <n v="8503"/>
    <n v="77019"/>
    <s v="Se realizó la consulta correspondiente ya que tenian que verse reflejadas las OF y OD de la misma forma en WMS"/>
    <x v="29"/>
    <n v="5"/>
    <d v="1899-12-30T05:00:00"/>
    <d v="2025-03-11T00:00:00"/>
  </r>
  <r>
    <n v="8503"/>
    <x v="51"/>
    <x v="105"/>
    <n v="289092"/>
    <s v="CESAR ORLANDO MARTINEZ ABAL"/>
    <n v="30"/>
    <x v="0"/>
    <n v="339"/>
    <x v="14"/>
    <m/>
    <x v="0"/>
    <m/>
    <m/>
    <m/>
    <m/>
    <m/>
    <m/>
    <m/>
    <m/>
    <m/>
    <m/>
    <d v="2025-03-03T00:00:00"/>
    <d v="2025-03-03T00:00:00"/>
    <m/>
    <x v="19"/>
    <m/>
    <m/>
    <n v="8503"/>
    <n v="77018"/>
    <s v="Se realizó la consulta en el Query Manager para SAP"/>
    <x v="29"/>
    <n v="4"/>
    <d v="1899-12-30T04:00:00"/>
    <d v="2025-03-11T00:00:00"/>
  </r>
  <r>
    <n v="8503"/>
    <x v="51"/>
    <x v="105"/>
    <n v="289092"/>
    <s v="CESAR ORLANDO MARTINEZ ABAL"/>
    <n v="30"/>
    <x v="0"/>
    <n v="339"/>
    <x v="14"/>
    <m/>
    <x v="0"/>
    <m/>
    <m/>
    <m/>
    <m/>
    <m/>
    <m/>
    <m/>
    <m/>
    <m/>
    <m/>
    <d v="2025-03-03T00:00:00"/>
    <d v="2025-03-03T00:00:00"/>
    <m/>
    <x v="19"/>
    <m/>
    <m/>
    <n v="8503"/>
    <n v="77017"/>
    <s v="Se empezo con la creación de dos reportes fundamentales para Esteban"/>
    <x v="8"/>
    <n v="9"/>
    <d v="1899-12-30T09:00:00"/>
    <d v="2025-03-11T00:00:00"/>
  </r>
  <r>
    <n v="8503"/>
    <x v="51"/>
    <x v="105"/>
    <n v="289092"/>
    <s v="CESAR ORLANDO MARTINEZ ABAL"/>
    <n v="30"/>
    <x v="0"/>
    <n v="339"/>
    <x v="14"/>
    <m/>
    <x v="0"/>
    <m/>
    <m/>
    <m/>
    <m/>
    <m/>
    <m/>
    <m/>
    <m/>
    <m/>
    <m/>
    <d v="2025-03-03T00:00:00"/>
    <d v="2025-03-03T00:00:00"/>
    <m/>
    <x v="19"/>
    <m/>
    <m/>
    <n v="8503"/>
    <n v="77016"/>
    <s v="Se me capacito sobre el software de eWMS"/>
    <x v="9"/>
    <n v="9"/>
    <d v="1899-12-30T09:00:00"/>
    <d v="2025-03-11T00:00:00"/>
  </r>
  <r>
    <n v="8503"/>
    <x v="51"/>
    <x v="105"/>
    <n v="289092"/>
    <s v="CESAR ORLANDO MARTINEZ ABAL"/>
    <n v="30"/>
    <x v="0"/>
    <n v="339"/>
    <x v="14"/>
    <m/>
    <x v="0"/>
    <m/>
    <m/>
    <m/>
    <m/>
    <m/>
    <m/>
    <m/>
    <m/>
    <m/>
    <m/>
    <d v="2025-03-03T00:00:00"/>
    <d v="2025-03-03T00:00:00"/>
    <m/>
    <x v="19"/>
    <m/>
    <m/>
    <n v="8503"/>
    <n v="77015"/>
    <s v="Se me capacito sobre los temas de ensamble y bases de datos"/>
    <x v="10"/>
    <n v="9"/>
    <d v="1899-12-30T09:00:00"/>
    <d v="2025-03-11T00:00:00"/>
  </r>
  <r>
    <n v="8503"/>
    <x v="51"/>
    <x v="105"/>
    <n v="289092"/>
    <s v="CESAR ORLANDO MARTINEZ ABAL"/>
    <n v="30"/>
    <x v="0"/>
    <n v="339"/>
    <x v="14"/>
    <m/>
    <x v="0"/>
    <m/>
    <m/>
    <m/>
    <m/>
    <m/>
    <m/>
    <m/>
    <m/>
    <m/>
    <m/>
    <d v="2025-03-03T00:00:00"/>
    <d v="2025-03-03T00:00:00"/>
    <m/>
    <x v="19"/>
    <m/>
    <m/>
    <n v="8503"/>
    <n v="77014"/>
    <s v="Se me capacito sobre los temas de soporte y servidores del proyecto"/>
    <x v="11"/>
    <n v="9"/>
    <d v="1899-12-30T09:00:00"/>
    <d v="2025-03-11T00:00:00"/>
  </r>
  <r>
    <n v="8449"/>
    <x v="51"/>
    <x v="106"/>
    <n v="247791"/>
    <s v="ASTRID VICTORIA PEÑA DIEGUEZ"/>
    <n v="28"/>
    <x v="2"/>
    <n v="3201"/>
    <x v="12"/>
    <s v="x"/>
    <x v="0"/>
    <n v="2"/>
    <s v="PROCESO"/>
    <n v="2"/>
    <s v="MEDIA"/>
    <n v="2"/>
    <n v="2"/>
    <n v="2"/>
    <n v="2"/>
    <n v="1"/>
    <s v="PEQUEÑO"/>
    <d v="2025-02-17T00:00:00"/>
    <m/>
    <m/>
    <x v="19"/>
    <m/>
    <m/>
    <m/>
    <m/>
    <m/>
    <x v="5"/>
    <m/>
    <m/>
    <m/>
  </r>
  <r>
    <n v="8537"/>
    <x v="51"/>
    <x v="107"/>
    <n v="289036"/>
    <s v="MADELYN SUSANA BRAN OLIVAREZ"/>
    <n v="30"/>
    <x v="0"/>
    <n v="2767"/>
    <x v="7"/>
    <s v="x"/>
    <x v="1"/>
    <n v="4"/>
    <s v="SOPORTE/CAPACITACION"/>
    <n v="2"/>
    <s v="MEDIA"/>
    <n v="2"/>
    <n v="2"/>
    <n v="2"/>
    <n v="2"/>
    <n v="2"/>
    <s v="MEDIANO"/>
    <d v="2025-03-03T00:00:00"/>
    <d v="2025-03-03T00:00:00"/>
    <d v="2025-03-31T00:00:00"/>
    <x v="19"/>
    <m/>
    <s v="&lt;p&gt;Problemas con los flujos de los bancos&amp;nbsp; y los estados de cuenta&lt;/p&gt;"/>
    <n v="8537"/>
    <n v="77061"/>
    <s v="Problemas con Power automate Desktop no carga los bancos"/>
    <x v="28"/>
    <n v="4"/>
    <d v="1899-12-30T04:00:00"/>
    <d v="2025-03-11T00:00:00"/>
  </r>
  <r>
    <n v="8537"/>
    <x v="51"/>
    <x v="107"/>
    <n v="289036"/>
    <s v="MADELYN SUSANA BRAN OLIVAREZ"/>
    <n v="30"/>
    <x v="0"/>
    <n v="2767"/>
    <x v="7"/>
    <m/>
    <x v="1"/>
    <n v="4"/>
    <s v="SOPORTE/CAPACITACION"/>
    <n v="2"/>
    <s v="MEDIA"/>
    <n v="2"/>
    <n v="2"/>
    <n v="2"/>
    <n v="2"/>
    <n v="2"/>
    <s v="MEDIANO"/>
    <d v="2025-03-03T00:00:00"/>
    <d v="2025-03-03T00:00:00"/>
    <d v="2025-03-31T00:00:00"/>
    <x v="19"/>
    <m/>
    <s v="&lt;p&gt;Problemas con los flujos de los bancos&amp;nbsp; y los estados de cuenta&lt;/p&gt;"/>
    <n v="8537"/>
    <n v="76613"/>
    <s v="Problemas con Power automate Desktop no carga los bancos"/>
    <x v="37"/>
    <n v="4"/>
    <d v="1899-12-30T04:00:00"/>
    <d v="2025-03-08T00:00:00"/>
  </r>
  <r>
    <n v="8537"/>
    <x v="51"/>
    <x v="107"/>
    <n v="289036"/>
    <s v="MADELYN SUSANA BRAN OLIVAREZ"/>
    <n v="30"/>
    <x v="0"/>
    <n v="2767"/>
    <x v="7"/>
    <m/>
    <x v="1"/>
    <n v="4"/>
    <s v="SOPORTE/CAPACITACION"/>
    <n v="2"/>
    <s v="MEDIA"/>
    <n v="2"/>
    <n v="2"/>
    <n v="2"/>
    <n v="2"/>
    <n v="2"/>
    <s v="MEDIANO"/>
    <d v="2025-03-03T00:00:00"/>
    <d v="2025-03-03T00:00:00"/>
    <d v="2025-03-31T00:00:00"/>
    <x v="19"/>
    <m/>
    <s v="&lt;p&gt;Problemas con los flujos de los bancos&amp;nbsp; y los estados de cuenta&lt;/p&gt;"/>
    <n v="8537"/>
    <n v="76246"/>
    <s v="Problemas con lso estados de cuenta Banrural"/>
    <x v="38"/>
    <n v="1"/>
    <d v="1899-12-30T01:00:00"/>
    <d v="2025-03-07T00:00:00"/>
  </r>
  <r>
    <n v="8537"/>
    <x v="51"/>
    <x v="107"/>
    <n v="289036"/>
    <s v="MADELYN SUSANA BRAN OLIVAREZ"/>
    <n v="30"/>
    <x v="0"/>
    <n v="2767"/>
    <x v="7"/>
    <m/>
    <x v="1"/>
    <n v="4"/>
    <s v="SOPORTE/CAPACITACION"/>
    <n v="2"/>
    <s v="MEDIA"/>
    <n v="2"/>
    <n v="2"/>
    <n v="2"/>
    <n v="2"/>
    <n v="2"/>
    <s v="MEDIANO"/>
    <d v="2025-03-03T00:00:00"/>
    <d v="2025-03-03T00:00:00"/>
    <d v="2025-03-31T00:00:00"/>
    <x v="19"/>
    <m/>
    <s v="&lt;p&gt;Problemas con los flujos de los bancos&amp;nbsp; y los estados de cuenta&lt;/p&gt;"/>
    <n v="8537"/>
    <n v="76245"/>
    <s v="Problemas con lso estados de cuenta BI"/>
    <x v="38"/>
    <n v="1"/>
    <d v="1899-12-30T01:00:00"/>
    <d v="2025-03-07T00:00:00"/>
  </r>
  <r>
    <n v="8537"/>
    <x v="51"/>
    <x v="107"/>
    <n v="289036"/>
    <s v="MADELYN SUSANA BRAN OLIVAREZ"/>
    <n v="30"/>
    <x v="0"/>
    <n v="2767"/>
    <x v="7"/>
    <m/>
    <x v="1"/>
    <n v="4"/>
    <s v="SOPORTE/CAPACITACION"/>
    <n v="2"/>
    <s v="MEDIA"/>
    <n v="2"/>
    <n v="2"/>
    <n v="2"/>
    <n v="2"/>
    <n v="2"/>
    <s v="MEDIANO"/>
    <d v="2025-03-03T00:00:00"/>
    <d v="2025-03-03T00:00:00"/>
    <d v="2025-03-31T00:00:00"/>
    <x v="19"/>
    <m/>
    <s v="&lt;p&gt;Problemas con los flujos de los bancos&amp;nbsp; y los estados de cuenta&lt;/p&gt;"/>
    <n v="8537"/>
    <n v="76238"/>
    <s v="Problemas con los flujos de los bancos"/>
    <x v="36"/>
    <n v="4"/>
    <d v="1899-12-30T04:00:00"/>
    <d v="2025-03-07T00:00:00"/>
  </r>
  <r>
    <n v="8540"/>
    <x v="51"/>
    <x v="108"/>
    <m/>
    <m/>
    <n v="22"/>
    <x v="4"/>
    <n v="3201"/>
    <x v="12"/>
    <s v="x"/>
    <x v="0"/>
    <m/>
    <m/>
    <m/>
    <m/>
    <m/>
    <m/>
    <m/>
    <m/>
    <m/>
    <m/>
    <d v="2025-03-03T00:00:00"/>
    <m/>
    <m/>
    <x v="19"/>
    <d v="2025-03-31T00:00:00"/>
    <m/>
    <n v="8540"/>
    <n v="76706"/>
    <s v="Soporte por nueva clasificación de persona, actualización de SP, sincronización de Data Source y validación de cambios"/>
    <x v="38"/>
    <n v="1"/>
    <d v="1899-12-30T01:00:00"/>
    <d v="2025-03-10T00:00:00"/>
  </r>
  <r>
    <n v="8540"/>
    <x v="51"/>
    <x v="108"/>
    <m/>
    <m/>
    <n v="22"/>
    <x v="4"/>
    <n v="3201"/>
    <x v="12"/>
    <m/>
    <x v="0"/>
    <m/>
    <m/>
    <m/>
    <m/>
    <m/>
    <m/>
    <m/>
    <m/>
    <m/>
    <m/>
    <d v="2025-03-03T00:00:00"/>
    <m/>
    <m/>
    <x v="19"/>
    <d v="2025-03-31T00:00:00"/>
    <m/>
    <n v="8540"/>
    <n v="76705"/>
    <s v="Cambio de usuario y reasignación por reemplazo de vendedor"/>
    <x v="6"/>
    <n v="0.5"/>
    <d v="1899-12-30T00:30:00"/>
    <d v="2025-03-10T00:00:00"/>
  </r>
  <r>
    <n v="8540"/>
    <x v="51"/>
    <x v="108"/>
    <m/>
    <m/>
    <n v="22"/>
    <x v="4"/>
    <n v="3201"/>
    <x v="12"/>
    <m/>
    <x v="0"/>
    <m/>
    <m/>
    <m/>
    <m/>
    <m/>
    <m/>
    <m/>
    <m/>
    <m/>
    <m/>
    <d v="2025-03-03T00:00:00"/>
    <m/>
    <m/>
    <x v="19"/>
    <d v="2025-03-31T00:00:00"/>
    <m/>
    <n v="8540"/>
    <n v="76704"/>
    <s v="Soporte y validación por facturas de Distribuidores"/>
    <x v="29"/>
    <n v="0.75"/>
    <d v="1899-12-30T00:45:00"/>
    <d v="2025-03-10T00:00:00"/>
  </r>
  <r>
    <n v="8246"/>
    <x v="60"/>
    <x v="109"/>
    <n v="247888"/>
    <s v="JUAN MANUEL SOTO GUTIERREZ"/>
    <n v="30"/>
    <x v="0"/>
    <n v="3198"/>
    <x v="1"/>
    <s v="x"/>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6803"/>
    <s v="Pruebas de vista completa y ajuste de errores"/>
    <x v="35"/>
    <n v="9"/>
    <d v="1899-12-30T09:00:00"/>
    <d v="2025-03-10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6802"/>
    <s v="Ajsute de sp para la aprobacion y anulacion de contratos con ajuste de vista hacia el vendedor"/>
    <x v="6"/>
    <n v="9"/>
    <d v="1899-12-30T09:00:00"/>
    <d v="2025-03-10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6805"/>
    <s v="Ajuste de sp para mostrar el listado y crearde Solicitudes"/>
    <x v="36"/>
    <n v="9"/>
    <d v="1899-12-30T09:00:00"/>
    <d v="2025-03-10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6748"/>
    <s v="Se hizo correcciones al SISCON de prueba del servidor 128.1.200.64 ya que dio unos errores en diferentes módulos de dicho sistema"/>
    <x v="36"/>
    <n v="8"/>
    <d v="1899-12-30T08:00:00"/>
    <d v="2025-03-10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6744"/>
    <s v="Se hizo pruebas para validar el correcto funcionamiento en el ambiente de prueba de SISCON en el servidor 128.1.200.64"/>
    <x v="29"/>
    <n v="8"/>
    <d v="1899-12-30T08:00:00"/>
    <d v="2025-03-10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4820"/>
    <s v="Se levanto el SISCON en un ambiente de prueba al servidor 128.1.200.64"/>
    <x v="7"/>
    <n v="4"/>
    <d v="1899-12-30T04:00:00"/>
    <d v="2025-03-01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4579"/>
    <s v="Se realizaron las correcciones en los cálculos solicitadas durante la reunión con Juan Manuel."/>
    <x v="8"/>
    <n v="8"/>
    <d v="1899-12-30T08:00:00"/>
    <d v="2025-02-28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3991"/>
    <s v="/"/>
    <x v="9"/>
    <n v="0"/>
    <d v="1899-12-30T00:00:00"/>
    <d v="2025-02-27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3990"/>
    <s v="Realizacion de Backup de cada SP de SISCON y Backup de BD"/>
    <x v="10"/>
    <n v="9"/>
    <d v="1899-12-30T09:00:00"/>
    <d v="2025-02-27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3388"/>
    <s v="Corrección de sp y estructura de base de datos para cotizaciones"/>
    <x v="11"/>
    <n v="5"/>
    <d v="1899-12-30T05:00:00"/>
    <d v="2025-02-25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3387"/>
    <s v="Correcciones de armado de equipo"/>
    <x v="12"/>
    <n v="9"/>
    <d v="1899-12-30T09:00:00"/>
    <d v="2025-02-25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2715"/>
    <s v="Correcciones de errores en la pantalla de cotizaciones"/>
    <x v="0"/>
    <n v="4"/>
    <d v="1899-12-30T04:00:00"/>
    <d v="2025-02-21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2377"/>
    <s v="Se realizan correcciones que reportaron soluciones digitales y se suben al servidor de pruebas."/>
    <x v="1"/>
    <n v="5"/>
    <d v="1899-12-30T05:00:00"/>
    <d v="2025-02-21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2549"/>
    <s v="Se agrego cambios al formulario, para su funcionamiento y validaciones también"/>
    <x v="2"/>
    <n v="8"/>
    <d v="1899-12-30T08:00:00"/>
    <d v="2025-02-21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2014"/>
    <s v="Correcciones de sp para validar los calculos y validaciones de vistas de vendedores"/>
    <x v="2"/>
    <n v="6.8333333333333304"/>
    <d v="1899-12-30T06:50:00"/>
    <d v="2025-02-20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1686"/>
    <s v="Presentación de la pantalla y realización de cambios para nueva funcionalidad de la cotización"/>
    <x v="3"/>
    <n v="9"/>
    <d v="1899-12-30T09:00:00"/>
    <d v="2025-02-19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1647"/>
    <s v="Elaborarion de SP como creacion de datos sobre el formulario para que los calculos en coberturas sean correctas"/>
    <x v="3"/>
    <n v="8.4166666666666607"/>
    <d v="1899-12-30T08:25:00"/>
    <d v="2025-02-18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1685"/>
    <s v="Restauración de la base de datos de SISCON a una mas reciente y crear lo SP para GESCON"/>
    <x v="13"/>
    <n v="9"/>
    <d v="1899-12-30T09:00:00"/>
    <d v="2025-02-19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1646"/>
    <s v="Modificacion de SP para la funcionalidad del formulario"/>
    <x v="13"/>
    <n v="8"/>
    <d v="1899-12-30T08:00:00"/>
    <d v="2025-02-18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0975"/>
    <s v="Se incorporó la funcionalidad para agregar, eliminar y descargar archivos en la cotización."/>
    <x v="14"/>
    <n v="8"/>
    <d v="1899-12-30T08:00:00"/>
    <d v="2025-02-15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0839"/>
    <s v="Creación de botones de cálculos de los botones a blanco y negro y color"/>
    <x v="14"/>
    <n v="8"/>
    <d v="1899-12-30T08:00:00"/>
    <d v="2025-02-14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0837"/>
    <s v="Creación de nuevos campos con funcionamiento completo en la vista de cotización"/>
    <x v="15"/>
    <n v="9"/>
    <d v="1899-12-30T09:00:00"/>
    <d v="2025-02-14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0215"/>
    <s v="Modificación de la tabla de Consulta de Cotización: se eliminaron columnas existentes y se añadieron nuevas."/>
    <x v="15"/>
    <n v="8"/>
    <d v="1899-12-30T08:00:00"/>
    <d v="2025-02-13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0003"/>
    <s v="Creación de una tabla para visualizar los archivos cargados relacionados con la cotización."/>
    <x v="16"/>
    <n v="8"/>
    <d v="1899-12-30T08:00:00"/>
    <d v="2025-02-13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69994"/>
    <s v="Ajuste de calculos y creacion de nuevos campos para el formulario y actualizacion de cotizacion."/>
    <x v="16"/>
    <n v="9"/>
    <d v="1899-12-30T09:00:00"/>
    <d v="2025-02-13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0002"/>
    <s v="Funcionalidad de agregar coberturas a la cotización como también eliminarlas"/>
    <x v="17"/>
    <n v="8"/>
    <d v="1899-12-30T08:00:00"/>
    <d v="2025-02-13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69993"/>
    <s v="Actualización de validaciones de campos en el modal de agregación de equipos, arreglos de bug"/>
    <x v="17"/>
    <n v="9"/>
    <d v="1899-12-30T09:00:00"/>
    <d v="2025-02-13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70001"/>
    <s v="Validacion en la interaccion de los botones de Modificar, Copiar, Contrato, etc., Esto dependiendo del estado que valla la cotización"/>
    <x v="30"/>
    <n v="8"/>
    <d v="1899-12-30T08:00:00"/>
    <d v="2025-02-13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69574"/>
    <s v="Se realizo los ajuste de los cálculos para la vista de la cotización"/>
    <x v="30"/>
    <n v="9"/>
    <d v="1899-12-30T09:00:00"/>
    <d v="2025-02-11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68903"/>
    <s v="/"/>
    <x v="4"/>
    <n v="0"/>
    <d v="1899-12-30T00:00:00"/>
    <d v="2025-02-07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68885"/>
    <s v="Se realiza la creación de SP para los cálculos de coberturas de las cotizaciones"/>
    <x v="4"/>
    <n v="9"/>
    <d v="1899-12-30T09:00:00"/>
    <d v="2025-02-07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68837"/>
    <s v="Elaboración de la funcionalidad de los botones de la cotizacion, como aprobación, cambios, aprobar, contrato etc."/>
    <x v="4"/>
    <n v="9"/>
    <d v="1899-12-30T09:00:00"/>
    <d v="2025-02-07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68863"/>
    <s v="Se arreglo problemas de la carga de la vista para la solicitud a cotizacion"/>
    <x v="18"/>
    <n v="9"/>
    <d v="1899-12-30T09:00:00"/>
    <d v="2025-02-07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68836"/>
    <s v="Elaboración del diseño de los calculos como tambiern los botones de la cotizacion"/>
    <x v="18"/>
    <n v="9"/>
    <d v="1899-12-30T09:00:00"/>
    <d v="2025-02-07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68414"/>
    <s v="/Elaboración del diseño de los calculos como tambiern los botones de la cotizacion"/>
    <x v="19"/>
    <n v="9"/>
    <d v="1899-12-30T09:00:00"/>
    <d v="2025-02-07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68065"/>
    <s v="Se realizo una presentación para el día 06/02/2024 sobre el proyecto SISCON"/>
    <x v="19"/>
    <n v="9"/>
    <d v="1899-12-30T09:00:00"/>
    <d v="2025-02-05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68854"/>
    <s v="Se configura la vista para mostrar los equipos asignados"/>
    <x v="25"/>
    <n v="9"/>
    <d v="1899-12-30T09:00:00"/>
    <d v="2025-02-07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68829"/>
    <s v="Elaboración del diseño del formulario del detalle de la cotización"/>
    <x v="25"/>
    <n v="9"/>
    <d v="1899-12-30T09:00:00"/>
    <d v="2025-02-07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68828"/>
    <s v="Elaboración de funcionalidad del detalle de la cotización"/>
    <x v="26"/>
    <n v="9"/>
    <d v="1899-12-30T09:00:00"/>
    <d v="2025-02-07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67467"/>
    <s v="/"/>
    <x v="26"/>
    <n v="9"/>
    <d v="1899-12-30T09:00:00"/>
    <d v="2025-02-03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68826"/>
    <s v="Elaboración de funcionalidad de tablas"/>
    <x v="34"/>
    <n v="9"/>
    <d v="1899-12-30T09:00:00"/>
    <d v="2025-02-07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67468"/>
    <s v="/"/>
    <x v="34"/>
    <n v="9"/>
    <d v="1899-12-30T09:00:00"/>
    <d v="2025-02-03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68818"/>
    <s v="Elaboracion del diseño del formulario del detalle de la solicitud"/>
    <x v="31"/>
    <n v="9"/>
    <d v="1899-12-30T09:00:00"/>
    <d v="2025-02-07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67469"/>
    <s v="/"/>
    <x v="31"/>
    <n v="9"/>
    <d v="1899-12-30T09:00:00"/>
    <d v="2025-02-03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68817"/>
    <s v="Elaboracion de funcionalidad del detalle de la solicitud"/>
    <x v="20"/>
    <n v="9"/>
    <d v="1899-12-30T09:00:00"/>
    <d v="2025-02-07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67470"/>
    <s v="/"/>
    <x v="20"/>
    <n v="9"/>
    <d v="1899-12-30T09:00:00"/>
    <d v="2025-02-03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68816"/>
    <s v="Elaboración de funcionalidad de tablas"/>
    <x v="21"/>
    <n v="9"/>
    <d v="1899-12-30T09:00:00"/>
    <d v="2025-02-07T00:00:00"/>
  </r>
  <r>
    <n v="8246"/>
    <x v="60"/>
    <x v="109"/>
    <n v="247888"/>
    <s v="JUAN MANUEL SOTO GUTIERREZ"/>
    <n v="30"/>
    <x v="0"/>
    <n v="3198"/>
    <x v="1"/>
    <m/>
    <x v="0"/>
    <m/>
    <m/>
    <m/>
    <m/>
    <n v="1"/>
    <n v="1"/>
    <n v="1"/>
    <n v="1"/>
    <m/>
    <m/>
    <d v="2025-01-01T00:00:00"/>
    <d v="1899-12-31T00:00:00"/>
    <d v="2025-10-31T00:00:00"/>
    <x v="32"/>
    <m/>
    <s v="&lt;p&gt; ** PROCESO Implementación y Renovación del nuevo Sistema de Contratos de Arrendamiento a una tecnología actualizada, revisión&amp;nbsp;y mejoras en los procesos, se agregara KPI y Gestión de las Cotizaciones, se cambiara nombre a la herramienta a GESCON **  ** &lt;/p&gt;"/>
    <n v="8246"/>
    <n v="65791"/>
    <s v="Ajuste de tamaño de columna de la lista."/>
    <x v="21"/>
    <n v="8"/>
    <d v="1899-12-30T08:00:00"/>
    <d v="2025-01-28T00:00:00"/>
  </r>
  <r>
    <n v="8250"/>
    <x v="61"/>
    <x v="110"/>
    <m/>
    <m/>
    <n v="21"/>
    <x v="3"/>
    <n v="3198"/>
    <x v="1"/>
    <s v="x"/>
    <x v="0"/>
    <m/>
    <m/>
    <m/>
    <m/>
    <n v="1"/>
    <n v="1"/>
    <n v="3"/>
    <n v="3"/>
    <m/>
    <m/>
    <d v="2025-01-01T00:00:00"/>
    <d v="1899-12-31T00:00:00"/>
    <d v="2025-02-28T00:00:00"/>
    <x v="5"/>
    <m/>
    <s v="&lt;p&gt; ** SOPORTE Mejoras en las interfaces API's SCONWEB/SAP Canella para mejorar los tiempos y estabilidad en las transacciones entre sistemas **  ** &lt;/p&gt;"/>
    <n v="8250"/>
    <n v="73390"/>
    <s v="Verificación de la api para crear llamada de servicio en sap"/>
    <x v="11"/>
    <n v="4"/>
    <d v="1899-12-30T04:00:00"/>
    <d v="2025-02-25T00:00:00"/>
  </r>
  <r>
    <n v="8250"/>
    <x v="61"/>
    <x v="110"/>
    <m/>
    <m/>
    <n v="21"/>
    <x v="3"/>
    <n v="3198"/>
    <x v="1"/>
    <m/>
    <x v="0"/>
    <m/>
    <m/>
    <m/>
    <m/>
    <n v="1"/>
    <n v="1"/>
    <n v="3"/>
    <n v="3"/>
    <m/>
    <m/>
    <d v="2025-01-01T00:00:00"/>
    <d v="1899-12-31T00:00:00"/>
    <d v="2025-02-28T00:00:00"/>
    <x v="5"/>
    <m/>
    <s v="&lt;p&gt; ** SOPORTE Mejoras en las interfaces API's SCONWEB/SAP Canella para mejorar los tiempos y estabilidad en las transacciones entre sistemas **  ** &lt;/p&gt;"/>
    <n v="8250"/>
    <n v="72376"/>
    <s v="Se amplia el Time Out del End Point de crear una llamada de servicio, y se realiza pruebas."/>
    <x v="1"/>
    <n v="4"/>
    <d v="1899-12-30T04:00:00"/>
    <d v="2025-02-21T00:00:00"/>
  </r>
  <r>
    <n v="8298"/>
    <x v="62"/>
    <x v="111"/>
    <n v="293171"/>
    <s v="GABRIEL EFRAIN MELENDEZ MARROQUIN"/>
    <n v="21"/>
    <x v="3"/>
    <n v="195"/>
    <x v="4"/>
    <s v="x"/>
    <x v="1"/>
    <m/>
    <m/>
    <m/>
    <m/>
    <n v="1"/>
    <n v="1"/>
    <n v="1"/>
    <n v="1"/>
    <m/>
    <m/>
    <d v="2025-01-01T00:00:00"/>
    <d v="1899-12-31T00:00:00"/>
    <d v="2025-02-14T00:00:00"/>
    <x v="16"/>
    <d v="2025-02-12T00:00:00"/>
    <s v="&lt;p&gt; ** MEJORAS Traslado del módulo de pases de salida de SAP a STOD **  ** &lt;/p&gt;"/>
    <n v="8298"/>
    <n v="68082"/>
    <s v="Revisión de seguimiento de funcionalidad de pases de salida con Gabriel Meléndez"/>
    <x v="19"/>
    <n v="1.5"/>
    <d v="1899-12-30T01:30:00"/>
    <d v="2025-02-05T00:00:00"/>
  </r>
  <r>
    <n v="8258"/>
    <x v="63"/>
    <x v="112"/>
    <n v="247722"/>
    <s v="RICARDO ALFONSO ESCOBEDO DACARET"/>
    <n v="21"/>
    <x v="3"/>
    <n v="3202"/>
    <x v="3"/>
    <s v="x"/>
    <x v="1"/>
    <m/>
    <m/>
    <m/>
    <m/>
    <n v="1"/>
    <n v="1"/>
    <n v="2"/>
    <n v="2"/>
    <m/>
    <m/>
    <d v="2025-01-01T00:00:00"/>
    <d v="1899-12-31T00:00:00"/>
    <d v="2025-01-31T00:00:00"/>
    <x v="7"/>
    <m/>
    <s v="&lt;p&gt;Se debe enviar un correo a Edward Garcia notificando y adjuntando el PDF del pago recibido&amp;nbsp;cuando se crea en SAP Canella.&lt;/p&gt;"/>
    <n v="8258"/>
    <n v="72918"/>
    <s v="Implementación y configuración del programa en servidor"/>
    <x v="0"/>
    <n v="1.63333333333333"/>
    <d v="1899-12-30T01:38:00"/>
    <d v="2025-02-22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71706"/>
    <s v="Análisis e investigación para agregar el programa en el servidor"/>
    <x v="13"/>
    <n v="1.5"/>
    <d v="1899-12-30T01:30:00"/>
    <d v="2025-02-19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71704"/>
    <s v="Pruebas de correo con nuevo perfil de Correo Electrónico"/>
    <x v="13"/>
    <n v="0.5"/>
    <d v="1899-12-30T00:30:00"/>
    <d v="2025-02-19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71693"/>
    <s v="Creación, configuración perfil de Correo Electrónico"/>
    <x v="13"/>
    <n v="1"/>
    <d v="1899-12-30T01:00:00"/>
    <d v="2025-02-19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70866"/>
    <s v="Mini reunión para establecer posible puesta a Producción"/>
    <x v="14"/>
    <n v="0.5"/>
    <d v="1899-12-30T00:30:00"/>
    <d v="2025-02-14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70790"/>
    <s v="Agregada la variable que obtiene los correos de los clientes"/>
    <x v="14"/>
    <n v="0.5"/>
    <d v="1899-12-30T00:30:00"/>
    <d v="2025-02-14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70816"/>
    <s v="Monitoreo de creación correcta de PDF de recibos"/>
    <x v="15"/>
    <n v="1"/>
    <d v="1899-12-30T01:00:00"/>
    <d v="2025-02-14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70789"/>
    <s v="Validaciones de Series de Pago"/>
    <x v="15"/>
    <n v="0.5"/>
    <d v="1899-12-30T00:30:00"/>
    <d v="2025-02-14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70851"/>
    <s v="Modificación al SP que lleva control de los documentos creados en SAP"/>
    <x v="30"/>
    <n v="1"/>
    <d v="1899-12-30T01:00:00"/>
    <d v="2025-02-14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70849"/>
    <s v="Agregadas validaciones que permiten al programa funcionar de forma continua"/>
    <x v="30"/>
    <n v="1"/>
    <d v="1899-12-30T01:00:00"/>
    <d v="2025-02-14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70848"/>
    <s v="Prueba de estrés simulando varias creaciones en diferentes horarios"/>
    <x v="30"/>
    <n v="1.3333333333333299"/>
    <d v="1899-12-30T01:20:00"/>
    <d v="2025-02-14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70845"/>
    <s v="Modificación del código con el nuevo formato del Pago Recibido"/>
    <x v="30"/>
    <n v="3"/>
    <d v="1899-12-30T03:00:00"/>
    <d v="2025-02-14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69942"/>
    <s v="Pruebas con datos en producción"/>
    <x v="30"/>
    <n v="2.5"/>
    <d v="1899-12-30T02:30:00"/>
    <d v="2025-02-12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69113"/>
    <s v="Validación código para lectura de parámetros en los 3 reportes"/>
    <x v="42"/>
    <n v="4"/>
    <d v="1899-12-30T04:00:00"/>
    <d v="2025-02-08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69103"/>
    <s v="División de subreportes con reporte para validación al envío de parámetros"/>
    <x v="4"/>
    <n v="2"/>
    <d v="1899-12-30T02:00:00"/>
    <d v="2025-02-08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69102"/>
    <s v="Validaciones en código para verificar lectura de parámetros en subreportes"/>
    <x v="4"/>
    <n v="2"/>
    <d v="1899-12-30T02:00:00"/>
    <d v="2025-02-08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69101"/>
    <s v="Validaciones y envío de parámetros por C# a los 3 reportes"/>
    <x v="4"/>
    <n v="4"/>
    <d v="1899-12-30T04:00:00"/>
    <d v="2025-02-08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69100"/>
    <s v="Tercera reestructuración de código para envío y lectura de parámetros de subreportes"/>
    <x v="18"/>
    <n v="2"/>
    <d v="1899-12-30T02:00:00"/>
    <d v="2025-02-08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69099"/>
    <s v="Validación código para lectura de parámetros a subreportes"/>
    <x v="18"/>
    <n v="3"/>
    <d v="1899-12-30T03:00:00"/>
    <d v="2025-02-08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68024"/>
    <s v="Segunda reestructuración de código para envío y lectura de parámetros de subreportes"/>
    <x v="25"/>
    <n v="5"/>
    <d v="1899-12-30T05:00:00"/>
    <d v="2025-02-05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68023"/>
    <s v="Validación envío y lectura de parámetros a subreportes"/>
    <x v="26"/>
    <n v="8"/>
    <d v="1899-12-30T08:00:00"/>
    <d v="2025-02-05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68022"/>
    <s v="Implementación código para envío de parámetros en reporte y subreportes"/>
    <x v="43"/>
    <n v="4"/>
    <d v="1899-12-30T04:00:00"/>
    <d v="2025-02-05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68021"/>
    <s v="Reestructuración código para creación de PDF en C#"/>
    <x v="34"/>
    <n v="3"/>
    <d v="1899-12-30T03:00:00"/>
    <d v="2025-02-05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68020"/>
    <s v="Validación envío de parámetros hacia archivo .rpt en C#"/>
    <x v="34"/>
    <n v="3"/>
    <d v="1899-12-30T03:00:00"/>
    <d v="2025-02-05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68019"/>
    <s v="Validación envío de parámetros hacia subreportes del archivo .rpt en C#"/>
    <x v="34"/>
    <n v="2"/>
    <d v="1899-12-30T02:00:00"/>
    <d v="2025-02-05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68018"/>
    <s v="Código para Creación de PDF por archivo .rpt en C#"/>
    <x v="31"/>
    <n v="3"/>
    <d v="1899-12-30T03:00:00"/>
    <d v="2025-02-05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68017"/>
    <s v="Creación Procedimientos para Carga de datos"/>
    <x v="31"/>
    <n v="2"/>
    <d v="1899-12-30T02:00:00"/>
    <d v="2025-02-05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67238"/>
    <s v="Implementación de SP para el envío de correo mediante SQL"/>
    <x v="22"/>
    <n v="4"/>
    <d v="1899-12-30T04:00:00"/>
    <d v="2025-02-01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67237"/>
    <s v="Verificación en curso de errores en el código implementado para credenciales del servidor de correos"/>
    <x v="22"/>
    <n v="2"/>
    <d v="1899-12-30T02:00:00"/>
    <d v="2025-02-01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67236"/>
    <s v="Verificación en curso de errores en el código implementado para credenciales del servidor de correos"/>
    <x v="44"/>
    <n v="4"/>
    <d v="1899-12-30T04:00:00"/>
    <d v="2025-02-01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67235"/>
    <s v="Implementación de código en aplicación de C# .Net para envío de correos"/>
    <x v="41"/>
    <n v="4"/>
    <d v="1899-12-30T04:00:00"/>
    <d v="2025-02-01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67233"/>
    <s v="Investigación e implementación mediante .NET en consola"/>
    <x v="41"/>
    <n v="4"/>
    <d v="1899-12-30T04:00:00"/>
    <d v="2025-02-01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67232"/>
    <s v="Investigación e implementación mediante Power Shell"/>
    <x v="32"/>
    <n v="6"/>
    <d v="1899-12-30T06:00:00"/>
    <d v="2025-02-01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67231"/>
    <s v="Investigación e implementación mediante .NET en consola"/>
    <x v="32"/>
    <n v="2"/>
    <d v="1899-12-30T02:00:00"/>
    <d v="2025-02-01T00:00:00"/>
  </r>
  <r>
    <n v="8258"/>
    <x v="63"/>
    <x v="112"/>
    <n v="247722"/>
    <s v="RICARDO ALFONSO ESCOBEDO DACARET"/>
    <n v="21"/>
    <x v="3"/>
    <n v="3202"/>
    <x v="3"/>
    <m/>
    <x v="1"/>
    <m/>
    <m/>
    <m/>
    <m/>
    <n v="1"/>
    <n v="1"/>
    <n v="2"/>
    <n v="2"/>
    <m/>
    <m/>
    <d v="2025-01-01T00:00:00"/>
    <d v="1899-12-31T00:00:00"/>
    <d v="2025-01-31T00:00:00"/>
    <x v="7"/>
    <m/>
    <s v="&lt;p&gt;Se debe enviar un correo a Edward Garcia notificando y adjuntando el PDF del pago recibido&amp;nbsp;cuando se crea en SAP Canella.&lt;/p&gt;"/>
    <n v="8258"/>
    <n v="67230"/>
    <s v="Investigación e implementación mediante Python"/>
    <x v="33"/>
    <n v="4"/>
    <d v="1899-12-30T04:00:00"/>
    <d v="2025-02-01T00:00:00"/>
  </r>
  <r>
    <n v="8265"/>
    <x v="64"/>
    <x v="113"/>
    <m/>
    <m/>
    <n v="21"/>
    <x v="3"/>
    <n v="3203"/>
    <x v="8"/>
    <s v="x"/>
    <x v="0"/>
    <m/>
    <m/>
    <m/>
    <m/>
    <n v="1"/>
    <n v="1"/>
    <n v="2"/>
    <n v="2"/>
    <m/>
    <m/>
    <d v="2025-01-01T00:00:00"/>
    <d v="1899-12-31T00:00:00"/>
    <d v="2025-01-31T00:00:00"/>
    <x v="3"/>
    <m/>
    <m/>
    <m/>
    <m/>
    <m/>
    <x v="5"/>
    <m/>
    <m/>
    <m/>
  </r>
  <r>
    <n v="8293"/>
    <x v="65"/>
    <x v="114"/>
    <n v="247791"/>
    <s v="ASTRID VICTORIA PEÑA DIEGUEZ"/>
    <n v="27"/>
    <x v="5"/>
    <n v="3201"/>
    <x v="12"/>
    <s v="x"/>
    <x v="0"/>
    <m/>
    <m/>
    <m/>
    <m/>
    <n v="1"/>
    <n v="1"/>
    <n v="1"/>
    <n v="1"/>
    <m/>
    <m/>
    <d v="2025-01-01T00:00:00"/>
    <d v="1899-12-31T00:00:00"/>
    <d v="2025-04-30T00:00:00"/>
    <x v="4"/>
    <m/>
    <m/>
    <n v="8293"/>
    <n v="71265"/>
    <s v="Listado de objetos, proceso y horas para elaboración de DERCAS"/>
    <x v="13"/>
    <n v="4"/>
    <d v="1899-12-30T04:00:00"/>
    <d v="2025-02-17T00:00:00"/>
  </r>
  <r>
    <n v="8293"/>
    <x v="65"/>
    <x v="114"/>
    <n v="247791"/>
    <s v="ASTRID VICTORIA PEÑA DIEGUEZ"/>
    <n v="27"/>
    <x v="5"/>
    <n v="3201"/>
    <x v="12"/>
    <m/>
    <x v="0"/>
    <m/>
    <m/>
    <m/>
    <m/>
    <n v="1"/>
    <n v="1"/>
    <n v="1"/>
    <n v="1"/>
    <m/>
    <m/>
    <d v="2025-01-01T00:00:00"/>
    <d v="1899-12-31T00:00:00"/>
    <d v="2025-04-30T00:00:00"/>
    <x v="4"/>
    <m/>
    <m/>
    <n v="8293"/>
    <n v="70240"/>
    <s v="Análisis de tiempos y objetos para llevar a cabo el proceso"/>
    <x v="15"/>
    <n v="4"/>
    <d v="1899-12-30T04:00:00"/>
    <d v="2025-02-13T00:00:00"/>
  </r>
  <r>
    <n v="8293"/>
    <x v="65"/>
    <x v="114"/>
    <n v="247791"/>
    <s v="ASTRID VICTORIA PEÑA DIEGUEZ"/>
    <n v="27"/>
    <x v="5"/>
    <n v="3201"/>
    <x v="12"/>
    <m/>
    <x v="0"/>
    <m/>
    <m/>
    <m/>
    <m/>
    <n v="1"/>
    <n v="1"/>
    <n v="1"/>
    <n v="1"/>
    <m/>
    <m/>
    <d v="2025-01-01T00:00:00"/>
    <d v="1899-12-31T00:00:00"/>
    <d v="2025-04-30T00:00:00"/>
    <x v="4"/>
    <m/>
    <m/>
    <n v="8293"/>
    <n v="70118"/>
    <s v="/"/>
    <x v="16"/>
    <n v="3.75"/>
    <d v="1899-12-30T03:45:00"/>
    <d v="2025-02-13T00:00:00"/>
  </r>
  <r>
    <n v="8293"/>
    <x v="65"/>
    <x v="114"/>
    <n v="247791"/>
    <s v="ASTRID VICTORIA PEÑA DIEGUEZ"/>
    <n v="27"/>
    <x v="5"/>
    <n v="3201"/>
    <x v="12"/>
    <m/>
    <x v="0"/>
    <m/>
    <m/>
    <m/>
    <m/>
    <n v="1"/>
    <n v="1"/>
    <n v="1"/>
    <n v="1"/>
    <m/>
    <m/>
    <d v="2025-01-01T00:00:00"/>
    <d v="1899-12-31T00:00:00"/>
    <d v="2025-04-30T00:00:00"/>
    <x v="4"/>
    <m/>
    <m/>
    <n v="8293"/>
    <n v="69905"/>
    <s v="Actualización de etapas basada en prosa del proceso"/>
    <x v="17"/>
    <n v="3"/>
    <d v="1899-12-30T03:00:00"/>
    <d v="2025-02-12T00:00:00"/>
  </r>
  <r>
    <n v="8293"/>
    <x v="65"/>
    <x v="114"/>
    <n v="247791"/>
    <s v="ASTRID VICTORIA PEÑA DIEGUEZ"/>
    <n v="27"/>
    <x v="5"/>
    <n v="3201"/>
    <x v="12"/>
    <m/>
    <x v="0"/>
    <m/>
    <m/>
    <m/>
    <m/>
    <n v="1"/>
    <n v="1"/>
    <n v="1"/>
    <n v="1"/>
    <m/>
    <m/>
    <d v="2025-01-01T00:00:00"/>
    <d v="1899-12-31T00:00:00"/>
    <d v="2025-04-30T00:00:00"/>
    <x v="4"/>
    <m/>
    <m/>
    <n v="8293"/>
    <n v="69904"/>
    <s v="Modificación de diagramas de procesos con validaciones y actualización de prosa"/>
    <x v="30"/>
    <n v="5"/>
    <d v="1899-12-30T05:00:00"/>
    <d v="2025-02-12T00:00:00"/>
  </r>
  <r>
    <n v="8293"/>
    <x v="65"/>
    <x v="114"/>
    <n v="247791"/>
    <s v="ASTRID VICTORIA PEÑA DIEGUEZ"/>
    <n v="27"/>
    <x v="5"/>
    <n v="3201"/>
    <x v="12"/>
    <m/>
    <x v="0"/>
    <m/>
    <m/>
    <m/>
    <m/>
    <n v="1"/>
    <n v="1"/>
    <n v="1"/>
    <n v="1"/>
    <m/>
    <m/>
    <d v="2025-01-01T00:00:00"/>
    <d v="1899-12-31T00:00:00"/>
    <d v="2025-04-30T00:00:00"/>
    <x v="4"/>
    <m/>
    <m/>
    <n v="8293"/>
    <n v="68288"/>
    <s v="Elaboración de prosa con etapas del proceso"/>
    <x v="18"/>
    <n v="4"/>
    <d v="1899-12-30T04:00:00"/>
    <d v="2025-02-06T00:00:00"/>
  </r>
  <r>
    <n v="8293"/>
    <x v="65"/>
    <x v="114"/>
    <n v="247791"/>
    <s v="ASTRID VICTORIA PEÑA DIEGUEZ"/>
    <n v="27"/>
    <x v="5"/>
    <n v="3201"/>
    <x v="12"/>
    <m/>
    <x v="0"/>
    <m/>
    <m/>
    <m/>
    <m/>
    <n v="1"/>
    <n v="1"/>
    <n v="1"/>
    <n v="1"/>
    <m/>
    <m/>
    <d v="2025-01-01T00:00:00"/>
    <d v="1899-12-31T00:00:00"/>
    <d v="2025-04-30T00:00:00"/>
    <x v="4"/>
    <m/>
    <m/>
    <n v="8293"/>
    <n v="68279"/>
    <s v="Elaboración de prosa con etapas del proceso"/>
    <x v="19"/>
    <n v="6"/>
    <d v="1899-12-30T06:00:00"/>
    <d v="2025-02-06T00:00:00"/>
  </r>
  <r>
    <n v="8293"/>
    <x v="65"/>
    <x v="114"/>
    <n v="247791"/>
    <s v="ASTRID VICTORIA PEÑA DIEGUEZ"/>
    <n v="27"/>
    <x v="5"/>
    <n v="3201"/>
    <x v="12"/>
    <m/>
    <x v="0"/>
    <m/>
    <m/>
    <m/>
    <m/>
    <n v="1"/>
    <n v="1"/>
    <n v="1"/>
    <n v="1"/>
    <m/>
    <m/>
    <d v="2025-01-01T00:00:00"/>
    <d v="1899-12-31T00:00:00"/>
    <d v="2025-04-30T00:00:00"/>
    <x v="4"/>
    <m/>
    <m/>
    <n v="8293"/>
    <n v="68278"/>
    <s v="Elaboración de diagrama de proceso"/>
    <x v="26"/>
    <n v="3"/>
    <d v="1899-12-30T03:00:00"/>
    <d v="2025-02-06T00:00:00"/>
  </r>
  <r>
    <n v="8292"/>
    <x v="66"/>
    <x v="115"/>
    <n v="246895"/>
    <s v="CARLOS JOSE REMBERTO CONTRERAS FLORIAN"/>
    <n v="28"/>
    <x v="2"/>
    <n v="3201"/>
    <x v="12"/>
    <s v="x"/>
    <x v="0"/>
    <m/>
    <m/>
    <m/>
    <m/>
    <n v="1"/>
    <n v="1"/>
    <n v="2"/>
    <n v="2"/>
    <m/>
    <m/>
    <d v="2025-02-10T00:00:00"/>
    <d v="1899-12-31T00:00:00"/>
    <d v="2025-03-31T00:00:00"/>
    <x v="21"/>
    <m/>
    <m/>
    <m/>
    <m/>
    <m/>
    <x v="5"/>
    <m/>
    <m/>
    <m/>
  </r>
  <r>
    <n v="8291"/>
    <x v="67"/>
    <x v="116"/>
    <n v="247807"/>
    <s v="EDUARDO JACOBO ARA GÓMEZ"/>
    <n v="21"/>
    <x v="3"/>
    <n v="3201"/>
    <x v="12"/>
    <s v="x"/>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76710"/>
    <s v="Validación y pruebas de escenario para pruebas en Yamaha"/>
    <x v="29"/>
    <n v="4.25"/>
    <d v="1899-12-30T04:15:00"/>
    <d v="2025-03-10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75009"/>
    <s v="Validación de chasis pendientes de carga, por DUCAS e IPrimas faltantes y datos listos para carga masiva"/>
    <x v="29"/>
    <n v="4"/>
    <d v="1899-12-30T04:00:00"/>
    <d v="2025-03-03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74894"/>
    <s v="Validación de documentos de ventas y registro de etapa en Stod"/>
    <x v="8"/>
    <n v="4"/>
    <d v="1899-12-30T04:00:00"/>
    <d v="2025-03-03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74892"/>
    <s v="Carga de IPrimas y validación de DUCAS e IPrimas"/>
    <x v="8"/>
    <n v="4"/>
    <d v="1899-12-30T04:00:00"/>
    <d v="2025-03-03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74891"/>
    <s v="Carga de DUCAS"/>
    <x v="9"/>
    <n v="0.75"/>
    <d v="1899-12-30T00:45:00"/>
    <d v="2025-03-03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74889"/>
    <s v="Carga de expedientes de ventas"/>
    <x v="9"/>
    <n v="4"/>
    <d v="1899-12-30T04:00:00"/>
    <d v="2025-03-03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74884"/>
    <s v="Validación e inserción de registro para actualización de Bitácora en Stod"/>
    <x v="9"/>
    <n v="2.75"/>
    <d v="1899-12-30T02:45:00"/>
    <d v="2025-03-03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74888"/>
    <s v="Carga de expedientes de ventas"/>
    <x v="10"/>
    <n v="3"/>
    <d v="1899-12-30T03:00:00"/>
    <d v="2025-03-03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74886"/>
    <s v="Elaboración de guía de uso para el proceso de Lote de Expedientes de Placas"/>
    <x v="10"/>
    <n v="6"/>
    <d v="1899-12-30T06:00:00"/>
    <d v="2025-03-03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73483"/>
    <s v="Elaboración de guía de uso para el departamento de Placas Yamaha"/>
    <x v="11"/>
    <n v="1.1666666666666601"/>
    <d v="1899-12-30T01:10:00"/>
    <d v="2025-02-25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73442"/>
    <s v="Validación de proceso de Bitácora de Yamaha"/>
    <x v="11"/>
    <n v="1"/>
    <d v="1899-12-30T01:00:00"/>
    <d v="2025-02-25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73438"/>
    <s v="Configuración de Import Agent en máquinas de departamento de Placas Yamaha"/>
    <x v="11"/>
    <n v="0.33333333333333298"/>
    <d v="1899-12-30T00:20:00"/>
    <d v="2025-02-25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73437"/>
    <s v="Modificación de workflow y pruebas por OCR en formularios 8620 y constancias para extracción de chasis y número de formulario"/>
    <x v="11"/>
    <n v="4"/>
    <d v="1899-12-30T04:00:00"/>
    <d v="2025-02-25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73423"/>
    <s v="Modificación de formulario de Bitácora de Yamaha para agregar datos"/>
    <x v="12"/>
    <n v="3"/>
    <d v="1899-12-30T03:00:00"/>
    <d v="2025-02-25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73422"/>
    <s v="Análisis de OCR generado en formularios 8620 y constancias de recepción de formularios"/>
    <x v="12"/>
    <n v="2"/>
    <d v="1899-12-30T02:00:00"/>
    <d v="2025-02-25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73141"/>
    <s v="Reunión presencial del Yamaha Liberación para pruebas del flujo completo"/>
    <x v="12"/>
    <n v="4"/>
    <d v="1899-12-30T04:00:00"/>
    <d v="2025-02-24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73138"/>
    <s v="Validación de impresiones, orden y actualización de estado para bitácora y reimpresión de expedientes"/>
    <x v="0"/>
    <n v="6"/>
    <d v="1899-12-30T06:00:00"/>
    <d v="2025-02-24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72190"/>
    <s v="Validación de expedientes de ventas generados correctamente"/>
    <x v="1"/>
    <n v="4"/>
    <d v="1899-12-30T04:00:00"/>
    <d v="2025-02-20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71921"/>
    <s v="Validación de proceso de Bitácora con documentos cargados según etapa"/>
    <x v="2"/>
    <n v="2"/>
    <d v="1899-12-30T02:00:00"/>
    <d v="2025-02-19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71920"/>
    <s v="Carga y validación de documentos de ventas de los expedientes"/>
    <x v="2"/>
    <n v="4"/>
    <d v="1899-12-30T04:00:00"/>
    <d v="2025-02-19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71919"/>
    <s v="Carga de IPrimas y validación de nombre, ubicación y metadatos en repositorio"/>
    <x v="2"/>
    <n v="2"/>
    <d v="1899-12-30T02:00:00"/>
    <d v="2025-02-19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71811"/>
    <s v="Separación de expedientes por factura y DPI"/>
    <x v="3"/>
    <n v="1"/>
    <d v="1899-12-30T01:00:00"/>
    <d v="2025-02-19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71810"/>
    <s v="Validación, búsqueda de IPrimas y modificación para generación de OCR"/>
    <x v="3"/>
    <n v="2"/>
    <d v="1899-12-30T02:00:00"/>
    <d v="2025-02-19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71809"/>
    <s v="Validación y carga de DUCAS individuales, conjuntos y páginas con OCR para búsqueda de chasis"/>
    <x v="3"/>
    <n v="2"/>
    <d v="1899-12-30T02:00:00"/>
    <d v="2025-02-19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68291"/>
    <s v="Pruebas de impresión de expedientes"/>
    <x v="18"/>
    <n v="2.5"/>
    <d v="1899-12-30T02:30:00"/>
    <d v="2025-02-06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68285"/>
    <s v="Pruebas de impresión de expedientes"/>
    <x v="25"/>
    <n v="5"/>
    <d v="1899-12-30T05:00:00"/>
    <d v="2025-02-06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68284"/>
    <s v="Validación de página en blanco en expedientes"/>
    <x v="26"/>
    <n v="2"/>
    <d v="1899-12-30T02:00:00"/>
    <d v="2025-02-06T00:00:00"/>
  </r>
  <r>
    <n v="8291"/>
    <x v="67"/>
    <x v="116"/>
    <n v="247807"/>
    <s v="EDUARDO JACOBO ARA GÓMEZ"/>
    <n v="21"/>
    <x v="3"/>
    <n v="3201"/>
    <x v="12"/>
    <m/>
    <x v="0"/>
    <m/>
    <m/>
    <m/>
    <m/>
    <n v="3"/>
    <n v="3"/>
    <n v="2"/>
    <n v="2"/>
    <m/>
    <m/>
    <d v="2025-01-31T00:00:00"/>
    <d v="1899-12-31T00:00:00"/>
    <d v="2025-02-28T00:00:00"/>
    <x v="5"/>
    <m/>
    <s v="&lt;p&gt;Pruebas de impresión de lote de expedientes con personal del departamento de Placas ubicados en Yamaha Liberación, validando orden, expedientes completos, reimpresión y bitácora de estado de expedientes.&lt;/p&gt;"/>
    <n v="8291"/>
    <n v="68283"/>
    <s v="Validación de orden de expedientes"/>
    <x v="26"/>
    <n v="1.5"/>
    <d v="1899-12-30T01:30:00"/>
    <d v="2025-02-06T00:00:00"/>
  </r>
  <r>
    <n v="8523"/>
    <x v="51"/>
    <x v="117"/>
    <n v="247884"/>
    <s v="ANA CAROLINA PALACIOS GONZALEZ de MENENDEZ"/>
    <n v="21"/>
    <x v="3"/>
    <n v="3204"/>
    <x v="10"/>
    <s v="x"/>
    <x v="0"/>
    <m/>
    <m/>
    <m/>
    <m/>
    <m/>
    <m/>
    <m/>
    <m/>
    <m/>
    <m/>
    <d v="2025-03-04T00:00:00"/>
    <d v="2025-03-04T00:00:00"/>
    <d v="2025-03-04T00:00:00"/>
    <x v="33"/>
    <d v="2025-03-04T00:00:00"/>
    <m/>
    <m/>
    <m/>
    <m/>
    <x v="5"/>
    <m/>
    <m/>
    <m/>
  </r>
  <r>
    <n v="8317"/>
    <x v="51"/>
    <x v="118"/>
    <m/>
    <m/>
    <n v="21"/>
    <x v="3"/>
    <n v="2767"/>
    <x v="7"/>
    <s v="x"/>
    <x v="1"/>
    <m/>
    <m/>
    <m/>
    <m/>
    <m/>
    <m/>
    <m/>
    <m/>
    <m/>
    <m/>
    <d v="2025-02-06T00:00:00"/>
    <m/>
    <d v="2025-02-28T00:00:00"/>
    <x v="5"/>
    <m/>
    <s v="&lt;p&gt;Seguimiento con problemas con las boletas de los bancos, problemas de estados de cuentas, cheques etc.&lt;/p&gt;"/>
    <n v="8317"/>
    <n v="74816"/>
    <s v="Fallo de carga de estados BI"/>
    <x v="7"/>
    <n v="2"/>
    <d v="1899-12-30T02:00:00"/>
    <d v="2025-03-01T00:00:00"/>
  </r>
  <r>
    <n v="8317"/>
    <x v="51"/>
    <x v="118"/>
    <m/>
    <m/>
    <n v="21"/>
    <x v="3"/>
    <n v="2767"/>
    <x v="7"/>
    <m/>
    <x v="1"/>
    <m/>
    <m/>
    <m/>
    <m/>
    <m/>
    <m/>
    <m/>
    <m/>
    <m/>
    <m/>
    <d v="2025-02-06T00:00:00"/>
    <m/>
    <d v="2025-02-28T00:00:00"/>
    <x v="5"/>
    <m/>
    <s v="&lt;p&gt;Seguimiento con problemas con las boletas de los bancos, problemas de estados de cuentas, cheques etc.&lt;/p&gt;"/>
    <n v="8317"/>
    <n v="73322"/>
    <s v="Fallo de carga de estados BI"/>
    <x v="11"/>
    <n v="2"/>
    <d v="1899-12-30T02:00:00"/>
    <d v="2025-02-25T00:00:00"/>
  </r>
  <r>
    <n v="8317"/>
    <x v="51"/>
    <x v="118"/>
    <m/>
    <m/>
    <n v="21"/>
    <x v="3"/>
    <n v="2767"/>
    <x v="7"/>
    <m/>
    <x v="1"/>
    <m/>
    <m/>
    <m/>
    <m/>
    <m/>
    <m/>
    <m/>
    <m/>
    <m/>
    <m/>
    <d v="2025-02-06T00:00:00"/>
    <m/>
    <d v="2025-02-28T00:00:00"/>
    <x v="5"/>
    <m/>
    <s v="&lt;p&gt;Seguimiento con problemas con las boletas de los bancos, problemas de estados de cuentas, cheques etc.&lt;/p&gt;"/>
    <n v="8317"/>
    <n v="72909"/>
    <s v="Fallo de los Botones BI"/>
    <x v="23"/>
    <n v="3"/>
    <d v="1899-12-30T03:00:00"/>
    <d v="2025-02-22T00:00:00"/>
  </r>
  <r>
    <n v="8317"/>
    <x v="51"/>
    <x v="118"/>
    <m/>
    <m/>
    <n v="21"/>
    <x v="3"/>
    <n v="2767"/>
    <x v="7"/>
    <m/>
    <x v="1"/>
    <m/>
    <m/>
    <m/>
    <m/>
    <m/>
    <m/>
    <m/>
    <m/>
    <m/>
    <m/>
    <d v="2025-02-06T00:00:00"/>
    <m/>
    <d v="2025-02-28T00:00:00"/>
    <x v="5"/>
    <m/>
    <s v="&lt;p&gt;Seguimiento con problemas con las boletas de los bancos, problemas de estados de cuentas, cheques etc.&lt;/p&gt;"/>
    <n v="8317"/>
    <n v="71441"/>
    <s v="Fallo con la pagina del Banrural"/>
    <x v="13"/>
    <n v="2"/>
    <d v="1899-12-30T02:00:00"/>
    <d v="2025-02-18T00:00:00"/>
  </r>
  <r>
    <n v="8317"/>
    <x v="51"/>
    <x v="118"/>
    <m/>
    <m/>
    <n v="21"/>
    <x v="3"/>
    <n v="2767"/>
    <x v="7"/>
    <m/>
    <x v="1"/>
    <m/>
    <m/>
    <m/>
    <m/>
    <m/>
    <m/>
    <m/>
    <m/>
    <m/>
    <m/>
    <d v="2025-02-06T00:00:00"/>
    <m/>
    <d v="2025-02-28T00:00:00"/>
    <x v="5"/>
    <m/>
    <s v="&lt;p&gt;Seguimiento con problemas con las boletas de los bancos, problemas de estados de cuentas, cheques etc.&lt;/p&gt;"/>
    <n v="8317"/>
    <n v="71440"/>
    <s v="Fallo con las credenciales del BI"/>
    <x v="13"/>
    <n v="2"/>
    <d v="1899-12-30T02:00:00"/>
    <d v="2025-02-18T00:00:00"/>
  </r>
  <r>
    <n v="8317"/>
    <x v="51"/>
    <x v="118"/>
    <m/>
    <m/>
    <n v="21"/>
    <x v="3"/>
    <n v="2767"/>
    <x v="7"/>
    <m/>
    <x v="1"/>
    <m/>
    <m/>
    <m/>
    <m/>
    <m/>
    <m/>
    <m/>
    <m/>
    <m/>
    <m/>
    <d v="2025-02-06T00:00:00"/>
    <m/>
    <d v="2025-02-28T00:00:00"/>
    <x v="5"/>
    <m/>
    <s v="&lt;p&gt;Seguimiento con problemas con las boletas de los bancos, problemas de estados de cuentas, cheques etc.&lt;/p&gt;"/>
    <n v="8317"/>
    <n v="70981"/>
    <s v="Fallo de carga de estados BI"/>
    <x v="24"/>
    <n v="1"/>
    <d v="1899-12-30T01:00:00"/>
    <d v="2025-02-15T00:00:00"/>
  </r>
  <r>
    <n v="8317"/>
    <x v="51"/>
    <x v="118"/>
    <m/>
    <m/>
    <n v="21"/>
    <x v="3"/>
    <n v="2767"/>
    <x v="7"/>
    <m/>
    <x v="1"/>
    <m/>
    <m/>
    <m/>
    <m/>
    <m/>
    <m/>
    <m/>
    <m/>
    <m/>
    <m/>
    <d v="2025-02-06T00:00:00"/>
    <m/>
    <d v="2025-02-28T00:00:00"/>
    <x v="5"/>
    <m/>
    <s v="&lt;p&gt;Seguimiento con problemas con las boletas de los bancos, problemas de estados de cuentas, cheques etc.&lt;/p&gt;"/>
    <n v="8317"/>
    <n v="70683"/>
    <s v="Error en la aplicacion de Power Automate"/>
    <x v="14"/>
    <n v="2.1666666666666599"/>
    <d v="1899-12-30T02:10:00"/>
    <d v="2025-02-14T00:00:00"/>
  </r>
  <r>
    <n v="8317"/>
    <x v="51"/>
    <x v="118"/>
    <m/>
    <m/>
    <n v="21"/>
    <x v="3"/>
    <n v="2767"/>
    <x v="7"/>
    <m/>
    <x v="1"/>
    <m/>
    <m/>
    <m/>
    <m/>
    <m/>
    <m/>
    <m/>
    <m/>
    <m/>
    <m/>
    <d v="2025-02-06T00:00:00"/>
    <m/>
    <d v="2025-02-28T00:00:00"/>
    <x v="5"/>
    <m/>
    <s v="&lt;p&gt;Seguimiento con problemas con las boletas de los bancos, problemas de estados de cuentas, cheques etc.&lt;/p&gt;"/>
    <n v="8317"/>
    <n v="70198"/>
    <s v="Error en la aplicacion de Power Automate"/>
    <x v="15"/>
    <n v="2"/>
    <d v="1899-12-30T02:00:00"/>
    <d v="2025-02-13T00:00:00"/>
  </r>
  <r>
    <n v="8317"/>
    <x v="51"/>
    <x v="118"/>
    <m/>
    <m/>
    <n v="21"/>
    <x v="3"/>
    <n v="2767"/>
    <x v="7"/>
    <m/>
    <x v="1"/>
    <m/>
    <m/>
    <m/>
    <m/>
    <m/>
    <m/>
    <m/>
    <m/>
    <m/>
    <m/>
    <d v="2025-02-06T00:00:00"/>
    <m/>
    <d v="2025-02-28T00:00:00"/>
    <x v="5"/>
    <m/>
    <s v="&lt;p&gt;Seguimiento con problemas con las boletas de los bancos, problemas de estados de cuentas, cheques etc.&lt;/p&gt;"/>
    <n v="8317"/>
    <n v="68428"/>
    <s v="Problemas de duplicidad de Boletas por un usuario en especifico"/>
    <x v="18"/>
    <n v="1"/>
    <d v="1899-12-30T01:00:00"/>
    <d v="2025-02-07T00:00:00"/>
  </r>
  <r>
    <n v="8317"/>
    <x v="51"/>
    <x v="118"/>
    <m/>
    <m/>
    <n v="21"/>
    <x v="3"/>
    <n v="2767"/>
    <x v="7"/>
    <m/>
    <x v="1"/>
    <m/>
    <m/>
    <m/>
    <m/>
    <m/>
    <m/>
    <m/>
    <m/>
    <m/>
    <m/>
    <d v="2025-02-06T00:00:00"/>
    <m/>
    <d v="2025-02-28T00:00:00"/>
    <x v="5"/>
    <m/>
    <s v="&lt;p&gt;Seguimiento con problemas con las boletas de los bancos, problemas de estados de cuentas, cheques etc.&lt;/p&gt;"/>
    <n v="8317"/>
    <n v="68427"/>
    <s v="Problemas con modulo de boletas STOD"/>
    <x v="19"/>
    <n v="0.33333333333333298"/>
    <d v="1899-12-30T00:20:00"/>
    <d v="2025-02-07T00:00:00"/>
  </r>
  <r>
    <n v="8317"/>
    <x v="51"/>
    <x v="118"/>
    <m/>
    <m/>
    <n v="21"/>
    <x v="3"/>
    <n v="2767"/>
    <x v="7"/>
    <m/>
    <x v="1"/>
    <m/>
    <m/>
    <m/>
    <m/>
    <m/>
    <m/>
    <m/>
    <m/>
    <m/>
    <m/>
    <d v="2025-02-06T00:00:00"/>
    <m/>
    <d v="2025-02-28T00:00:00"/>
    <x v="5"/>
    <m/>
    <s v="&lt;p&gt;Seguimiento con problemas con las boletas de los bancos, problemas de estados de cuentas, cheques etc.&lt;/p&gt;"/>
    <n v="8317"/>
    <n v="68426"/>
    <s v="Fallo de carga de estados Banrural"/>
    <x v="25"/>
    <n v="0.33333333333333298"/>
    <d v="1899-12-30T00:20:00"/>
    <d v="2025-02-07T00:00:00"/>
  </r>
  <r>
    <n v="8317"/>
    <x v="51"/>
    <x v="118"/>
    <m/>
    <m/>
    <n v="21"/>
    <x v="3"/>
    <n v="2767"/>
    <x v="7"/>
    <m/>
    <x v="1"/>
    <m/>
    <m/>
    <m/>
    <m/>
    <m/>
    <m/>
    <m/>
    <m/>
    <m/>
    <m/>
    <d v="2025-02-06T00:00:00"/>
    <m/>
    <d v="2025-02-28T00:00:00"/>
    <x v="5"/>
    <m/>
    <s v="&lt;p&gt;Seguimiento con problemas con las boletas de los bancos, problemas de estados de cuentas, cheques etc.&lt;/p&gt;"/>
    <n v="8317"/>
    <n v="68425"/>
    <s v="Fallo de carga de estados BAM"/>
    <x v="26"/>
    <n v="0.16666666666666599"/>
    <d v="1899-12-30T00:10:00"/>
    <d v="2025-02-07T00:00:00"/>
  </r>
  <r>
    <n v="8333"/>
    <x v="68"/>
    <x v="119"/>
    <n v="289006"/>
    <s v="SULY DANIELA CHUN SANTOS de RIVERA"/>
    <n v="21"/>
    <x v="3"/>
    <n v="195"/>
    <x v="4"/>
    <s v="x"/>
    <x v="0"/>
    <m/>
    <m/>
    <m/>
    <m/>
    <n v="1"/>
    <n v="1"/>
    <n v="1"/>
    <n v="1"/>
    <m/>
    <m/>
    <d v="2025-01-01T00:00:00"/>
    <d v="1899-12-31T00:00:00"/>
    <d v="2025-02-14T00:00:00"/>
    <x v="16"/>
    <m/>
    <m/>
    <n v="8333"/>
    <n v="74586"/>
    <s v="Pruebas con usuario"/>
    <x v="12"/>
    <n v="2"/>
    <d v="1899-12-30T02:00:00"/>
    <d v="2025-02-28T00:00:00"/>
  </r>
  <r>
    <n v="8333"/>
    <x v="68"/>
    <x v="119"/>
    <n v="289006"/>
    <s v="SULY DANIELA CHUN SANTOS de RIVERA"/>
    <n v="21"/>
    <x v="3"/>
    <n v="195"/>
    <x v="4"/>
    <m/>
    <x v="0"/>
    <m/>
    <m/>
    <m/>
    <m/>
    <n v="1"/>
    <n v="1"/>
    <n v="1"/>
    <n v="1"/>
    <m/>
    <m/>
    <d v="2025-01-01T00:00:00"/>
    <d v="1899-12-31T00:00:00"/>
    <d v="2025-02-14T00:00:00"/>
    <x v="16"/>
    <m/>
    <m/>
    <n v="8333"/>
    <n v="72923"/>
    <s v="Seguimiento de cambio de registros y asignación de código de cobradores"/>
    <x v="23"/>
    <n v="1.25"/>
    <d v="1899-12-30T01:15:00"/>
    <d v="2025-02-22T00:00:00"/>
  </r>
  <r>
    <n v="8333"/>
    <x v="68"/>
    <x v="119"/>
    <n v="289006"/>
    <s v="SULY DANIELA CHUN SANTOS de RIVERA"/>
    <n v="21"/>
    <x v="3"/>
    <n v="195"/>
    <x v="4"/>
    <m/>
    <x v="0"/>
    <m/>
    <m/>
    <m/>
    <m/>
    <n v="1"/>
    <n v="1"/>
    <n v="1"/>
    <n v="1"/>
    <m/>
    <m/>
    <d v="2025-01-01T00:00:00"/>
    <d v="1899-12-31T00:00:00"/>
    <d v="2025-02-14T00:00:00"/>
    <x v="16"/>
    <m/>
    <m/>
    <n v="8333"/>
    <n v="72922"/>
    <s v="Prueba de cambios"/>
    <x v="23"/>
    <n v="0.25"/>
    <d v="1899-12-30T00:15:00"/>
    <d v="2025-02-22T00:00:00"/>
  </r>
  <r>
    <n v="8333"/>
    <x v="68"/>
    <x v="119"/>
    <n v="289006"/>
    <s v="SULY DANIELA CHUN SANTOS de RIVERA"/>
    <n v="21"/>
    <x v="3"/>
    <n v="195"/>
    <x v="4"/>
    <m/>
    <x v="0"/>
    <m/>
    <m/>
    <m/>
    <m/>
    <n v="1"/>
    <n v="1"/>
    <n v="1"/>
    <n v="1"/>
    <m/>
    <m/>
    <d v="2025-01-01T00:00:00"/>
    <d v="1899-12-31T00:00:00"/>
    <d v="2025-02-14T00:00:00"/>
    <x v="16"/>
    <m/>
    <m/>
    <n v="8333"/>
    <n v="72921"/>
    <s v="Desarrollo de ajustes de crystal report"/>
    <x v="23"/>
    <n v="1"/>
    <d v="1899-12-30T01:00:00"/>
    <d v="2025-02-22T00:00:00"/>
  </r>
  <r>
    <n v="8333"/>
    <x v="68"/>
    <x v="119"/>
    <n v="289006"/>
    <s v="SULY DANIELA CHUN SANTOS de RIVERA"/>
    <n v="21"/>
    <x v="3"/>
    <n v="195"/>
    <x v="4"/>
    <m/>
    <x v="0"/>
    <m/>
    <m/>
    <m/>
    <m/>
    <n v="1"/>
    <n v="1"/>
    <n v="1"/>
    <n v="1"/>
    <m/>
    <m/>
    <d v="2025-01-01T00:00:00"/>
    <d v="1899-12-31T00:00:00"/>
    <d v="2025-02-14T00:00:00"/>
    <x v="16"/>
    <m/>
    <m/>
    <n v="8333"/>
    <n v="72920"/>
    <s v="Desarrollo de ajustes en Query"/>
    <x v="23"/>
    <n v="1"/>
    <d v="1899-12-30T01:00:00"/>
    <d v="2025-02-22T00:00:00"/>
  </r>
  <r>
    <n v="8333"/>
    <x v="68"/>
    <x v="119"/>
    <n v="289006"/>
    <s v="SULY DANIELA CHUN SANTOS de RIVERA"/>
    <n v="21"/>
    <x v="3"/>
    <n v="195"/>
    <x v="4"/>
    <m/>
    <x v="0"/>
    <m/>
    <m/>
    <m/>
    <m/>
    <n v="1"/>
    <n v="1"/>
    <n v="1"/>
    <n v="1"/>
    <m/>
    <m/>
    <d v="2025-01-01T00:00:00"/>
    <d v="1899-12-31T00:00:00"/>
    <d v="2025-02-14T00:00:00"/>
    <x v="16"/>
    <m/>
    <m/>
    <n v="8333"/>
    <n v="72805"/>
    <s v="Reunión para acordar  horarios para el día 22/02"/>
    <x v="0"/>
    <n v="0.25"/>
    <d v="1899-12-30T00:15:00"/>
    <d v="2025-02-21T00:00:00"/>
  </r>
  <r>
    <n v="8333"/>
    <x v="68"/>
    <x v="119"/>
    <n v="289006"/>
    <s v="SULY DANIELA CHUN SANTOS de RIVERA"/>
    <n v="21"/>
    <x v="3"/>
    <n v="195"/>
    <x v="4"/>
    <m/>
    <x v="0"/>
    <m/>
    <m/>
    <m/>
    <m/>
    <n v="1"/>
    <n v="1"/>
    <n v="1"/>
    <n v="1"/>
    <m/>
    <m/>
    <d v="2025-01-01T00:00:00"/>
    <d v="1899-12-31T00:00:00"/>
    <d v="2025-02-14T00:00:00"/>
    <x v="16"/>
    <m/>
    <m/>
    <n v="8333"/>
    <n v="72804"/>
    <s v="Preparación de los cambios y puntos que de deben ajustar el día 22/02 para corregir los inconvenientes del reporte"/>
    <x v="0"/>
    <n v="2"/>
    <d v="1899-12-30T02:00:00"/>
    <d v="2025-02-21T00:00:00"/>
  </r>
  <r>
    <n v="8333"/>
    <x v="68"/>
    <x v="119"/>
    <n v="289006"/>
    <s v="SULY DANIELA CHUN SANTOS de RIVERA"/>
    <n v="21"/>
    <x v="3"/>
    <n v="195"/>
    <x v="4"/>
    <m/>
    <x v="0"/>
    <m/>
    <m/>
    <m/>
    <m/>
    <n v="1"/>
    <n v="1"/>
    <n v="1"/>
    <n v="1"/>
    <m/>
    <m/>
    <d v="2025-01-01T00:00:00"/>
    <d v="1899-12-31T00:00:00"/>
    <d v="2025-02-14T00:00:00"/>
    <x v="16"/>
    <m/>
    <m/>
    <n v="8333"/>
    <n v="70192"/>
    <s v="Revisión del reporte y problemas presentados"/>
    <x v="15"/>
    <n v="1"/>
    <d v="1899-12-30T01:00:00"/>
    <d v="2025-02-13T00:00:00"/>
  </r>
  <r>
    <n v="8411"/>
    <x v="69"/>
    <x v="120"/>
    <n v="247795"/>
    <s v="SANDRA JUDITH LOARCA HERNANDEZ de PEREZ"/>
    <n v="29"/>
    <x v="1"/>
    <n v="195"/>
    <x v="4"/>
    <s v="x"/>
    <x v="0"/>
    <m/>
    <m/>
    <m/>
    <m/>
    <n v="1"/>
    <n v="1"/>
    <n v="1"/>
    <n v="1"/>
    <m/>
    <m/>
    <d v="2025-01-01T00:00:00"/>
    <d v="1899-12-31T00:00:00"/>
    <d v="2025-03-10T00:00:00"/>
    <x v="11"/>
    <m/>
    <s v="&lt;p&gt;PROCESO ** Implementación de RPA para confirmación de boletas de deposito&lt;/p&gt;&lt;p&gt;&lt;br&gt;&lt;/p&gt;"/>
    <m/>
    <m/>
    <m/>
    <x v="5"/>
    <m/>
    <m/>
    <m/>
  </r>
  <r>
    <n v="8271"/>
    <x v="70"/>
    <x v="121"/>
    <m/>
    <m/>
    <n v="21"/>
    <x v="3"/>
    <n v="2767"/>
    <x v="7"/>
    <s v="x"/>
    <x v="0"/>
    <m/>
    <m/>
    <m/>
    <m/>
    <n v="1"/>
    <n v="1"/>
    <n v="1"/>
    <n v="1"/>
    <m/>
    <m/>
    <d v="2025-01-01T00:00:00"/>
    <d v="1899-12-31T00:00:00"/>
    <d v="2025-02-14T00:00:00"/>
    <x v="16"/>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n v="8271"/>
    <n v="72267"/>
    <s v="Genero las retenciones de ISR"/>
    <x v="1"/>
    <n v="1"/>
    <d v="1899-12-30T01:00:00"/>
    <d v="2025-02-21T00:00:00"/>
  </r>
  <r>
    <n v="8271"/>
    <x v="70"/>
    <x v="121"/>
    <m/>
    <m/>
    <n v="21"/>
    <x v="3"/>
    <n v="2767"/>
    <x v="7"/>
    <m/>
    <x v="0"/>
    <m/>
    <m/>
    <m/>
    <m/>
    <n v="1"/>
    <n v="1"/>
    <n v="1"/>
    <n v="1"/>
    <m/>
    <m/>
    <d v="2025-01-01T00:00:00"/>
    <d v="1899-12-31T00:00:00"/>
    <d v="2025-02-14T00:00:00"/>
    <x v="16"/>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n v="8271"/>
    <n v="72266"/>
    <s v="Prueba en produccion funciona bien"/>
    <x v="1"/>
    <n v="1"/>
    <d v="1899-12-30T01:00:00"/>
    <d v="2025-02-21T00:00:00"/>
  </r>
  <r>
    <n v="8271"/>
    <x v="70"/>
    <x v="121"/>
    <m/>
    <m/>
    <n v="21"/>
    <x v="3"/>
    <n v="2767"/>
    <x v="7"/>
    <m/>
    <x v="0"/>
    <m/>
    <m/>
    <m/>
    <m/>
    <n v="1"/>
    <n v="1"/>
    <n v="1"/>
    <n v="1"/>
    <m/>
    <m/>
    <d v="2025-01-01T00:00:00"/>
    <d v="1899-12-31T00:00:00"/>
    <d v="2025-02-14T00:00:00"/>
    <x v="16"/>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n v="8271"/>
    <n v="72053"/>
    <s v="Funciono el correo, si manda las completadas y pendientes con relacion a las retenciones de ISR"/>
    <x v="2"/>
    <n v="1"/>
    <d v="1899-12-30T01:00:00"/>
    <d v="2025-02-20T00:00:00"/>
  </r>
  <r>
    <n v="8271"/>
    <x v="70"/>
    <x v="121"/>
    <m/>
    <m/>
    <n v="21"/>
    <x v="3"/>
    <n v="2767"/>
    <x v="7"/>
    <m/>
    <x v="0"/>
    <m/>
    <m/>
    <m/>
    <m/>
    <n v="1"/>
    <n v="1"/>
    <n v="1"/>
    <n v="1"/>
    <m/>
    <m/>
    <d v="2025-01-01T00:00:00"/>
    <d v="1899-12-31T00:00:00"/>
    <d v="2025-02-14T00:00:00"/>
    <x v="16"/>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n v="8271"/>
    <n v="71761"/>
    <s v="Configuración de botones"/>
    <x v="3"/>
    <n v="2"/>
    <d v="1899-12-30T02:00:00"/>
    <d v="2025-02-19T00:00:00"/>
  </r>
  <r>
    <n v="8271"/>
    <x v="70"/>
    <x v="121"/>
    <m/>
    <m/>
    <n v="21"/>
    <x v="3"/>
    <n v="2767"/>
    <x v="7"/>
    <m/>
    <x v="0"/>
    <m/>
    <m/>
    <m/>
    <m/>
    <n v="1"/>
    <n v="1"/>
    <n v="1"/>
    <n v="1"/>
    <m/>
    <m/>
    <d v="2025-01-01T00:00:00"/>
    <d v="1899-12-31T00:00:00"/>
    <d v="2025-02-14T00:00:00"/>
    <x v="16"/>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n v="8271"/>
    <n v="71755"/>
    <s v="Fallo de la pagina web SAT"/>
    <x v="3"/>
    <n v="2"/>
    <d v="1899-12-30T02:00:00"/>
    <d v="2025-02-19T00:00:00"/>
  </r>
  <r>
    <n v="8271"/>
    <x v="70"/>
    <x v="121"/>
    <m/>
    <m/>
    <n v="21"/>
    <x v="3"/>
    <n v="2767"/>
    <x v="7"/>
    <m/>
    <x v="0"/>
    <m/>
    <m/>
    <m/>
    <m/>
    <n v="1"/>
    <n v="1"/>
    <n v="1"/>
    <n v="1"/>
    <m/>
    <m/>
    <d v="2025-01-01T00:00:00"/>
    <d v="1899-12-31T00:00:00"/>
    <d v="2025-02-14T00:00:00"/>
    <x v="16"/>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n v="8271"/>
    <n v="70677"/>
    <s v="En Produccion"/>
    <x v="14"/>
    <n v="2"/>
    <d v="1899-12-30T02:00:00"/>
    <d v="2025-02-14T00:00:00"/>
  </r>
  <r>
    <n v="8271"/>
    <x v="70"/>
    <x v="121"/>
    <m/>
    <m/>
    <n v="21"/>
    <x v="3"/>
    <n v="2767"/>
    <x v="7"/>
    <m/>
    <x v="0"/>
    <m/>
    <m/>
    <m/>
    <m/>
    <n v="1"/>
    <n v="1"/>
    <n v="1"/>
    <n v="1"/>
    <m/>
    <m/>
    <d v="2025-01-01T00:00:00"/>
    <d v="1899-12-31T00:00:00"/>
    <d v="2025-02-14T00:00:00"/>
    <x v="16"/>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n v="8271"/>
    <n v="70161"/>
    <s v="El correo manda la información solicitada por Contabilidad"/>
    <x v="15"/>
    <n v="4"/>
    <d v="1899-12-30T04:00:00"/>
    <d v="2025-02-13T00:00:00"/>
  </r>
  <r>
    <n v="8271"/>
    <x v="70"/>
    <x v="121"/>
    <m/>
    <m/>
    <n v="21"/>
    <x v="3"/>
    <n v="2767"/>
    <x v="7"/>
    <m/>
    <x v="0"/>
    <m/>
    <m/>
    <m/>
    <m/>
    <n v="1"/>
    <n v="1"/>
    <n v="1"/>
    <n v="1"/>
    <m/>
    <m/>
    <d v="2025-01-01T00:00:00"/>
    <d v="1899-12-31T00:00:00"/>
    <d v="2025-02-14T00:00:00"/>
    <x v="16"/>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n v="8271"/>
    <n v="70160"/>
    <s v="Se modifico un sp para obtener las facturas de ISR"/>
    <x v="15"/>
    <n v="2"/>
    <d v="1899-12-30T02:00:00"/>
    <d v="2025-02-13T00:00:00"/>
  </r>
  <r>
    <n v="8271"/>
    <x v="70"/>
    <x v="121"/>
    <m/>
    <m/>
    <n v="21"/>
    <x v="3"/>
    <n v="2767"/>
    <x v="7"/>
    <m/>
    <x v="0"/>
    <m/>
    <m/>
    <m/>
    <m/>
    <n v="1"/>
    <n v="1"/>
    <n v="1"/>
    <n v="1"/>
    <m/>
    <m/>
    <d v="2025-01-01T00:00:00"/>
    <d v="1899-12-31T00:00:00"/>
    <d v="2025-02-14T00:00:00"/>
    <x v="16"/>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n v="8271"/>
    <n v="70982"/>
    <s v="Genero una retencion de prueba"/>
    <x v="16"/>
    <n v="4"/>
    <d v="1899-12-30T04:00:00"/>
    <d v="2025-02-15T00:00:00"/>
  </r>
  <r>
    <n v="8271"/>
    <x v="70"/>
    <x v="121"/>
    <m/>
    <m/>
    <n v="21"/>
    <x v="3"/>
    <n v="2767"/>
    <x v="7"/>
    <m/>
    <x v="0"/>
    <m/>
    <m/>
    <m/>
    <m/>
    <n v="1"/>
    <n v="1"/>
    <n v="1"/>
    <n v="1"/>
    <m/>
    <m/>
    <d v="2025-01-01T00:00:00"/>
    <d v="1899-12-31T00:00:00"/>
    <d v="2025-02-14T00:00:00"/>
    <x v="16"/>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n v="8271"/>
    <n v="70672"/>
    <s v="En Produccion"/>
    <x v="16"/>
    <n v="4"/>
    <d v="1899-12-30T04:00:00"/>
    <d v="2025-02-14T00:00:00"/>
  </r>
  <r>
    <n v="8271"/>
    <x v="70"/>
    <x v="121"/>
    <m/>
    <m/>
    <n v="21"/>
    <x v="3"/>
    <n v="2767"/>
    <x v="7"/>
    <m/>
    <x v="0"/>
    <m/>
    <m/>
    <m/>
    <m/>
    <n v="1"/>
    <n v="1"/>
    <n v="1"/>
    <n v="1"/>
    <m/>
    <m/>
    <d v="2025-01-01T00:00:00"/>
    <d v="1899-12-31T00:00:00"/>
    <d v="2025-02-14T00:00:00"/>
    <x v="16"/>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n v="8271"/>
    <n v="69516"/>
    <s v="Se realizaron Pruebas y envía las retenciones"/>
    <x v="17"/>
    <n v="2"/>
    <d v="1899-12-30T02:00:00"/>
    <d v="2025-02-11T00:00:00"/>
  </r>
  <r>
    <n v="8271"/>
    <x v="70"/>
    <x v="121"/>
    <m/>
    <m/>
    <n v="21"/>
    <x v="3"/>
    <n v="2767"/>
    <x v="7"/>
    <m/>
    <x v="0"/>
    <m/>
    <m/>
    <m/>
    <m/>
    <n v="1"/>
    <n v="1"/>
    <n v="1"/>
    <n v="1"/>
    <m/>
    <m/>
    <d v="2025-01-01T00:00:00"/>
    <d v="1899-12-31T00:00:00"/>
    <d v="2025-02-14T00:00:00"/>
    <x v="16"/>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n v="8271"/>
    <n v="69514"/>
    <s v="Ya es funcional el flujo y asigna los escenarios"/>
    <x v="17"/>
    <n v="2"/>
    <d v="1899-12-30T02:00:00"/>
    <d v="2025-02-11T00:00:00"/>
  </r>
  <r>
    <n v="8271"/>
    <x v="70"/>
    <x v="121"/>
    <m/>
    <m/>
    <n v="21"/>
    <x v="3"/>
    <n v="2767"/>
    <x v="7"/>
    <m/>
    <x v="0"/>
    <m/>
    <m/>
    <m/>
    <m/>
    <n v="1"/>
    <n v="1"/>
    <n v="1"/>
    <n v="1"/>
    <m/>
    <m/>
    <d v="2025-01-01T00:00:00"/>
    <d v="1899-12-31T00:00:00"/>
    <d v="2025-02-14T00:00:00"/>
    <x v="16"/>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n v="8271"/>
    <n v="69513"/>
    <s v="Se realizaron Pruebas y es funcional"/>
    <x v="17"/>
    <n v="2"/>
    <d v="1899-12-30T02:00:00"/>
    <d v="2025-02-11T00:00:00"/>
  </r>
  <r>
    <n v="8271"/>
    <x v="70"/>
    <x v="121"/>
    <m/>
    <m/>
    <n v="21"/>
    <x v="3"/>
    <n v="2767"/>
    <x v="7"/>
    <m/>
    <x v="0"/>
    <m/>
    <m/>
    <m/>
    <m/>
    <n v="1"/>
    <n v="1"/>
    <n v="1"/>
    <n v="1"/>
    <m/>
    <m/>
    <d v="2025-01-01T00:00:00"/>
    <d v="1899-12-31T00:00:00"/>
    <d v="2025-02-14T00:00:00"/>
    <x v="16"/>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n v="8271"/>
    <n v="69508"/>
    <s v="Se realizaron  Pruebas y funciona bien"/>
    <x v="17"/>
    <n v="2"/>
    <d v="1899-12-30T02:00:00"/>
    <d v="2025-02-11T00:00:00"/>
  </r>
  <r>
    <n v="8271"/>
    <x v="70"/>
    <x v="121"/>
    <m/>
    <m/>
    <n v="21"/>
    <x v="3"/>
    <n v="2767"/>
    <x v="7"/>
    <m/>
    <x v="0"/>
    <m/>
    <m/>
    <m/>
    <m/>
    <n v="1"/>
    <n v="1"/>
    <n v="1"/>
    <n v="1"/>
    <m/>
    <m/>
    <d v="2025-01-01T00:00:00"/>
    <d v="1899-12-31T00:00:00"/>
    <d v="2025-02-14T00:00:00"/>
    <x v="16"/>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n v="8271"/>
    <n v="69515"/>
    <s v="Se creo el Flujo que enviara las retenciones"/>
    <x v="30"/>
    <n v="2"/>
    <d v="1899-12-30T02:00:00"/>
    <d v="2025-02-11T00:00:00"/>
  </r>
  <r>
    <n v="8271"/>
    <x v="70"/>
    <x v="121"/>
    <m/>
    <m/>
    <n v="21"/>
    <x v="3"/>
    <n v="2767"/>
    <x v="7"/>
    <m/>
    <x v="0"/>
    <m/>
    <m/>
    <m/>
    <m/>
    <n v="1"/>
    <n v="1"/>
    <n v="1"/>
    <n v="1"/>
    <m/>
    <m/>
    <d v="2025-01-01T00:00:00"/>
    <d v="1899-12-31T00:00:00"/>
    <d v="2025-02-14T00:00:00"/>
    <x v="16"/>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n v="8271"/>
    <n v="68405"/>
    <s v="Se realizaron Pruebas"/>
    <x v="4"/>
    <n v="4"/>
    <d v="1899-12-30T04:00:00"/>
    <d v="2025-02-07T00:00:00"/>
  </r>
  <r>
    <n v="8271"/>
    <x v="70"/>
    <x v="121"/>
    <m/>
    <m/>
    <n v="21"/>
    <x v="3"/>
    <n v="2767"/>
    <x v="7"/>
    <m/>
    <x v="0"/>
    <m/>
    <m/>
    <m/>
    <m/>
    <n v="1"/>
    <n v="1"/>
    <n v="1"/>
    <n v="1"/>
    <m/>
    <m/>
    <d v="2025-01-01T00:00:00"/>
    <d v="1899-12-31T00:00:00"/>
    <d v="2025-02-14T00:00:00"/>
    <x v="16"/>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n v="8271"/>
    <n v="68403"/>
    <s v="Creacion y prueba de validadcion para ISR"/>
    <x v="4"/>
    <n v="2"/>
    <d v="1899-12-30T02:00:00"/>
    <d v="2025-02-07T00:00:00"/>
  </r>
  <r>
    <n v="8271"/>
    <x v="70"/>
    <x v="121"/>
    <m/>
    <m/>
    <n v="21"/>
    <x v="3"/>
    <n v="2767"/>
    <x v="7"/>
    <m/>
    <x v="0"/>
    <m/>
    <m/>
    <m/>
    <m/>
    <n v="1"/>
    <n v="1"/>
    <n v="1"/>
    <n v="1"/>
    <m/>
    <m/>
    <d v="2025-01-01T00:00:00"/>
    <d v="1899-12-31T00:00:00"/>
    <d v="2025-02-14T00:00:00"/>
    <x v="16"/>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n v="8271"/>
    <n v="68402"/>
    <s v="Genera la retencion ISR"/>
    <x v="18"/>
    <n v="4"/>
    <d v="1899-12-30T04:00:00"/>
    <d v="2025-02-07T00:00:00"/>
  </r>
  <r>
    <n v="8271"/>
    <x v="70"/>
    <x v="121"/>
    <m/>
    <m/>
    <n v="21"/>
    <x v="3"/>
    <n v="2767"/>
    <x v="7"/>
    <m/>
    <x v="0"/>
    <m/>
    <m/>
    <m/>
    <m/>
    <n v="1"/>
    <n v="1"/>
    <n v="1"/>
    <n v="1"/>
    <m/>
    <m/>
    <d v="2025-01-01T00:00:00"/>
    <d v="1899-12-31T00:00:00"/>
    <d v="2025-02-14T00:00:00"/>
    <x v="16"/>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n v="8271"/>
    <n v="68016"/>
    <s v="/ Se creo un sub-flujo y ya ingresa a la plataforma de la SAT sin problema"/>
    <x v="19"/>
    <n v="4"/>
    <d v="1899-12-30T04:00:00"/>
    <d v="2025-02-05T00:00:00"/>
  </r>
  <r>
    <n v="8271"/>
    <x v="70"/>
    <x v="121"/>
    <m/>
    <m/>
    <n v="21"/>
    <x v="3"/>
    <n v="2767"/>
    <x v="7"/>
    <m/>
    <x v="0"/>
    <m/>
    <m/>
    <m/>
    <m/>
    <n v="1"/>
    <n v="1"/>
    <n v="1"/>
    <n v="1"/>
    <m/>
    <m/>
    <d v="2025-01-01T00:00:00"/>
    <d v="1899-12-31T00:00:00"/>
    <d v="2025-02-14T00:00:00"/>
    <x v="16"/>
    <m/>
    <s v="&lt;p&gt; ** PROCESO Automatizar las retenciones de IVA e ISR mediante un robot RPA. Para IVA, el robot accede a la SAT, recopila las facturas del Régimen General y Pequeño Contribuyente, las almacena en SAP, las compara, y si coinciden, genera la retención correspondiente. En el caso de ISR, el robot gestiona diferentes escenarios asigna dicho escenario a cada factura y luego le genera la retención, notifica a contabilidad y envía al proveedor un correo con el archivo PDF. **  ** &lt;/p&gt;"/>
    <n v="8271"/>
    <n v="68005"/>
    <s v="/ Se creo el sub-flujo y funciona sin problema"/>
    <x v="19"/>
    <n v="4"/>
    <d v="1899-12-30T04:00:00"/>
    <d v="2025-02-05T00:00:00"/>
  </r>
  <r>
    <n v="8276"/>
    <x v="71"/>
    <x v="122"/>
    <m/>
    <m/>
    <n v="21"/>
    <x v="3"/>
    <n v="3203"/>
    <x v="8"/>
    <s v="x"/>
    <x v="1"/>
    <m/>
    <m/>
    <m/>
    <m/>
    <n v="1"/>
    <n v="1"/>
    <n v="3"/>
    <n v="3"/>
    <m/>
    <m/>
    <d v="2025-01-01T00:00:00"/>
    <d v="1899-12-31T00:00:00"/>
    <d v="2025-01-31T00:00:00"/>
    <x v="21"/>
    <m/>
    <m/>
    <m/>
    <m/>
    <m/>
    <x v="5"/>
    <m/>
    <m/>
    <m/>
  </r>
  <r>
    <n v="8294"/>
    <x v="72"/>
    <x v="123"/>
    <n v="247556"/>
    <s v="DOUGLAS MONTOYA MONTAVES"/>
    <n v="27"/>
    <x v="5"/>
    <n v="3201"/>
    <x v="12"/>
    <s v="x"/>
    <x v="0"/>
    <m/>
    <m/>
    <m/>
    <m/>
    <n v="1"/>
    <n v="1"/>
    <n v="1"/>
    <n v="1"/>
    <m/>
    <m/>
    <d v="2025-01-30T00:00:00"/>
    <d v="1899-12-31T00:00:00"/>
    <d v="2025-04-30T00:00:00"/>
    <x v="4"/>
    <m/>
    <s v="&lt;p&gt; ** Proceso para creación proveedores con generación automática de código en SAP, alertas para actualización de datos y documentos, validación interna, almacenamiento y clasificación de expediente de proveedor. **  ** &lt;/p&gt;"/>
    <n v="8294"/>
    <n v="72191"/>
    <s v="/"/>
    <x v="1"/>
    <n v="1"/>
    <d v="1899-12-30T01:00:00"/>
    <d v="2025-02-20T00:00:00"/>
  </r>
  <r>
    <n v="8294"/>
    <x v="72"/>
    <x v="123"/>
    <n v="247556"/>
    <s v="DOUGLAS MONTOYA MONTAVES"/>
    <n v="27"/>
    <x v="5"/>
    <n v="3201"/>
    <x v="12"/>
    <m/>
    <x v="0"/>
    <m/>
    <m/>
    <m/>
    <m/>
    <n v="1"/>
    <n v="1"/>
    <n v="1"/>
    <n v="1"/>
    <m/>
    <m/>
    <d v="2025-01-30T00:00:00"/>
    <d v="1899-12-31T00:00:00"/>
    <d v="2025-04-30T00:00:00"/>
    <x v="4"/>
    <m/>
    <s v="&lt;p&gt; ** Proceso para creación proveedores con generación automática de código en SAP, alertas para actualización de datos y documentos, validación interna, almacenamiento y clasificación de expediente de proveedor. **  ** &lt;/p&gt;"/>
    <n v="8294"/>
    <n v="71922"/>
    <s v="Análisis de documentos, campos, información y etapas"/>
    <x v="2"/>
    <n v="1"/>
    <d v="1899-12-30T01:00:00"/>
    <d v="2025-02-19T00:00:00"/>
  </r>
  <r>
    <n v="8294"/>
    <x v="72"/>
    <x v="123"/>
    <n v="247556"/>
    <s v="DOUGLAS MONTOYA MONTAVES"/>
    <n v="27"/>
    <x v="5"/>
    <n v="3201"/>
    <x v="12"/>
    <m/>
    <x v="0"/>
    <m/>
    <m/>
    <m/>
    <m/>
    <n v="1"/>
    <n v="1"/>
    <n v="1"/>
    <n v="1"/>
    <m/>
    <m/>
    <d v="2025-01-30T00:00:00"/>
    <d v="1899-12-31T00:00:00"/>
    <d v="2025-04-30T00:00:00"/>
    <x v="4"/>
    <m/>
    <s v="&lt;p&gt; ** Proceso para creación proveedores con generación automática de código en SAP, alertas para actualización de datos y documentos, validación interna, almacenamiento y clasificación de expediente de proveedor. **  ** &lt;/p&gt;"/>
    <n v="8294"/>
    <n v="71808"/>
    <s v="Análisis de documentos, campos, información y etapas"/>
    <x v="3"/>
    <n v="2"/>
    <d v="1899-12-30T02:00:00"/>
    <d v="2025-02-19T00:00:00"/>
  </r>
  <r>
    <n v="8294"/>
    <x v="72"/>
    <x v="123"/>
    <n v="247556"/>
    <s v="DOUGLAS MONTOYA MONTAVES"/>
    <n v="27"/>
    <x v="5"/>
    <n v="3201"/>
    <x v="12"/>
    <m/>
    <x v="0"/>
    <m/>
    <m/>
    <m/>
    <m/>
    <n v="1"/>
    <n v="1"/>
    <n v="1"/>
    <n v="1"/>
    <m/>
    <m/>
    <d v="2025-01-30T00:00:00"/>
    <d v="1899-12-31T00:00:00"/>
    <d v="2025-04-30T00:00:00"/>
    <x v="4"/>
    <m/>
    <s v="&lt;p&gt; ** Proceso para creación proveedores con generación automática de código en SAP, alertas para actualización de datos y documentos, validación interna, almacenamiento y clasificación de expediente de proveedor. **  ** &lt;/p&gt;"/>
    <n v="8294"/>
    <n v="71807"/>
    <s v="Validación de información de Proveedor en DB de SAP"/>
    <x v="3"/>
    <n v="1"/>
    <d v="1899-12-30T01:00:00"/>
    <d v="2025-02-19T00:00:00"/>
  </r>
  <r>
    <n v="8294"/>
    <x v="72"/>
    <x v="123"/>
    <n v="247556"/>
    <s v="DOUGLAS MONTOYA MONTAVES"/>
    <n v="27"/>
    <x v="5"/>
    <n v="3201"/>
    <x v="12"/>
    <m/>
    <x v="0"/>
    <m/>
    <m/>
    <m/>
    <m/>
    <n v="1"/>
    <n v="1"/>
    <n v="1"/>
    <n v="1"/>
    <m/>
    <m/>
    <d v="2025-01-30T00:00:00"/>
    <d v="1899-12-31T00:00:00"/>
    <d v="2025-04-30T00:00:00"/>
    <x v="4"/>
    <m/>
    <s v="&lt;p&gt; ** Proceso para creación proveedores con generación automática de código en SAP, alertas para actualización de datos y documentos, validación interna, almacenamiento y clasificación de expediente de proveedor. **  ** &lt;/p&gt;"/>
    <n v="8294"/>
    <n v="71410"/>
    <s v="Elaboración de prosa para definir objetos y etapas"/>
    <x v="13"/>
    <n v="2"/>
    <d v="1899-12-30T02:00:00"/>
    <d v="2025-02-18T00:00:00"/>
  </r>
  <r>
    <n v="8294"/>
    <x v="72"/>
    <x v="123"/>
    <n v="247556"/>
    <s v="DOUGLAS MONTOYA MONTAVES"/>
    <n v="27"/>
    <x v="5"/>
    <n v="3201"/>
    <x v="12"/>
    <m/>
    <x v="0"/>
    <m/>
    <m/>
    <m/>
    <m/>
    <n v="1"/>
    <n v="1"/>
    <n v="1"/>
    <n v="1"/>
    <m/>
    <m/>
    <d v="2025-01-30T00:00:00"/>
    <d v="1899-12-31T00:00:00"/>
    <d v="2025-04-30T00:00:00"/>
    <x v="4"/>
    <m/>
    <s v="&lt;p&gt; ** Proceso para creación proveedores con generación automática de código en SAP, alertas para actualización de datos y documentos, validación interna, almacenamiento y clasificación de expediente de proveedor. **  ** &lt;/p&gt;"/>
    <n v="8294"/>
    <n v="71409"/>
    <s v="Análisis de tabla y datos de Proveedores en SAP para validar estado y consumo de data en LF"/>
    <x v="13"/>
    <n v="2"/>
    <d v="1899-12-30T02:00:00"/>
    <d v="2025-02-18T00:00:00"/>
  </r>
  <r>
    <n v="8294"/>
    <x v="72"/>
    <x v="123"/>
    <n v="247556"/>
    <s v="DOUGLAS MONTOYA MONTAVES"/>
    <n v="27"/>
    <x v="5"/>
    <n v="3201"/>
    <x v="12"/>
    <m/>
    <x v="0"/>
    <m/>
    <m/>
    <m/>
    <m/>
    <n v="1"/>
    <n v="1"/>
    <n v="1"/>
    <n v="1"/>
    <m/>
    <m/>
    <d v="2025-01-30T00:00:00"/>
    <d v="1899-12-31T00:00:00"/>
    <d v="2025-04-30T00:00:00"/>
    <x v="4"/>
    <m/>
    <s v="&lt;p&gt; ** Proceso para creación proveedores con generación automática de código en SAP, alertas para actualización de datos y documentos, validación interna, almacenamiento y clasificación de expediente de proveedor. **  ** &lt;/p&gt;"/>
    <n v="8294"/>
    <n v="69875"/>
    <s v="Elaboración de diagramas y documento de toma de requerimientos sobre etapas del proceso"/>
    <x v="30"/>
    <n v="2.5"/>
    <d v="1899-12-30T02:30:00"/>
    <d v="2025-02-12T00:00:00"/>
  </r>
  <r>
    <n v="8294"/>
    <x v="72"/>
    <x v="123"/>
    <n v="247556"/>
    <s v="DOUGLAS MONTOYA MONTAVES"/>
    <n v="27"/>
    <x v="5"/>
    <n v="3201"/>
    <x v="12"/>
    <m/>
    <x v="0"/>
    <m/>
    <m/>
    <m/>
    <m/>
    <n v="1"/>
    <n v="1"/>
    <n v="1"/>
    <n v="1"/>
    <m/>
    <m/>
    <d v="2025-01-30T00:00:00"/>
    <d v="1899-12-31T00:00:00"/>
    <d v="2025-04-30T00:00:00"/>
    <x v="4"/>
    <m/>
    <s v="&lt;p&gt; ** Proceso para creación proveedores con generación automática de código en SAP, alertas para actualización de datos y documentos, validación interna, almacenamiento y clasificación de expediente de proveedor. **  ** &lt;/p&gt;"/>
    <n v="8294"/>
    <n v="68281"/>
    <s v="Diagramas sobre etapas del proceso"/>
    <x v="19"/>
    <n v="2.25"/>
    <d v="1899-12-30T02:15:00"/>
    <d v="2025-02-06T00:00:00"/>
  </r>
  <r>
    <n v="8294"/>
    <x v="72"/>
    <x v="123"/>
    <n v="247556"/>
    <s v="DOUGLAS MONTOYA MONTAVES"/>
    <n v="27"/>
    <x v="5"/>
    <n v="3201"/>
    <x v="12"/>
    <m/>
    <x v="0"/>
    <m/>
    <m/>
    <m/>
    <m/>
    <n v="1"/>
    <n v="1"/>
    <n v="1"/>
    <n v="1"/>
    <m/>
    <m/>
    <d v="2025-01-30T00:00:00"/>
    <d v="1899-12-31T00:00:00"/>
    <d v="2025-04-30T00:00:00"/>
    <x v="4"/>
    <m/>
    <s v="&lt;p&gt; ** Proceso para creación proveedores con generación automática de código en SAP, alertas para actualización de datos y documentos, validación interna, almacenamiento y clasificación de expediente de proveedor. **  ** &lt;/p&gt;"/>
    <n v="8294"/>
    <n v="68280"/>
    <s v="Reunión para toma de requerimientos"/>
    <x v="25"/>
    <n v="1.5"/>
    <d v="1899-12-30T01:30:00"/>
    <d v="2025-02-06T00:00:00"/>
  </r>
  <r>
    <n v="8256"/>
    <x v="73"/>
    <x v="124"/>
    <n v="247002"/>
    <s v="AMI PAOLA YOC LOPEZ"/>
    <n v="21"/>
    <x v="3"/>
    <n v="3202"/>
    <x v="3"/>
    <s v="x"/>
    <x v="1"/>
    <m/>
    <m/>
    <m/>
    <m/>
    <n v="1"/>
    <n v="1"/>
    <n v="2"/>
    <n v="2"/>
    <m/>
    <m/>
    <d v="2025-01-20T00:00:00"/>
    <d v="1899-12-31T00:00:00"/>
    <d v="2025-01-24T00:00:00"/>
    <x v="34"/>
    <d v="2025-03-01T00:00:00"/>
    <m/>
    <n v="8256"/>
    <n v="67228"/>
    <s v="Cambios realizados en los CC del mes de Julio a Diciembre 2024"/>
    <x v="33"/>
    <n v="4"/>
    <d v="1899-12-30T04:00:00"/>
    <d v="2025-02-01T00:00:00"/>
  </r>
  <r>
    <n v="8256"/>
    <x v="73"/>
    <x v="124"/>
    <n v="247002"/>
    <s v="AMI PAOLA YOC LOPEZ"/>
    <n v="21"/>
    <x v="3"/>
    <n v="3202"/>
    <x v="3"/>
    <m/>
    <x v="1"/>
    <m/>
    <m/>
    <m/>
    <m/>
    <n v="1"/>
    <n v="1"/>
    <n v="2"/>
    <n v="2"/>
    <m/>
    <m/>
    <d v="2025-01-20T00:00:00"/>
    <d v="1899-12-31T00:00:00"/>
    <d v="2025-01-24T00:00:00"/>
    <x v="34"/>
    <d v="2025-03-01T00:00:00"/>
    <m/>
    <n v="8256"/>
    <n v="67227"/>
    <s v="Cambios realizados en los CC del mes de Febrero a Junio 2024"/>
    <x v="45"/>
    <n v="8"/>
    <d v="1899-12-30T08:00:00"/>
    <d v="2025-02-01T00:00:00"/>
  </r>
  <r>
    <n v="8256"/>
    <x v="73"/>
    <x v="124"/>
    <n v="247002"/>
    <s v="AMI PAOLA YOC LOPEZ"/>
    <n v="21"/>
    <x v="3"/>
    <n v="3202"/>
    <x v="3"/>
    <m/>
    <x v="1"/>
    <m/>
    <m/>
    <m/>
    <m/>
    <n v="1"/>
    <n v="1"/>
    <n v="2"/>
    <n v="2"/>
    <m/>
    <m/>
    <d v="2025-01-20T00:00:00"/>
    <d v="1899-12-31T00:00:00"/>
    <d v="2025-01-24T00:00:00"/>
    <x v="34"/>
    <d v="2025-03-01T00:00:00"/>
    <m/>
    <n v="8256"/>
    <n v="67226"/>
    <s v="Cambios realizados en los CC del mes de Enero 2024"/>
    <x v="46"/>
    <n v="4"/>
    <d v="1899-12-30T04:00:00"/>
    <d v="2025-02-01T00:00:00"/>
  </r>
  <r>
    <n v="8284"/>
    <x v="51"/>
    <x v="125"/>
    <m/>
    <m/>
    <n v="21"/>
    <x v="3"/>
    <n v="3198"/>
    <x v="1"/>
    <s v="x"/>
    <x v="0"/>
    <m/>
    <m/>
    <m/>
    <m/>
    <m/>
    <m/>
    <m/>
    <m/>
    <m/>
    <m/>
    <m/>
    <m/>
    <m/>
    <x v="19"/>
    <m/>
    <m/>
    <m/>
    <m/>
    <m/>
    <x v="5"/>
    <m/>
    <m/>
    <m/>
  </r>
  <r>
    <n v="8548"/>
    <x v="51"/>
    <x v="126"/>
    <n v="247572"/>
    <s v="DENIS OSWALDO ILLESCAS DE LEON"/>
    <n v="21"/>
    <x v="3"/>
    <n v="3204"/>
    <x v="10"/>
    <s v="x"/>
    <x v="1"/>
    <n v="2"/>
    <s v="PROCESO"/>
    <n v="2"/>
    <s v="MEDIA"/>
    <m/>
    <m/>
    <m/>
    <m/>
    <m/>
    <m/>
    <d v="2025-03-10T00:00:00"/>
    <d v="2025-03-10T00:00:00"/>
    <d v="2025-03-10T00:00:00"/>
    <x v="9"/>
    <d v="2025-03-10T00:00:00"/>
    <m/>
    <n v="8548"/>
    <n v="76985"/>
    <s v="/"/>
    <x v="28"/>
    <n v="5"/>
    <d v="1899-12-30T05:00:00"/>
    <d v="2025-03-10T00:00:00"/>
  </r>
  <r>
    <n v="8330"/>
    <x v="74"/>
    <x v="127"/>
    <n v="247614"/>
    <s v="LEIDI PAOLA ESQUIVEL RAMIREZ"/>
    <n v="21"/>
    <x v="3"/>
    <n v="195"/>
    <x v="4"/>
    <s v="x"/>
    <x v="0"/>
    <m/>
    <m/>
    <m/>
    <m/>
    <n v="1"/>
    <n v="1"/>
    <n v="1"/>
    <n v="1"/>
    <m/>
    <m/>
    <d v="2025-01-01T00:00:00"/>
    <d v="1899-12-31T00:00:00"/>
    <d v="2025-02-28T00:00:00"/>
    <x v="7"/>
    <m/>
    <m/>
    <n v="8330"/>
    <n v="72791"/>
    <s v="/"/>
    <x v="0"/>
    <n v="0"/>
    <d v="1899-12-30T00:00:00"/>
    <d v="2025-02-21T00:00:00"/>
  </r>
  <r>
    <n v="8330"/>
    <x v="74"/>
    <x v="127"/>
    <n v="247614"/>
    <s v="LEIDI PAOLA ESQUIVEL RAMIREZ"/>
    <n v="21"/>
    <x v="3"/>
    <n v="195"/>
    <x v="4"/>
    <m/>
    <x v="0"/>
    <m/>
    <m/>
    <m/>
    <m/>
    <n v="1"/>
    <n v="1"/>
    <n v="1"/>
    <n v="1"/>
    <m/>
    <m/>
    <d v="2025-01-01T00:00:00"/>
    <d v="1899-12-31T00:00:00"/>
    <d v="2025-02-28T00:00:00"/>
    <x v="7"/>
    <m/>
    <m/>
    <n v="8330"/>
    <n v="72790"/>
    <s v="Reestructuración de pantalla de vista de llamadas de servicio permitidas"/>
    <x v="2"/>
    <n v="3.5"/>
    <d v="1899-12-30T03:30:00"/>
    <d v="2025-02-21T00:00:00"/>
  </r>
  <r>
    <n v="8330"/>
    <x v="74"/>
    <x v="127"/>
    <n v="247614"/>
    <s v="LEIDI PAOLA ESQUIVEL RAMIREZ"/>
    <n v="21"/>
    <x v="3"/>
    <n v="195"/>
    <x v="4"/>
    <m/>
    <x v="0"/>
    <m/>
    <m/>
    <m/>
    <m/>
    <n v="1"/>
    <n v="1"/>
    <n v="1"/>
    <n v="1"/>
    <m/>
    <m/>
    <d v="2025-01-01T00:00:00"/>
    <d v="1899-12-31T00:00:00"/>
    <d v="2025-02-28T00:00:00"/>
    <x v="7"/>
    <m/>
    <m/>
    <n v="8330"/>
    <n v="72748"/>
    <s v="Desarrollo de vista para usuario supervisor"/>
    <x v="2"/>
    <n v="3"/>
    <d v="1899-12-30T03:00:00"/>
    <d v="2025-02-21T00:00:00"/>
  </r>
  <r>
    <n v="8330"/>
    <x v="74"/>
    <x v="127"/>
    <n v="247614"/>
    <s v="LEIDI PAOLA ESQUIVEL RAMIREZ"/>
    <n v="21"/>
    <x v="3"/>
    <n v="195"/>
    <x v="4"/>
    <m/>
    <x v="0"/>
    <m/>
    <m/>
    <m/>
    <m/>
    <n v="1"/>
    <n v="1"/>
    <n v="1"/>
    <n v="1"/>
    <m/>
    <m/>
    <d v="2025-01-01T00:00:00"/>
    <d v="1899-12-31T00:00:00"/>
    <d v="2025-02-28T00:00:00"/>
    <x v="7"/>
    <m/>
    <m/>
    <n v="8330"/>
    <n v="72723"/>
    <s v="Desarrollo de opción de asignación de costos por código de mano de obra"/>
    <x v="3"/>
    <n v="3"/>
    <d v="1899-12-30T03:00:00"/>
    <d v="2025-02-21T00:00:00"/>
  </r>
  <r>
    <n v="8330"/>
    <x v="74"/>
    <x v="127"/>
    <n v="247614"/>
    <s v="LEIDI PAOLA ESQUIVEL RAMIREZ"/>
    <n v="21"/>
    <x v="3"/>
    <n v="195"/>
    <x v="4"/>
    <m/>
    <x v="0"/>
    <m/>
    <m/>
    <m/>
    <m/>
    <n v="1"/>
    <n v="1"/>
    <n v="1"/>
    <n v="1"/>
    <m/>
    <m/>
    <d v="2025-01-01T00:00:00"/>
    <d v="1899-12-31T00:00:00"/>
    <d v="2025-02-28T00:00:00"/>
    <x v="7"/>
    <m/>
    <m/>
    <n v="8330"/>
    <n v="72722"/>
    <s v="Desarrollo de opción para asignar 2 técnicos de lavado a una misma llamada de servicio"/>
    <x v="13"/>
    <n v="1.5"/>
    <d v="1899-12-30T01:30:00"/>
    <d v="2025-02-21T00:00:00"/>
  </r>
  <r>
    <n v="8330"/>
    <x v="74"/>
    <x v="127"/>
    <n v="247614"/>
    <s v="LEIDI PAOLA ESQUIVEL RAMIREZ"/>
    <n v="21"/>
    <x v="3"/>
    <n v="195"/>
    <x v="4"/>
    <m/>
    <x v="0"/>
    <m/>
    <m/>
    <m/>
    <m/>
    <n v="1"/>
    <n v="1"/>
    <n v="1"/>
    <n v="1"/>
    <m/>
    <m/>
    <d v="2025-01-01T00:00:00"/>
    <d v="1899-12-31T00:00:00"/>
    <d v="2025-02-28T00:00:00"/>
    <x v="7"/>
    <m/>
    <m/>
    <n v="8330"/>
    <n v="70171"/>
    <s v="/"/>
    <x v="15"/>
    <n v="0"/>
    <d v="1899-12-30T00:00:00"/>
    <d v="2025-02-13T00:00:00"/>
  </r>
  <r>
    <n v="8330"/>
    <x v="74"/>
    <x v="127"/>
    <n v="247614"/>
    <s v="LEIDI PAOLA ESQUIVEL RAMIREZ"/>
    <n v="21"/>
    <x v="3"/>
    <n v="195"/>
    <x v="4"/>
    <m/>
    <x v="0"/>
    <m/>
    <m/>
    <m/>
    <m/>
    <n v="1"/>
    <n v="1"/>
    <n v="1"/>
    <n v="1"/>
    <m/>
    <m/>
    <d v="2025-01-01T00:00:00"/>
    <d v="1899-12-31T00:00:00"/>
    <d v="2025-02-28T00:00:00"/>
    <x v="7"/>
    <m/>
    <m/>
    <n v="8330"/>
    <n v="70170"/>
    <s v="Ajuste de módulo de asignación de llamadas de servicio"/>
    <x v="16"/>
    <n v="2"/>
    <d v="1899-12-30T02:00:00"/>
    <d v="2025-02-13T00:00:00"/>
  </r>
  <r>
    <n v="8330"/>
    <x v="74"/>
    <x v="127"/>
    <n v="247614"/>
    <s v="LEIDI PAOLA ESQUIVEL RAMIREZ"/>
    <n v="21"/>
    <x v="3"/>
    <n v="195"/>
    <x v="4"/>
    <m/>
    <x v="0"/>
    <m/>
    <m/>
    <m/>
    <m/>
    <n v="1"/>
    <n v="1"/>
    <n v="1"/>
    <n v="1"/>
    <m/>
    <m/>
    <d v="2025-01-01T00:00:00"/>
    <d v="1899-12-31T00:00:00"/>
    <d v="2025-02-28T00:00:00"/>
    <x v="7"/>
    <m/>
    <m/>
    <n v="8330"/>
    <n v="70169"/>
    <s v="Desarrollo de módulo de asignación de costo por código de mano de obra"/>
    <x v="17"/>
    <n v="3"/>
    <d v="1899-12-30T03:00:00"/>
    <d v="2025-02-13T00:00:00"/>
  </r>
  <r>
    <n v="8330"/>
    <x v="74"/>
    <x v="127"/>
    <n v="247614"/>
    <s v="LEIDI PAOLA ESQUIVEL RAMIREZ"/>
    <n v="21"/>
    <x v="3"/>
    <n v="195"/>
    <x v="4"/>
    <m/>
    <x v="0"/>
    <m/>
    <m/>
    <m/>
    <m/>
    <n v="1"/>
    <n v="1"/>
    <n v="1"/>
    <n v="1"/>
    <m/>
    <m/>
    <d v="2025-01-01T00:00:00"/>
    <d v="1899-12-31T00:00:00"/>
    <d v="2025-02-28T00:00:00"/>
    <x v="7"/>
    <m/>
    <m/>
    <n v="8330"/>
    <n v="70168"/>
    <s v="Desarrollo de módulo de asignación a otro lavador"/>
    <x v="30"/>
    <n v="2.5"/>
    <d v="1899-12-30T02:30:00"/>
    <d v="2025-02-13T00:00:00"/>
  </r>
  <r>
    <n v="8252"/>
    <x v="75"/>
    <x v="128"/>
    <n v="247795"/>
    <s v="SANDRA JUDITH LOARCA HERNANDEZ de PEREZ"/>
    <n v="21"/>
    <x v="3"/>
    <n v="3200"/>
    <x v="5"/>
    <s v="x"/>
    <x v="0"/>
    <m/>
    <m/>
    <m/>
    <m/>
    <n v="1"/>
    <n v="1"/>
    <n v="3"/>
    <n v="3"/>
    <m/>
    <m/>
    <d v="2025-01-01T00:00:00"/>
    <d v="1899-12-31T00:00:00"/>
    <d v="2025-02-28T00:00:00"/>
    <x v="9"/>
    <m/>
    <s v="&lt;p&gt; ** PROCESO Crear códigos de activos fijos por medio de un archivo Excel.&lt;/p&gt;"/>
    <n v="8252"/>
    <n v="75255"/>
    <s v="Agregar vista de carga"/>
    <x v="36"/>
    <n v="5"/>
    <d v="1899-12-30T05:00:00"/>
    <d v="2025-03-04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75254"/>
    <s v="Arreglo de mensaje de error"/>
    <x v="36"/>
    <n v="3"/>
    <d v="1899-12-30T03:00:00"/>
    <d v="2025-03-04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74813"/>
    <s v="Verificaciones sobre la visualización de seleccionar"/>
    <x v="8"/>
    <n v="4"/>
    <d v="1899-12-30T04:00:00"/>
    <d v="2025-03-01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73900"/>
    <s v="Error de visualización de la pagina en producción"/>
    <x v="9"/>
    <n v="3.5"/>
    <d v="1899-12-30T03:30:00"/>
    <d v="2025-02-27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73899"/>
    <s v="Revisión de la pagina y revisión de los documentos para la publicación"/>
    <x v="10"/>
    <n v="5.5"/>
    <d v="1899-12-30T05:30:00"/>
    <d v="2025-02-27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73295"/>
    <s v="Verificando posibles errores en la pagina web"/>
    <x v="11"/>
    <n v="6"/>
    <d v="1899-12-30T06:00:00"/>
    <d v="2025-02-25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73294"/>
    <s v="Creación de la documentación"/>
    <x v="11"/>
    <n v="2"/>
    <d v="1899-12-30T02:00:00"/>
    <d v="2025-02-25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73131"/>
    <s v="Documentación de manual de uso"/>
    <x v="12"/>
    <n v="5"/>
    <d v="1899-12-30T05:00:00"/>
    <d v="2025-02-24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73130"/>
    <s v="Verificación de pruebas."/>
    <x v="12"/>
    <n v="3"/>
    <d v="1899-12-30T03:00:00"/>
    <d v="2025-02-24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72902"/>
    <s v="Se verifico porque no funciona la pagina y se corrigió los bugs"/>
    <x v="23"/>
    <n v="4"/>
    <d v="1899-12-30T04:00:00"/>
    <d v="2025-02-22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72901"/>
    <s v="Revisión porque la pagina no funciona."/>
    <x v="0"/>
    <n v="4"/>
    <d v="1899-12-30T04:00:00"/>
    <d v="2025-02-22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72900"/>
    <s v="Revisión para verificar porque se crea los activos fijos VH que tienen un numero de seria ya registrado"/>
    <x v="0"/>
    <n v="4"/>
    <d v="1899-12-30T04:00:00"/>
    <d v="2025-02-22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72078"/>
    <s v="Al usuario se le creara un manual para el funcionamiento del la creación de activos fijos."/>
    <x v="1"/>
    <n v="4"/>
    <d v="1899-12-30T04:00:00"/>
    <d v="2025-02-20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72072"/>
    <s v="Se le informo al usuario para hacer pruebas en la creación de activos fijos y se procedió hacer creaciones de activos fijos"/>
    <x v="2"/>
    <n v="2.5"/>
    <d v="1899-12-30T02:30:00"/>
    <d v="2025-02-20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72058"/>
    <s v="Se configuro completamente el ambiente de pruebas para la creación de activos fijos."/>
    <x v="3"/>
    <n v="5"/>
    <d v="1899-12-30T05:00:00"/>
    <d v="2025-02-20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72067"/>
    <s v="Se creo un entorno de pruebas y se arreglo el problema que no cargaba el documento."/>
    <x v="13"/>
    <n v="4"/>
    <d v="1899-12-30T04:00:00"/>
    <d v="2025-02-20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70978"/>
    <s v="Se esta configurando un ambiente pruebas para no llevar la computadora"/>
    <x v="24"/>
    <n v="4"/>
    <d v="1899-12-30T04:00:00"/>
    <d v="2025-02-15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70980"/>
    <s v="Pruebas con el usuario usando computadora física se cancelo por mantenimiento de una base de datos y se procedió a crear un ambiente de pruebas"/>
    <x v="14"/>
    <n v="8"/>
    <d v="1899-12-30T08:00:00"/>
    <d v="2025-02-15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70122"/>
    <s v="Se esta corrigiendo los errores con los nombres y verificando los datos listos para registrar no se registraron"/>
    <x v="15"/>
    <n v="8"/>
    <d v="1899-12-30T08:00:00"/>
    <d v="2025-02-13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69387"/>
    <s v="Se realizo pruebas y se arreglo para que acepte dos nombres y un apellido pero sigue dando problemas"/>
    <x v="30"/>
    <n v="8"/>
    <d v="1899-12-30T08:00:00"/>
    <d v="2025-02-11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68858"/>
    <s v="Se trabajo en la verificación de los datos concuerden con el tipo de activo fijo"/>
    <x v="4"/>
    <n v="8"/>
    <d v="1899-12-30T08:00:00"/>
    <d v="2025-02-07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68857"/>
    <s v="Se realizo pruebas y se arreglo la seleccion de los grupos en excel"/>
    <x v="18"/>
    <n v="9"/>
    <d v="1899-12-30T09:00:00"/>
    <d v="2025-02-07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68883"/>
    <s v="Se trabajo en el DI-API"/>
    <x v="19"/>
    <n v="6.5"/>
    <d v="1899-12-30T06:30:00"/>
    <d v="2025-02-07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67822"/>
    <s v="Se trabajo en arreglar la carga para vehiculos y se realizo pruebas"/>
    <x v="25"/>
    <n v="9"/>
    <d v="1899-12-30T09:00:00"/>
    <d v="2025-02-05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67583"/>
    <s v="Se realizaron pruebas con solo un dato"/>
    <x v="26"/>
    <n v="8.5"/>
    <d v="1899-12-30T08:30:00"/>
    <d v="2025-02-04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67582"/>
    <s v="Se comenzó a realizar pruebas para ver si traía los datos correctos"/>
    <x v="43"/>
    <n v="4"/>
    <d v="1899-12-30T04:00:00"/>
    <d v="2025-02-04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67581"/>
    <s v="Se realizo código para extraer los datos y asignarlo a los objetos de la API"/>
    <x v="34"/>
    <n v="8"/>
    <d v="1899-12-30T08:00:00"/>
    <d v="2025-02-04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67580"/>
    <s v="Se creo la lógica para resivir los datos y como se va recorrer los datos"/>
    <x v="31"/>
    <n v="8"/>
    <d v="1899-12-30T08:00:00"/>
    <d v="2025-02-04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66298"/>
    <s v="Se comprobó las verificaciones de recolección del archivo de Excel para equipo de computo"/>
    <x v="20"/>
    <n v="8"/>
    <d v="1899-12-30T08:00:00"/>
    <d v="2025-01-30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65850"/>
    <s v="Se verifico la validaciones y se busca más escenarios en donde pueda fallar el prototipo"/>
    <x v="21"/>
    <n v="8"/>
    <d v="1899-12-30T08:00:00"/>
    <d v="2025-01-28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65793"/>
    <s v="Se creo un prototipo en el cual se pueda cargar el archivo de excel y hacer validaciones"/>
    <x v="22"/>
    <n v="8"/>
    <d v="1899-12-30T08:00:00"/>
    <d v="2025-01-28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65848"/>
    <s v="Se probo el SP para la extracción de los datos"/>
    <x v="44"/>
    <n v="2"/>
    <d v="1899-12-30T02:00:00"/>
    <d v="2025-01-28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67579"/>
    <s v="Se corrigió la lógica del SP"/>
    <x v="41"/>
    <n v="2.1666666666666599"/>
    <d v="1899-12-30T02:10:00"/>
    <d v="2025-02-04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67578"/>
    <s v="Se realizaron pruebas para ver que mostraba el SP"/>
    <x v="32"/>
    <n v="4"/>
    <d v="1899-12-30T04:00:00"/>
    <d v="2025-02-04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67577"/>
    <s v="Se trabajo en la creación del SP"/>
    <x v="33"/>
    <n v="8"/>
    <d v="1899-12-30T08:00:00"/>
    <d v="2025-02-04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65847"/>
    <s v="Se busco la forma de relacionar las tablas para la extracción de datos que son necesario para insertar en la tabla de activo fijos por medio de SP."/>
    <x v="45"/>
    <n v="8"/>
    <d v="1899-12-30T08:00:00"/>
    <d v="2025-01-28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65842"/>
    <s v="Se busco los datos que van por default para la tabla de activos fijos"/>
    <x v="46"/>
    <n v="8"/>
    <d v="1899-12-30T08:00:00"/>
    <d v="2025-01-28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65841"/>
    <s v="Se busco la relación de tablas que son necesarios para insertar en la tabla activo fijo"/>
    <x v="47"/>
    <n v="8"/>
    <d v="1899-12-30T08:00:00"/>
    <d v="2025-01-28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65819"/>
    <s v="Se solicito el archivo de excle"/>
    <x v="48"/>
    <n v="0.5"/>
    <d v="1899-12-30T00:30:00"/>
    <d v="2025-01-28T00:00:00"/>
  </r>
  <r>
    <n v="8252"/>
    <x v="75"/>
    <x v="128"/>
    <n v="247795"/>
    <s v="SANDRA JUDITH LOARCA HERNANDEZ de PEREZ"/>
    <n v="21"/>
    <x v="3"/>
    <n v="3200"/>
    <x v="5"/>
    <m/>
    <x v="0"/>
    <m/>
    <m/>
    <m/>
    <m/>
    <n v="1"/>
    <n v="1"/>
    <n v="3"/>
    <n v="3"/>
    <m/>
    <m/>
    <d v="2025-01-01T00:00:00"/>
    <d v="1899-12-31T00:00:00"/>
    <d v="2025-02-28T00:00:00"/>
    <x v="9"/>
    <m/>
    <s v="&lt;p&gt; ** PROCESO Crear códigos de activos fijos por medio de un archivo Excel.&lt;/p&gt;"/>
    <n v="8252"/>
    <n v="65820"/>
    <s v="Se me presentaron los requerimientos para el proyocto."/>
    <x v="49"/>
    <n v="1"/>
    <d v="1899-12-30T01:00:00"/>
    <d v="2025-01-28T00:00:00"/>
  </r>
  <r>
    <n v="8278"/>
    <x v="76"/>
    <x v="129"/>
    <m/>
    <m/>
    <n v="21"/>
    <x v="3"/>
    <n v="3203"/>
    <x v="8"/>
    <s v="x"/>
    <x v="0"/>
    <m/>
    <m/>
    <m/>
    <m/>
    <n v="1"/>
    <n v="1"/>
    <n v="2"/>
    <n v="2"/>
    <m/>
    <m/>
    <d v="2025-01-01T00:00:00"/>
    <d v="2025-01-01T00:00:00"/>
    <d v="2025-02-28T00:00:00"/>
    <x v="5"/>
    <m/>
    <s v="&lt;p&gt; ** Confirmando la actualización en las validaciones ** de Transaction SAP agregando la Bodega PM122.&lt;/p&gt;&lt;p&gt; ** Se modificaron los Transaction de los siguientes documentos:&lt;/p&gt;&lt;p&gt; ** - Oferta de Venta&lt;/p&gt;&lt;p&gt; ** - Orden de Venta&lt;/p&gt;&lt;p&gt; ** - Solicitud de Traslado **  **  **  ** &lt;/p&gt;"/>
    <m/>
    <m/>
    <m/>
    <x v="5"/>
    <m/>
    <m/>
    <m/>
  </r>
  <r>
    <n v="8309"/>
    <x v="51"/>
    <x v="130"/>
    <n v="247417"/>
    <s v="ALVARO LEONEL GUTIERREZ LOPEZ"/>
    <n v="21"/>
    <x v="3"/>
    <n v="3202"/>
    <x v="3"/>
    <s v="x"/>
    <x v="0"/>
    <n v="4"/>
    <s v="SOPORTE/CAPACITACION"/>
    <n v="1"/>
    <s v="BAJA"/>
    <n v="1"/>
    <n v="1"/>
    <n v="2"/>
    <n v="2"/>
    <n v="1"/>
    <s v="PEQUEÑO"/>
    <d v="2025-02-04T00:00:00"/>
    <d v="2025-02-04T00:00:00"/>
    <d v="2025-02-05T00:00:00"/>
    <x v="35"/>
    <d v="2025-02-05T00:00:00"/>
    <m/>
    <n v="8309"/>
    <n v="69091"/>
    <s v="Carga Masiva de registros en Módulo STOD"/>
    <x v="19"/>
    <n v="4"/>
    <d v="1899-12-30T04:00:00"/>
    <d v="2025-02-08T00:00:00"/>
  </r>
  <r>
    <n v="8309"/>
    <x v="51"/>
    <x v="130"/>
    <n v="247417"/>
    <s v="ALVARO LEONEL GUTIERREZ LOPEZ"/>
    <n v="21"/>
    <x v="3"/>
    <n v="3202"/>
    <x v="3"/>
    <m/>
    <x v="0"/>
    <n v="4"/>
    <s v="SOPORTE/CAPACITACION"/>
    <n v="1"/>
    <s v="BAJA"/>
    <n v="1"/>
    <n v="1"/>
    <n v="2"/>
    <n v="2"/>
    <n v="1"/>
    <s v="PEQUEÑO"/>
    <d v="2025-02-04T00:00:00"/>
    <d v="2025-02-04T00:00:00"/>
    <d v="2025-02-05T00:00:00"/>
    <x v="35"/>
    <d v="2025-02-05T00:00:00"/>
    <m/>
    <n v="8309"/>
    <n v="69090"/>
    <s v="Revisión en la conexión del módulo en STOD con Endpoint"/>
    <x v="19"/>
    <n v="2"/>
    <d v="1899-12-30T02:00:00"/>
    <d v="2025-02-08T00:00:00"/>
  </r>
  <r>
    <n v="8309"/>
    <x v="51"/>
    <x v="130"/>
    <n v="247417"/>
    <s v="ALVARO LEONEL GUTIERREZ LOPEZ"/>
    <n v="21"/>
    <x v="3"/>
    <n v="3202"/>
    <x v="3"/>
    <m/>
    <x v="0"/>
    <n v="4"/>
    <s v="SOPORTE/CAPACITACION"/>
    <n v="1"/>
    <s v="BAJA"/>
    <n v="1"/>
    <n v="1"/>
    <n v="2"/>
    <n v="2"/>
    <n v="1"/>
    <s v="PEQUEÑO"/>
    <d v="2025-02-04T00:00:00"/>
    <d v="2025-02-04T00:00:00"/>
    <d v="2025-02-05T00:00:00"/>
    <x v="35"/>
    <d v="2025-02-05T00:00:00"/>
    <m/>
    <n v="8309"/>
    <n v="69089"/>
    <s v="Revisión funcionalidad Endpoint de JANET"/>
    <x v="25"/>
    <n v="3"/>
    <d v="1899-12-30T03:00:00"/>
    <d v="2025-02-08T00:00:00"/>
  </r>
  <r>
    <n v="8549"/>
    <x v="51"/>
    <x v="131"/>
    <n v="289006"/>
    <s v="SULY DANIELA CHUN SANTOS de RIVERA"/>
    <n v="21"/>
    <x v="3"/>
    <n v="3204"/>
    <x v="10"/>
    <s v="x"/>
    <x v="1"/>
    <n v="4"/>
    <s v="SOPORTE/CAPACITACION"/>
    <n v="2"/>
    <s v="MEDIA"/>
    <n v="2"/>
    <n v="2"/>
    <m/>
    <m/>
    <m/>
    <m/>
    <d v="2025-03-10T00:00:00"/>
    <d v="2025-03-10T00:00:00"/>
    <d v="2025-03-10T00:00:00"/>
    <x v="9"/>
    <d v="2025-03-10T00:00:00"/>
    <m/>
    <n v="8549"/>
    <n v="76989"/>
    <s v="/"/>
    <x v="28"/>
    <n v="3"/>
    <d v="1899-12-30T03:00:00"/>
    <d v="2025-03-10T00:00:00"/>
  </r>
  <r>
    <n v="8468"/>
    <x v="51"/>
    <x v="132"/>
    <n v="247541"/>
    <s v="ALEJANDRO ALBERTO GARCIA ARRECIS"/>
    <n v="21"/>
    <x v="3"/>
    <n v="3198"/>
    <x v="1"/>
    <s v="x"/>
    <x v="1"/>
    <n v="1"/>
    <s v="API"/>
    <n v="1"/>
    <s v="BAJA"/>
    <n v="3"/>
    <n v="3"/>
    <n v="3"/>
    <n v="3"/>
    <m/>
    <m/>
    <d v="2025-02-19T00:00:00"/>
    <d v="2025-02-24T00:00:00"/>
    <d v="2025-02-24T00:00:00"/>
    <x v="19"/>
    <d v="2025-02-28T00:00:00"/>
    <m/>
    <m/>
    <m/>
    <m/>
    <x v="5"/>
    <m/>
    <m/>
    <m/>
  </r>
  <r>
    <n v="8277"/>
    <x v="77"/>
    <x v="133"/>
    <m/>
    <m/>
    <n v="21"/>
    <x v="3"/>
    <n v="3203"/>
    <x v="8"/>
    <s v="x"/>
    <x v="0"/>
    <m/>
    <m/>
    <m/>
    <m/>
    <n v="3"/>
    <n v="3"/>
    <n v="2"/>
    <n v="2"/>
    <m/>
    <m/>
    <d v="2025-01-01T00:00:00"/>
    <d v="1899-12-31T00:00:00"/>
    <d v="2025-02-28T00:00:00"/>
    <x v="5"/>
    <m/>
    <s v="&lt;p&gt;Reporte A y Reporte B&lt;/p&gt;"/>
    <n v="8277"/>
    <n v="71501"/>
    <s v="/"/>
    <x v="3"/>
    <n v="5"/>
    <d v="1899-12-30T05:00:00"/>
    <d v="2025-02-18T00:00:00"/>
  </r>
  <r>
    <n v="8277"/>
    <x v="77"/>
    <x v="133"/>
    <m/>
    <m/>
    <n v="21"/>
    <x v="3"/>
    <n v="3203"/>
    <x v="8"/>
    <m/>
    <x v="0"/>
    <m/>
    <m/>
    <m/>
    <m/>
    <n v="3"/>
    <n v="3"/>
    <n v="2"/>
    <n v="2"/>
    <m/>
    <m/>
    <d v="2025-01-01T00:00:00"/>
    <d v="1899-12-31T00:00:00"/>
    <d v="2025-02-28T00:00:00"/>
    <x v="5"/>
    <m/>
    <s v="&lt;p&gt;Reporte A y Reporte B&lt;/p&gt;"/>
    <n v="8277"/>
    <n v="71387"/>
    <s v="/"/>
    <x v="13"/>
    <n v="2"/>
    <d v="1899-12-30T02:00:00"/>
    <d v="2025-02-17T00:00:00"/>
  </r>
  <r>
    <n v="8277"/>
    <x v="77"/>
    <x v="133"/>
    <m/>
    <m/>
    <n v="21"/>
    <x v="3"/>
    <n v="3203"/>
    <x v="8"/>
    <m/>
    <x v="0"/>
    <m/>
    <m/>
    <m/>
    <m/>
    <n v="3"/>
    <n v="3"/>
    <n v="2"/>
    <n v="2"/>
    <m/>
    <m/>
    <d v="2025-01-01T00:00:00"/>
    <d v="1899-12-31T00:00:00"/>
    <d v="2025-02-28T00:00:00"/>
    <x v="5"/>
    <m/>
    <s v="&lt;p&gt;Reporte A y Reporte B&lt;/p&gt;"/>
    <n v="8277"/>
    <n v="69258"/>
    <s v="/"/>
    <x v="30"/>
    <n v="1"/>
    <d v="1899-12-30T01:00:00"/>
    <d v="2025-02-10T00:00:00"/>
  </r>
  <r>
    <n v="8277"/>
    <x v="77"/>
    <x v="133"/>
    <m/>
    <m/>
    <n v="21"/>
    <x v="3"/>
    <n v="3203"/>
    <x v="8"/>
    <m/>
    <x v="0"/>
    <m/>
    <m/>
    <m/>
    <m/>
    <n v="3"/>
    <n v="3"/>
    <n v="2"/>
    <n v="2"/>
    <m/>
    <m/>
    <d v="2025-01-01T00:00:00"/>
    <d v="1899-12-31T00:00:00"/>
    <d v="2025-02-28T00:00:00"/>
    <x v="5"/>
    <m/>
    <s v="&lt;p&gt;Reporte A y Reporte B&lt;/p&gt;"/>
    <n v="8277"/>
    <n v="68238"/>
    <s v="/"/>
    <x v="18"/>
    <n v="4"/>
    <d v="1899-12-30T04:00:00"/>
    <d v="2025-02-06T00:00:00"/>
  </r>
  <r>
    <n v="8301"/>
    <x v="78"/>
    <x v="134"/>
    <m/>
    <m/>
    <n v="21"/>
    <x v="3"/>
    <n v="195"/>
    <x v="4"/>
    <s v="x"/>
    <x v="1"/>
    <m/>
    <m/>
    <m/>
    <m/>
    <m/>
    <m/>
    <n v="1"/>
    <n v="1"/>
    <m/>
    <m/>
    <d v="2025-01-01T00:00:00"/>
    <d v="1899-12-31T00:00:00"/>
    <d v="2025-01-31T00:00:00"/>
    <x v="3"/>
    <m/>
    <m/>
    <n v="8301"/>
    <n v="70172"/>
    <s v="Ajuste de departamentos que toma en cuenta el reporte e implementación del reporte"/>
    <x v="16"/>
    <n v="1"/>
    <d v="1899-12-30T01:00:00"/>
    <d v="2025-02-13T00:00:00"/>
  </r>
  <r>
    <n v="8447"/>
    <x v="51"/>
    <x v="135"/>
    <n v="289030"/>
    <s v="WILLIAMS GIOVANNI GALVAN ESTRADA"/>
    <n v="21"/>
    <x v="3"/>
    <n v="3198"/>
    <x v="1"/>
    <s v="x"/>
    <x v="1"/>
    <n v="3"/>
    <s v="REPORTE"/>
    <n v="1"/>
    <s v="BAJA"/>
    <n v="2"/>
    <n v="2"/>
    <n v="1"/>
    <n v="1"/>
    <n v="1"/>
    <s v="PEQUEÑO"/>
    <d v="2025-02-17T00:00:00"/>
    <d v="2025-02-17T00:00:00"/>
    <d v="2025-02-17T00:00:00"/>
    <x v="19"/>
    <m/>
    <m/>
    <m/>
    <m/>
    <m/>
    <x v="5"/>
    <m/>
    <m/>
    <m/>
  </r>
  <r>
    <n v="8521"/>
    <x v="51"/>
    <x v="136"/>
    <n v="289036"/>
    <s v="MADELYN SUSANA BRAN OLIVAREZ"/>
    <n v="21"/>
    <x v="3"/>
    <n v="3204"/>
    <x v="10"/>
    <s v="x"/>
    <x v="1"/>
    <n v="4"/>
    <s v="SOPORTE/CAPACITACION"/>
    <n v="1"/>
    <s v="BAJA"/>
    <n v="2"/>
    <n v="2"/>
    <m/>
    <m/>
    <m/>
    <m/>
    <d v="2025-02-06T00:00:00"/>
    <d v="2025-02-06T00:00:00"/>
    <d v="2025-02-07T00:00:00"/>
    <x v="18"/>
    <d v="2025-02-07T00:00:00"/>
    <m/>
    <n v="8521"/>
    <n v="75558"/>
    <s v="/"/>
    <x v="4"/>
    <n v="1"/>
    <d v="1899-12-30T01:00:00"/>
    <d v="2025-03-05T00:00:00"/>
  </r>
  <r>
    <n v="8521"/>
    <x v="51"/>
    <x v="136"/>
    <n v="289036"/>
    <s v="MADELYN SUSANA BRAN OLIVAREZ"/>
    <n v="21"/>
    <x v="3"/>
    <n v="3204"/>
    <x v="10"/>
    <m/>
    <x v="1"/>
    <n v="4"/>
    <s v="SOPORTE/CAPACITACION"/>
    <n v="1"/>
    <s v="BAJA"/>
    <n v="2"/>
    <n v="2"/>
    <m/>
    <m/>
    <m/>
    <m/>
    <d v="2025-02-06T00:00:00"/>
    <d v="2025-02-06T00:00:00"/>
    <d v="2025-02-07T00:00:00"/>
    <x v="18"/>
    <d v="2025-02-07T00:00:00"/>
    <m/>
    <n v="8521"/>
    <n v="75557"/>
    <s v="/"/>
    <x v="18"/>
    <n v="1"/>
    <d v="1899-12-30T01:00:00"/>
    <d v="2025-03-05T00:00:00"/>
  </r>
  <r>
    <n v="8336"/>
    <x v="51"/>
    <x v="137"/>
    <n v="247897"/>
    <s v="JOSE LUIS PRADO PORTILLO"/>
    <n v="21"/>
    <x v="3"/>
    <n v="3202"/>
    <x v="3"/>
    <s v="x"/>
    <x v="1"/>
    <n v="4"/>
    <s v="SOPORTE/CAPACITACION"/>
    <n v="1"/>
    <s v="BAJA"/>
    <n v="2"/>
    <n v="2"/>
    <n v="2"/>
    <n v="2"/>
    <n v="1"/>
    <s v="PEQUEÑO"/>
    <d v="2025-02-13T00:00:00"/>
    <d v="2025-02-13T00:00:00"/>
    <d v="2025-02-13T00:00:00"/>
    <x v="36"/>
    <d v="2025-02-13T00:00:00"/>
    <m/>
    <n v="8336"/>
    <n v="70826"/>
    <s v="El Proveedor no estaba activo y esto generaba el error en la creación del documento"/>
    <x v="15"/>
    <n v="0.5"/>
    <d v="1899-12-30T00:30:00"/>
    <d v="2025-02-14T00:00:00"/>
  </r>
  <r>
    <n v="8260"/>
    <x v="79"/>
    <x v="138"/>
    <m/>
    <m/>
    <n v="21"/>
    <x v="3"/>
    <n v="3202"/>
    <x v="3"/>
    <s v="x"/>
    <x v="0"/>
    <m/>
    <m/>
    <m/>
    <m/>
    <n v="1"/>
    <n v="1"/>
    <n v="1"/>
    <n v="1"/>
    <m/>
    <m/>
    <d v="2025-01-01T00:00:00"/>
    <d v="1899-12-31T00:00:00"/>
    <d v="2025-02-14T00:00:00"/>
    <x v="16"/>
    <d v="2025-02-20T00:00:00"/>
    <m/>
    <m/>
    <m/>
    <m/>
    <x v="5"/>
    <m/>
    <m/>
    <m/>
  </r>
  <r>
    <n v="8478"/>
    <x v="51"/>
    <x v="139"/>
    <n v="247541"/>
    <s v="ALEJANDRO ALBERTO GARCIA ARRECIS"/>
    <n v="21"/>
    <x v="3"/>
    <n v="3198"/>
    <x v="1"/>
    <s v="x"/>
    <x v="1"/>
    <n v="1"/>
    <s v="API"/>
    <n v="1"/>
    <s v="BAJA"/>
    <n v="3"/>
    <n v="3"/>
    <n v="3"/>
    <n v="3"/>
    <n v="1"/>
    <s v="PEQUEÑO"/>
    <d v="2025-02-19T00:00:00"/>
    <d v="2025-02-21T00:00:00"/>
    <d v="2025-02-26T00:00:00"/>
    <x v="19"/>
    <m/>
    <m/>
    <n v="8478"/>
    <n v="72710"/>
    <s v="Cambio de direccion de End Point para la consulta de lecturas"/>
    <x v="0"/>
    <n v="4"/>
    <d v="1899-12-30T04:00:00"/>
    <d v="2025-02-21T00:00:00"/>
  </r>
  <r>
    <n v="8520"/>
    <x v="51"/>
    <x v="140"/>
    <n v="246862"/>
    <s v="EDUARDO ALEXANDER MUÑOZ PATZAN"/>
    <n v="21"/>
    <x v="3"/>
    <n v="3204"/>
    <x v="10"/>
    <s v="x"/>
    <x v="1"/>
    <n v="2"/>
    <s v="PROCESO"/>
    <n v="2"/>
    <s v="MEDIA"/>
    <n v="2"/>
    <n v="2"/>
    <m/>
    <m/>
    <m/>
    <m/>
    <d v="2025-02-05T00:00:00"/>
    <d v="2025-02-05T00:00:00"/>
    <d v="2025-02-05T00:00:00"/>
    <x v="35"/>
    <d v="2025-02-05T00:00:00"/>
    <m/>
    <n v="8520"/>
    <n v="75552"/>
    <s v="/"/>
    <x v="19"/>
    <n v="1.5"/>
    <d v="1899-12-30T01:30:00"/>
    <d v="2025-03-05T00:00:00"/>
  </r>
  <r>
    <n v="8334"/>
    <x v="51"/>
    <x v="141"/>
    <n v="247857"/>
    <s v="ARNALDO RENE COTTO STREMS"/>
    <n v="21"/>
    <x v="3"/>
    <n v="195"/>
    <x v="4"/>
    <s v="x"/>
    <x v="1"/>
    <n v="2"/>
    <s v="PROCESO"/>
    <n v="2"/>
    <s v="MEDIA"/>
    <n v="2"/>
    <n v="2"/>
    <n v="2"/>
    <n v="2"/>
    <n v="2"/>
    <s v="MEDIANO"/>
    <d v="2025-02-01T00:00:00"/>
    <d v="2025-02-01T00:00:00"/>
    <d v="2025-02-14T00:00:00"/>
    <x v="16"/>
    <m/>
    <s v="&lt;p&gt;Se solicita trasladar el sitio web que contiene el Dashboard de ventas MOTUL ya que este no se encuentra operando actualmente.&lt;/p&gt;"/>
    <n v="8334"/>
    <n v="70181"/>
    <s v="Pruebas de funcionamiento"/>
    <x v="15"/>
    <n v="1"/>
    <d v="1899-12-30T01:00:00"/>
    <d v="2025-02-13T00:00:00"/>
  </r>
  <r>
    <n v="8334"/>
    <x v="51"/>
    <x v="141"/>
    <n v="247857"/>
    <s v="ARNALDO RENE COTTO STREMS"/>
    <n v="21"/>
    <x v="3"/>
    <n v="195"/>
    <x v="4"/>
    <m/>
    <x v="1"/>
    <n v="2"/>
    <s v="PROCESO"/>
    <n v="2"/>
    <s v="MEDIA"/>
    <n v="2"/>
    <n v="2"/>
    <n v="2"/>
    <n v="2"/>
    <n v="2"/>
    <s v="MEDIANO"/>
    <d v="2025-02-01T00:00:00"/>
    <d v="2025-02-01T00:00:00"/>
    <d v="2025-02-14T00:00:00"/>
    <x v="16"/>
    <m/>
    <s v="&lt;p&gt;Se solicita trasladar el sitio web que contiene el Dashboard de ventas MOTUL ya que este no se encuentra operando actualmente.&lt;/p&gt;"/>
    <n v="8334"/>
    <n v="70177"/>
    <s v="Traslado de fuentes y configuración del sitio web"/>
    <x v="16"/>
    <n v="4"/>
    <d v="1899-12-30T04:00:00"/>
    <d v="2025-02-13T00:00:00"/>
  </r>
  <r>
    <n v="8334"/>
    <x v="51"/>
    <x v="141"/>
    <n v="247857"/>
    <s v="ARNALDO RENE COTTO STREMS"/>
    <n v="21"/>
    <x v="3"/>
    <n v="195"/>
    <x v="4"/>
    <m/>
    <x v="1"/>
    <n v="2"/>
    <s v="PROCESO"/>
    <n v="2"/>
    <s v="MEDIA"/>
    <n v="2"/>
    <n v="2"/>
    <n v="2"/>
    <n v="2"/>
    <n v="2"/>
    <s v="MEDIANO"/>
    <d v="2025-02-01T00:00:00"/>
    <d v="2025-02-01T00:00:00"/>
    <d v="2025-02-14T00:00:00"/>
    <x v="16"/>
    <m/>
    <s v="&lt;p&gt;Se solicita trasladar el sitio web que contiene el Dashboard de ventas MOTUL ya que este no se encuentra operando actualmente.&lt;/p&gt;"/>
    <n v="8334"/>
    <n v="70176"/>
    <s v="Configuración de la aplicación del IIS para la aplicación web"/>
    <x v="17"/>
    <n v="1"/>
    <d v="1899-12-30T01:00:00"/>
    <d v="2025-02-13T00:00:00"/>
  </r>
  <r>
    <n v="8304"/>
    <x v="80"/>
    <x v="142"/>
    <n v="247722"/>
    <s v="RICARDO ALFONSO ESCOBEDO DACARET"/>
    <n v="21"/>
    <x v="3"/>
    <n v="195"/>
    <x v="4"/>
    <s v="x"/>
    <x v="0"/>
    <m/>
    <m/>
    <m/>
    <m/>
    <n v="1"/>
    <n v="1"/>
    <n v="2"/>
    <n v="2"/>
    <m/>
    <m/>
    <d v="2025-01-01T00:00:00"/>
    <d v="1899-12-31T00:00:00"/>
    <d v="2025-02-14T00:00:00"/>
    <x v="9"/>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n v="8304"/>
    <n v="72811"/>
    <s v="/"/>
    <x v="0"/>
    <n v="0"/>
    <d v="1899-12-30T00:00:00"/>
    <d v="2025-02-21T00:00:00"/>
  </r>
  <r>
    <n v="8304"/>
    <x v="80"/>
    <x v="142"/>
    <n v="247722"/>
    <s v="RICARDO ALFONSO ESCOBEDO DACARET"/>
    <n v="21"/>
    <x v="3"/>
    <n v="195"/>
    <x v="4"/>
    <m/>
    <x v="0"/>
    <m/>
    <m/>
    <m/>
    <m/>
    <n v="1"/>
    <n v="1"/>
    <n v="2"/>
    <n v="2"/>
    <m/>
    <m/>
    <d v="2025-01-01T00:00:00"/>
    <d v="1899-12-31T00:00:00"/>
    <d v="2025-02-14T00:00:00"/>
    <x v="9"/>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n v="8304"/>
    <n v="72810"/>
    <s v="Reestructuración de SP´s de inserción de solicitudes de contabilidad y créditos"/>
    <x v="0"/>
    <n v="2"/>
    <d v="1899-12-30T02:00:00"/>
    <d v="2025-02-21T00:00:00"/>
  </r>
  <r>
    <n v="8304"/>
    <x v="80"/>
    <x v="142"/>
    <n v="247722"/>
    <s v="RICARDO ALFONSO ESCOBEDO DACARET"/>
    <n v="21"/>
    <x v="3"/>
    <n v="195"/>
    <x v="4"/>
    <m/>
    <x v="0"/>
    <m/>
    <m/>
    <m/>
    <m/>
    <n v="1"/>
    <n v="1"/>
    <n v="2"/>
    <n v="2"/>
    <m/>
    <m/>
    <d v="2025-01-01T00:00:00"/>
    <d v="1899-12-31T00:00:00"/>
    <d v="2025-02-14T00:00:00"/>
    <x v="9"/>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n v="8304"/>
    <n v="72809"/>
    <s v="Reestructuración de SP´s de carga de estados de cuenta Industrial"/>
    <x v="0"/>
    <n v="3"/>
    <d v="1899-12-30T03:00:00"/>
    <d v="2025-02-21T00:00:00"/>
  </r>
  <r>
    <n v="8304"/>
    <x v="80"/>
    <x v="142"/>
    <n v="247722"/>
    <s v="RICARDO ALFONSO ESCOBEDO DACARET"/>
    <n v="21"/>
    <x v="3"/>
    <n v="195"/>
    <x v="4"/>
    <m/>
    <x v="0"/>
    <m/>
    <m/>
    <m/>
    <m/>
    <n v="1"/>
    <n v="1"/>
    <n v="2"/>
    <n v="2"/>
    <m/>
    <m/>
    <d v="2025-01-01T00:00:00"/>
    <d v="1899-12-31T00:00:00"/>
    <d v="2025-02-14T00:00:00"/>
    <x v="9"/>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n v="8304"/>
    <n v="72808"/>
    <s v="Reestructuración de SP´s de carga de estados de cuenta GYT"/>
    <x v="0"/>
    <n v="2.5"/>
    <d v="1899-12-30T02:30:00"/>
    <d v="2025-02-21T00:00:00"/>
  </r>
  <r>
    <n v="8304"/>
    <x v="80"/>
    <x v="142"/>
    <n v="247722"/>
    <s v="RICARDO ALFONSO ESCOBEDO DACARET"/>
    <n v="21"/>
    <x v="3"/>
    <n v="195"/>
    <x v="4"/>
    <m/>
    <x v="0"/>
    <m/>
    <m/>
    <m/>
    <m/>
    <n v="1"/>
    <n v="1"/>
    <n v="2"/>
    <n v="2"/>
    <m/>
    <m/>
    <d v="2025-01-01T00:00:00"/>
    <d v="1899-12-31T00:00:00"/>
    <d v="2025-02-14T00:00:00"/>
    <x v="9"/>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n v="8304"/>
    <n v="72718"/>
    <s v="Reestructuración de SP´s de carga de estados de cuenta BAN"/>
    <x v="3"/>
    <n v="2.5"/>
    <d v="1899-12-30T02:30:00"/>
    <d v="2025-02-21T00:00:00"/>
  </r>
  <r>
    <n v="8304"/>
    <x v="80"/>
    <x v="142"/>
    <n v="247722"/>
    <s v="RICARDO ALFONSO ESCOBEDO DACARET"/>
    <n v="21"/>
    <x v="3"/>
    <n v="195"/>
    <x v="4"/>
    <m/>
    <x v="0"/>
    <m/>
    <m/>
    <m/>
    <m/>
    <n v="1"/>
    <n v="1"/>
    <n v="2"/>
    <n v="2"/>
    <m/>
    <m/>
    <d v="2025-01-01T00:00:00"/>
    <d v="1899-12-31T00:00:00"/>
    <d v="2025-02-14T00:00:00"/>
    <x v="9"/>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n v="8304"/>
    <n v="72714"/>
    <s v="Reestructuración de SP´s de carga de estados de cuenta BANRURAL"/>
    <x v="3"/>
    <n v="3"/>
    <d v="1899-12-30T03:00:00"/>
    <d v="2025-02-21T00:00:00"/>
  </r>
  <r>
    <n v="8304"/>
    <x v="80"/>
    <x v="142"/>
    <n v="247722"/>
    <s v="RICARDO ALFONSO ESCOBEDO DACARET"/>
    <n v="21"/>
    <x v="3"/>
    <n v="195"/>
    <x v="4"/>
    <m/>
    <x v="0"/>
    <m/>
    <m/>
    <m/>
    <m/>
    <n v="1"/>
    <n v="1"/>
    <n v="2"/>
    <n v="2"/>
    <m/>
    <m/>
    <d v="2025-01-01T00:00:00"/>
    <d v="1899-12-31T00:00:00"/>
    <d v="2025-02-14T00:00:00"/>
    <x v="9"/>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n v="8304"/>
    <n v="72713"/>
    <s v="Reestructuración de SP´s de carga de estados de cuenta Banrural"/>
    <x v="13"/>
    <n v="1"/>
    <d v="1899-12-30T01:00:00"/>
    <d v="2025-02-21T00:00:00"/>
  </r>
  <r>
    <n v="8304"/>
    <x v="80"/>
    <x v="142"/>
    <n v="247722"/>
    <s v="RICARDO ALFONSO ESCOBEDO DACARET"/>
    <n v="21"/>
    <x v="3"/>
    <n v="195"/>
    <x v="4"/>
    <m/>
    <x v="0"/>
    <m/>
    <m/>
    <m/>
    <m/>
    <n v="1"/>
    <n v="1"/>
    <n v="2"/>
    <n v="2"/>
    <m/>
    <m/>
    <d v="2025-01-01T00:00:00"/>
    <d v="1899-12-31T00:00:00"/>
    <d v="2025-02-14T00:00:00"/>
    <x v="9"/>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n v="8304"/>
    <n v="72712"/>
    <s v="Reestructuración de SP´s de carga de estados de cuenta BAM"/>
    <x v="13"/>
    <n v="3"/>
    <d v="1899-12-30T03:00:00"/>
    <d v="2025-02-21T00:00:00"/>
  </r>
  <r>
    <n v="8304"/>
    <x v="80"/>
    <x v="142"/>
    <n v="247722"/>
    <s v="RICARDO ALFONSO ESCOBEDO DACARET"/>
    <n v="21"/>
    <x v="3"/>
    <n v="195"/>
    <x v="4"/>
    <m/>
    <x v="0"/>
    <m/>
    <m/>
    <m/>
    <m/>
    <n v="1"/>
    <n v="1"/>
    <n v="2"/>
    <n v="2"/>
    <m/>
    <m/>
    <d v="2025-01-01T00:00:00"/>
    <d v="1899-12-31T00:00:00"/>
    <d v="2025-02-14T00:00:00"/>
    <x v="9"/>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n v="8304"/>
    <n v="72711"/>
    <s v="Reestructuración de SP´s de carga de estados de cuenta BAC"/>
    <x v="13"/>
    <n v="3.5"/>
    <d v="1899-12-30T03:30:00"/>
    <d v="2025-02-21T00:00:00"/>
  </r>
  <r>
    <n v="8304"/>
    <x v="80"/>
    <x v="142"/>
    <n v="247722"/>
    <s v="RICARDO ALFONSO ESCOBEDO DACARET"/>
    <n v="21"/>
    <x v="3"/>
    <n v="195"/>
    <x v="4"/>
    <m/>
    <x v="0"/>
    <m/>
    <m/>
    <m/>
    <m/>
    <n v="1"/>
    <n v="1"/>
    <n v="2"/>
    <n v="2"/>
    <m/>
    <m/>
    <d v="2025-01-01T00:00:00"/>
    <d v="1899-12-31T00:00:00"/>
    <d v="2025-02-14T00:00:00"/>
    <x v="9"/>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n v="8304"/>
    <n v="70184"/>
    <s v="Se realizaron ajustes en la pantalla de carga de boletas para tomar los nuevos estados de cuenta"/>
    <x v="16"/>
    <n v="1.5"/>
    <d v="1899-12-30T01:30:00"/>
    <d v="2025-02-13T00:00:00"/>
  </r>
  <r>
    <n v="8304"/>
    <x v="80"/>
    <x v="142"/>
    <n v="247722"/>
    <s v="RICARDO ALFONSO ESCOBEDO DACARET"/>
    <n v="21"/>
    <x v="3"/>
    <n v="195"/>
    <x v="4"/>
    <m/>
    <x v="0"/>
    <m/>
    <m/>
    <m/>
    <m/>
    <n v="1"/>
    <n v="1"/>
    <n v="2"/>
    <n v="2"/>
    <m/>
    <m/>
    <d v="2025-01-01T00:00:00"/>
    <d v="1899-12-31T00:00:00"/>
    <d v="2025-02-14T00:00:00"/>
    <x v="9"/>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n v="8304"/>
    <n v="70132"/>
    <s v="Revisión de flujo de banco Bantrab"/>
    <x v="17"/>
    <n v="4.5"/>
    <d v="1899-12-30T04:30:00"/>
    <d v="2025-02-13T00:00:00"/>
  </r>
  <r>
    <n v="8304"/>
    <x v="80"/>
    <x v="142"/>
    <n v="247722"/>
    <s v="RICARDO ALFONSO ESCOBEDO DACARET"/>
    <n v="21"/>
    <x v="3"/>
    <n v="195"/>
    <x v="4"/>
    <m/>
    <x v="0"/>
    <m/>
    <m/>
    <m/>
    <m/>
    <n v="1"/>
    <n v="1"/>
    <n v="2"/>
    <n v="2"/>
    <m/>
    <m/>
    <d v="2025-01-01T00:00:00"/>
    <d v="1899-12-31T00:00:00"/>
    <d v="2025-02-14T00:00:00"/>
    <x v="9"/>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n v="8304"/>
    <n v="70131"/>
    <s v="Revisión de flujo de banco Interbanco"/>
    <x v="30"/>
    <n v="3"/>
    <d v="1899-12-30T03:00:00"/>
    <d v="2025-02-13T00:00:00"/>
  </r>
  <r>
    <n v="8304"/>
    <x v="80"/>
    <x v="142"/>
    <n v="247722"/>
    <s v="RICARDO ALFONSO ESCOBEDO DACARET"/>
    <n v="21"/>
    <x v="3"/>
    <n v="195"/>
    <x v="4"/>
    <m/>
    <x v="0"/>
    <m/>
    <m/>
    <m/>
    <m/>
    <n v="1"/>
    <n v="1"/>
    <n v="2"/>
    <n v="2"/>
    <m/>
    <m/>
    <d v="2025-01-01T00:00:00"/>
    <d v="1899-12-31T00:00:00"/>
    <d v="2025-02-14T00:00:00"/>
    <x v="9"/>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n v="8304"/>
    <n v="70130"/>
    <s v="Revisión de flujo de banco promerica"/>
    <x v="30"/>
    <n v="3"/>
    <d v="1899-12-30T03:00:00"/>
    <d v="2025-02-13T00:00:00"/>
  </r>
  <r>
    <n v="8304"/>
    <x v="80"/>
    <x v="142"/>
    <n v="247722"/>
    <s v="RICARDO ALFONSO ESCOBEDO DACARET"/>
    <n v="21"/>
    <x v="3"/>
    <n v="195"/>
    <x v="4"/>
    <m/>
    <x v="0"/>
    <m/>
    <m/>
    <m/>
    <m/>
    <n v="1"/>
    <n v="1"/>
    <n v="2"/>
    <n v="2"/>
    <m/>
    <m/>
    <d v="2025-01-01T00:00:00"/>
    <d v="1899-12-31T00:00:00"/>
    <d v="2025-02-14T00:00:00"/>
    <x v="9"/>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n v="8304"/>
    <n v="68598"/>
    <s v="Reunión de presentación del proyecto con los departamentos de Contabilidad y Créditos y Cobros"/>
    <x v="18"/>
    <n v="1.5"/>
    <d v="1899-12-30T01:30:00"/>
    <d v="2025-02-07T00:00:00"/>
  </r>
  <r>
    <n v="8304"/>
    <x v="80"/>
    <x v="142"/>
    <n v="247722"/>
    <s v="RICARDO ALFONSO ESCOBEDO DACARET"/>
    <n v="21"/>
    <x v="3"/>
    <n v="195"/>
    <x v="4"/>
    <m/>
    <x v="0"/>
    <m/>
    <m/>
    <m/>
    <m/>
    <n v="1"/>
    <n v="1"/>
    <n v="2"/>
    <n v="2"/>
    <m/>
    <m/>
    <d v="2025-01-01T00:00:00"/>
    <d v="1899-12-31T00:00:00"/>
    <d v="2025-02-14T00:00:00"/>
    <x v="9"/>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n v="8304"/>
    <n v="68597"/>
    <s v="Creación de la presentación del proyecto"/>
    <x v="18"/>
    <n v="3"/>
    <d v="1899-12-30T03:00:00"/>
    <d v="2025-02-07T00:00:00"/>
  </r>
  <r>
    <n v="8304"/>
    <x v="80"/>
    <x v="142"/>
    <n v="247722"/>
    <s v="RICARDO ALFONSO ESCOBEDO DACARET"/>
    <n v="21"/>
    <x v="3"/>
    <n v="195"/>
    <x v="4"/>
    <m/>
    <x v="0"/>
    <m/>
    <m/>
    <m/>
    <m/>
    <n v="1"/>
    <n v="1"/>
    <n v="2"/>
    <n v="2"/>
    <m/>
    <m/>
    <d v="2025-01-01T00:00:00"/>
    <d v="1899-12-31T00:00:00"/>
    <d v="2025-02-14T00:00:00"/>
    <x v="9"/>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n v="8304"/>
    <n v="68596"/>
    <s v="Desarrollo del plan de trabajo"/>
    <x v="18"/>
    <n v="2"/>
    <d v="1899-12-30T02:00:00"/>
    <d v="2025-02-07T00:00:00"/>
  </r>
  <r>
    <n v="8304"/>
    <x v="80"/>
    <x v="142"/>
    <n v="247722"/>
    <s v="RICARDO ALFONSO ESCOBEDO DACARET"/>
    <n v="21"/>
    <x v="3"/>
    <n v="195"/>
    <x v="4"/>
    <m/>
    <x v="0"/>
    <m/>
    <m/>
    <m/>
    <m/>
    <n v="1"/>
    <n v="1"/>
    <n v="2"/>
    <n v="2"/>
    <m/>
    <m/>
    <d v="2025-01-01T00:00:00"/>
    <d v="1899-12-31T00:00:00"/>
    <d v="2025-02-14T00:00:00"/>
    <x v="9"/>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n v="8304"/>
    <n v="68074"/>
    <s v="Reestructuración del procedimiento encargado de agregar solicitudes de confirmación y su tabla"/>
    <x v="19"/>
    <n v="2"/>
    <d v="1899-12-30T02:00:00"/>
    <d v="2025-02-05T00:00:00"/>
  </r>
  <r>
    <n v="8304"/>
    <x v="80"/>
    <x v="142"/>
    <n v="247722"/>
    <s v="RICARDO ALFONSO ESCOBEDO DACARET"/>
    <n v="21"/>
    <x v="3"/>
    <n v="195"/>
    <x v="4"/>
    <m/>
    <x v="0"/>
    <m/>
    <m/>
    <m/>
    <m/>
    <n v="1"/>
    <n v="1"/>
    <n v="2"/>
    <n v="2"/>
    <m/>
    <m/>
    <d v="2025-01-01T00:00:00"/>
    <d v="1899-12-31T00:00:00"/>
    <d v="2025-02-14T00:00:00"/>
    <x v="9"/>
    <m/>
    <s v="&lt;p&gt; ** PROCESO Se requiere desarrollar un sistema que facilite la validación masiva de boletas de transacciones bancarias, tomando como referencia el sistema de confirmación de boletas RPA implementado en el área de contabilidad. El nuevo sistema empleará las mismas validaciones y base de datos que el sistema de contabilidad, con el objetivo de eliminar la duplicidad de boletas, un problema recurrente en el proceso manual actual. **  ** &lt;/p&gt;"/>
    <n v="8304"/>
    <n v="68069"/>
    <s v="Revisión del procedimiento de agregar solicitudes de confirmación"/>
    <x v="19"/>
    <n v="2"/>
    <d v="1899-12-30T02:00:00"/>
    <d v="2025-02-05T00:00:00"/>
  </r>
  <r>
    <n v="8519"/>
    <x v="51"/>
    <x v="143"/>
    <n v="247318"/>
    <s v="ALAN FABRICIO MAZARIEGOS CHOC"/>
    <n v="21"/>
    <x v="3"/>
    <n v="3204"/>
    <x v="10"/>
    <s v="x"/>
    <x v="1"/>
    <n v="4"/>
    <s v="SOPORTE/CAPACITACION"/>
    <n v="1"/>
    <s v="BAJA"/>
    <n v="2"/>
    <n v="2"/>
    <m/>
    <m/>
    <m/>
    <m/>
    <d v="2025-02-05T00:00:00"/>
    <d v="2025-02-05T00:00:00"/>
    <d v="2025-02-05T00:00:00"/>
    <x v="35"/>
    <d v="2025-02-05T00:00:00"/>
    <m/>
    <n v="8519"/>
    <n v="75559"/>
    <s v="la información no aparece como cheque sino la encontré como transferencia"/>
    <x v="4"/>
    <n v="3"/>
    <d v="1899-12-30T03:00:00"/>
    <d v="2025-03-05T00:00:00"/>
  </r>
  <r>
    <n v="8519"/>
    <x v="51"/>
    <x v="143"/>
    <n v="247318"/>
    <s v="ALAN FABRICIO MAZARIEGOS CHOC"/>
    <n v="21"/>
    <x v="3"/>
    <n v="3204"/>
    <x v="10"/>
    <m/>
    <x v="1"/>
    <n v="4"/>
    <s v="SOPORTE/CAPACITACION"/>
    <n v="1"/>
    <s v="BAJA"/>
    <n v="2"/>
    <n v="2"/>
    <m/>
    <m/>
    <m/>
    <m/>
    <d v="2025-02-05T00:00:00"/>
    <d v="2025-02-05T00:00:00"/>
    <d v="2025-02-05T00:00:00"/>
    <x v="35"/>
    <d v="2025-02-05T00:00:00"/>
    <m/>
    <n v="8519"/>
    <n v="75550"/>
    <s v="/"/>
    <x v="19"/>
    <n v="2"/>
    <d v="1899-12-30T02:00:00"/>
    <d v="2025-03-05T00:00:00"/>
  </r>
  <r>
    <n v="8297"/>
    <x v="81"/>
    <x v="144"/>
    <m/>
    <m/>
    <n v="21"/>
    <x v="3"/>
    <n v="195"/>
    <x v="4"/>
    <s v="x"/>
    <x v="1"/>
    <m/>
    <m/>
    <m/>
    <m/>
    <m/>
    <m/>
    <n v="1"/>
    <n v="1"/>
    <m/>
    <m/>
    <d v="2025-01-01T00:00:00"/>
    <d v="1899-12-31T00:00:00"/>
    <d v="2025-01-15T00:00:00"/>
    <x v="37"/>
    <m/>
    <m/>
    <n v="8297"/>
    <n v="70054"/>
    <s v="Revisión de funcionamiento del RPA"/>
    <x v="15"/>
    <n v="0.5"/>
    <d v="1899-12-30T00:30:00"/>
    <d v="2025-02-13T00:00:00"/>
  </r>
  <r>
    <n v="8297"/>
    <x v="81"/>
    <x v="144"/>
    <m/>
    <m/>
    <n v="21"/>
    <x v="3"/>
    <n v="195"/>
    <x v="4"/>
    <m/>
    <x v="1"/>
    <m/>
    <m/>
    <m/>
    <m/>
    <m/>
    <m/>
    <n v="1"/>
    <n v="1"/>
    <m/>
    <m/>
    <d v="2025-01-01T00:00:00"/>
    <d v="1899-12-31T00:00:00"/>
    <d v="2025-01-15T00:00:00"/>
    <x v="37"/>
    <m/>
    <m/>
    <n v="8297"/>
    <n v="70053"/>
    <s v="Revisión de funcionamiento del RPA"/>
    <x v="16"/>
    <n v="0.5"/>
    <d v="1899-12-30T00:30:00"/>
    <d v="2025-02-13T00:00:00"/>
  </r>
  <r>
    <n v="8297"/>
    <x v="81"/>
    <x v="144"/>
    <m/>
    <m/>
    <n v="21"/>
    <x v="3"/>
    <n v="195"/>
    <x v="4"/>
    <m/>
    <x v="1"/>
    <m/>
    <m/>
    <m/>
    <m/>
    <m/>
    <m/>
    <n v="1"/>
    <n v="1"/>
    <m/>
    <m/>
    <d v="2025-01-01T00:00:00"/>
    <d v="1899-12-31T00:00:00"/>
    <d v="2025-01-15T00:00:00"/>
    <x v="37"/>
    <m/>
    <m/>
    <n v="8297"/>
    <n v="70052"/>
    <s v="Revisión de funcionamiento del RPA"/>
    <x v="17"/>
    <n v="0.5"/>
    <d v="1899-12-30T00:30:00"/>
    <d v="2025-02-13T00:00:00"/>
  </r>
  <r>
    <n v="8297"/>
    <x v="81"/>
    <x v="144"/>
    <m/>
    <m/>
    <n v="21"/>
    <x v="3"/>
    <n v="195"/>
    <x v="4"/>
    <m/>
    <x v="1"/>
    <m/>
    <m/>
    <m/>
    <m/>
    <m/>
    <m/>
    <n v="1"/>
    <n v="1"/>
    <m/>
    <m/>
    <d v="2025-01-01T00:00:00"/>
    <d v="1899-12-31T00:00:00"/>
    <d v="2025-01-15T00:00:00"/>
    <x v="37"/>
    <m/>
    <m/>
    <n v="8297"/>
    <n v="70051"/>
    <s v="Revisión de funcionamiento del RPA"/>
    <x v="30"/>
    <n v="0.5"/>
    <d v="1899-12-30T00:30:00"/>
    <d v="2025-02-13T00:00:00"/>
  </r>
  <r>
    <n v="8297"/>
    <x v="81"/>
    <x v="144"/>
    <m/>
    <m/>
    <n v="21"/>
    <x v="3"/>
    <n v="195"/>
    <x v="4"/>
    <m/>
    <x v="1"/>
    <m/>
    <m/>
    <m/>
    <m/>
    <m/>
    <m/>
    <n v="1"/>
    <n v="1"/>
    <m/>
    <m/>
    <d v="2025-01-01T00:00:00"/>
    <d v="1899-12-31T00:00:00"/>
    <d v="2025-01-15T00:00:00"/>
    <x v="37"/>
    <m/>
    <m/>
    <n v="8297"/>
    <n v="68933"/>
    <s v="Corrección del subflujo de envío de facturas a certificar"/>
    <x v="4"/>
    <n v="0.75"/>
    <d v="1899-12-30T00:45:00"/>
    <d v="2025-02-07T00:00:00"/>
  </r>
  <r>
    <n v="8297"/>
    <x v="81"/>
    <x v="144"/>
    <m/>
    <m/>
    <n v="21"/>
    <x v="3"/>
    <n v="195"/>
    <x v="4"/>
    <m/>
    <x v="1"/>
    <m/>
    <m/>
    <m/>
    <m/>
    <m/>
    <m/>
    <n v="1"/>
    <n v="1"/>
    <m/>
    <m/>
    <d v="2025-01-01T00:00:00"/>
    <d v="1899-12-31T00:00:00"/>
    <d v="2025-01-15T00:00:00"/>
    <x v="37"/>
    <m/>
    <m/>
    <n v="8297"/>
    <n v="68932"/>
    <s v="Revisión del proceso, monitoreo de los pasos"/>
    <x v="4"/>
    <n v="0.5"/>
    <d v="1899-12-30T00:30:00"/>
    <d v="2025-02-07T00:00:00"/>
  </r>
  <r>
    <n v="8518"/>
    <x v="51"/>
    <x v="145"/>
    <n v="246863"/>
    <s v="GUSTAVO ADOLFO CASTILLO MERIDA"/>
    <n v="21"/>
    <x v="3"/>
    <n v="3204"/>
    <x v="10"/>
    <s v="x"/>
    <x v="0"/>
    <n v="2"/>
    <s v="PROCESO"/>
    <n v="1"/>
    <s v="BAJA"/>
    <n v="2"/>
    <n v="2"/>
    <n v="2"/>
    <n v="2"/>
    <m/>
    <m/>
    <d v="2025-02-04T00:00:00"/>
    <d v="2025-02-04T00:00:00"/>
    <d v="2025-02-04T00:00:00"/>
    <x v="38"/>
    <d v="2025-02-04T00:00:00"/>
    <m/>
    <n v="8518"/>
    <n v="75549"/>
    <s v="/"/>
    <x v="25"/>
    <n v="1.5"/>
    <d v="1899-12-30T01:30:00"/>
    <d v="2025-03-05T00:00:00"/>
  </r>
  <r>
    <n v="8299"/>
    <x v="82"/>
    <x v="146"/>
    <n v="247614"/>
    <s v="LEIDI PAOLA ESQUIVEL RAMIREZ"/>
    <n v="21"/>
    <x v="3"/>
    <n v="195"/>
    <x v="4"/>
    <s v="x"/>
    <x v="1"/>
    <m/>
    <m/>
    <m/>
    <m/>
    <m/>
    <m/>
    <n v="2"/>
    <n v="2"/>
    <m/>
    <m/>
    <d v="2025-01-21T00:00:00"/>
    <d v="1899-12-31T00:00:00"/>
    <d v="2025-01-21T00:00:00"/>
    <x v="3"/>
    <d v="2025-02-07T00:00:00"/>
    <m/>
    <m/>
    <m/>
    <m/>
    <x v="5"/>
    <m/>
    <m/>
    <m/>
  </r>
  <r>
    <n v="8517"/>
    <x v="51"/>
    <x v="147"/>
    <n v="247884"/>
    <s v="ANA CAROLINA PALACIOS GONZALEZ de MENENDEZ"/>
    <n v="21"/>
    <x v="3"/>
    <n v="3204"/>
    <x v="10"/>
    <s v="x"/>
    <x v="1"/>
    <n v="4"/>
    <s v="SOPORTE/CAPACITACION"/>
    <n v="1"/>
    <s v="BAJA"/>
    <n v="2"/>
    <n v="2"/>
    <m/>
    <m/>
    <m/>
    <m/>
    <d v="2025-02-04T00:00:00"/>
    <d v="2025-02-04T00:00:00"/>
    <d v="2025-02-04T00:00:00"/>
    <x v="38"/>
    <d v="2025-02-04T00:00:00"/>
    <m/>
    <n v="8517"/>
    <n v="75547"/>
    <s v="/"/>
    <x v="25"/>
    <n v="1"/>
    <d v="1899-12-30T01:00:00"/>
    <d v="2025-03-05T00:00:00"/>
  </r>
  <r>
    <n v="8303"/>
    <x v="83"/>
    <x v="148"/>
    <m/>
    <m/>
    <n v="21"/>
    <x v="3"/>
    <n v="195"/>
    <x v="4"/>
    <s v="x"/>
    <x v="0"/>
    <m/>
    <m/>
    <m/>
    <m/>
    <n v="1"/>
    <n v="1"/>
    <n v="2"/>
    <n v="2"/>
    <m/>
    <m/>
    <d v="2025-01-01T00:00:00"/>
    <d v="1899-12-31T00:00:00"/>
    <d v="2025-01-31T00:00:00"/>
    <x v="3"/>
    <m/>
    <m/>
    <m/>
    <m/>
    <m/>
    <x v="5"/>
    <m/>
    <m/>
    <m/>
  </r>
  <r>
    <n v="8516"/>
    <x v="51"/>
    <x v="149"/>
    <n v="289006"/>
    <s v="SULY DANIELA CHUN SANTOS de RIVERA"/>
    <n v="21"/>
    <x v="3"/>
    <n v="3204"/>
    <x v="10"/>
    <s v="x"/>
    <x v="1"/>
    <n v="4"/>
    <s v="SOPORTE/CAPACITACION"/>
    <n v="2"/>
    <s v="MEDIA"/>
    <n v="2"/>
    <n v="2"/>
    <m/>
    <m/>
    <m/>
    <m/>
    <d v="2025-02-04T00:00:00"/>
    <d v="2025-02-04T00:00:00"/>
    <d v="2025-02-04T00:00:00"/>
    <x v="38"/>
    <d v="2025-02-04T00:00:00"/>
    <m/>
    <n v="8516"/>
    <n v="75554"/>
    <s v="/"/>
    <x v="19"/>
    <n v="3.5"/>
    <d v="1899-12-30T03:30:00"/>
    <d v="2025-03-05T00:00:00"/>
  </r>
  <r>
    <n v="8516"/>
    <x v="51"/>
    <x v="149"/>
    <n v="289006"/>
    <s v="SULY DANIELA CHUN SANTOS de RIVERA"/>
    <n v="21"/>
    <x v="3"/>
    <n v="3204"/>
    <x v="10"/>
    <m/>
    <x v="1"/>
    <n v="4"/>
    <s v="SOPORTE/CAPACITACION"/>
    <n v="2"/>
    <s v="MEDIA"/>
    <n v="2"/>
    <n v="2"/>
    <m/>
    <m/>
    <m/>
    <m/>
    <d v="2025-02-04T00:00:00"/>
    <d v="2025-02-04T00:00:00"/>
    <d v="2025-02-04T00:00:00"/>
    <x v="38"/>
    <d v="2025-02-04T00:00:00"/>
    <m/>
    <n v="8516"/>
    <n v="75542"/>
    <s v="seguimiento en implementación"/>
    <x v="25"/>
    <n v="5"/>
    <d v="1899-12-30T05:00:00"/>
    <d v="2025-03-05T00:00:00"/>
  </r>
  <r>
    <n v="8269"/>
    <x v="84"/>
    <x v="150"/>
    <n v="247828"/>
    <s v="DOUGLAS ALEJANDRO MALDONADO DUMAS"/>
    <n v="21"/>
    <x v="3"/>
    <n v="195"/>
    <x v="4"/>
    <s v="x"/>
    <x v="0"/>
    <m/>
    <m/>
    <m/>
    <m/>
    <n v="1"/>
    <n v="1"/>
    <n v="1"/>
    <n v="1"/>
    <m/>
    <m/>
    <d v="2025-01-01T00:00:00"/>
    <d v="1899-12-31T00:00:00"/>
    <d v="2025-01-31T00:00:00"/>
    <x v="3"/>
    <m/>
    <s v="&lt;p&gt; ** Ajustes al modulo de Recall con las indicaciones de Taller Automotriz **  ** &lt;/p&gt;"/>
    <n v="8269"/>
    <n v="66030"/>
    <s v="/"/>
    <x v="32"/>
    <n v="4.5"/>
    <d v="1899-12-30T04:30:00"/>
    <d v="2025-01-29T00:00:00"/>
  </r>
  <r>
    <n v="8514"/>
    <x v="51"/>
    <x v="151"/>
    <n v="247884"/>
    <s v="ANA CAROLINA PALACIOS GONZALEZ de MENENDEZ"/>
    <n v="21"/>
    <x v="3"/>
    <n v="3204"/>
    <x v="10"/>
    <s v="x"/>
    <x v="1"/>
    <n v="4"/>
    <s v="SOPORTE/CAPACITACION"/>
    <n v="2"/>
    <s v="MEDIA"/>
    <n v="2"/>
    <n v="2"/>
    <n v="2"/>
    <n v="2"/>
    <m/>
    <m/>
    <d v="2025-02-03T00:00:00"/>
    <d v="2025-02-03T00:00:00"/>
    <d v="2025-02-03T00:00:00"/>
    <x v="39"/>
    <d v="2025-02-03T00:00:00"/>
    <m/>
    <n v="8514"/>
    <n v="75536"/>
    <s v="/"/>
    <x v="26"/>
    <n v="2"/>
    <d v="1899-12-30T02:00:00"/>
    <d v="2025-03-05T00:00:00"/>
  </r>
  <r>
    <n v="8300"/>
    <x v="85"/>
    <x v="152"/>
    <m/>
    <m/>
    <n v="21"/>
    <x v="3"/>
    <n v="195"/>
    <x v="4"/>
    <s v="x"/>
    <x v="1"/>
    <m/>
    <m/>
    <m/>
    <m/>
    <m/>
    <m/>
    <n v="1"/>
    <n v="1"/>
    <m/>
    <m/>
    <d v="2025-01-06T00:00:00"/>
    <d v="1899-12-31T00:00:00"/>
    <d v="2025-01-31T00:00:00"/>
    <x v="3"/>
    <m/>
    <m/>
    <m/>
    <m/>
    <m/>
    <x v="5"/>
    <m/>
    <m/>
    <m/>
  </r>
  <r>
    <n v="8515"/>
    <x v="51"/>
    <x v="153"/>
    <n v="254970"/>
    <s v="ROSA SOFIA PIRIR FERNANDEZ de SANCHEZ"/>
    <n v="21"/>
    <x v="3"/>
    <n v="3204"/>
    <x v="10"/>
    <s v="x"/>
    <x v="1"/>
    <n v="4"/>
    <s v="SOPORTE/CAPACITACION"/>
    <n v="2"/>
    <s v="MEDIA"/>
    <n v="2"/>
    <n v="2"/>
    <n v="2"/>
    <n v="2"/>
    <m/>
    <m/>
    <d v="2025-02-03T00:00:00"/>
    <d v="2025-02-03T00:00:00"/>
    <m/>
    <x v="39"/>
    <d v="2025-02-03T00:00:00"/>
    <m/>
    <n v="8515"/>
    <n v="75540"/>
    <s v="/"/>
    <x v="26"/>
    <n v="2"/>
    <d v="1899-12-30T02:00:00"/>
    <d v="2025-03-05T00:00:00"/>
  </r>
  <r>
    <n v="8453"/>
    <x v="86"/>
    <x v="154"/>
    <n v="289036"/>
    <s v="MADELYN SUSANA BRAN OLIVAREZ"/>
    <n v="21"/>
    <x v="3"/>
    <n v="195"/>
    <x v="4"/>
    <s v="x"/>
    <x v="1"/>
    <m/>
    <m/>
    <m/>
    <m/>
    <m/>
    <m/>
    <n v="1"/>
    <n v="1"/>
    <m/>
    <m/>
    <d v="2025-01-16T00:00:00"/>
    <d v="1899-12-31T00:00:00"/>
    <d v="2025-01-18T00:00:00"/>
    <x v="37"/>
    <m/>
    <m/>
    <m/>
    <m/>
    <m/>
    <x v="5"/>
    <m/>
    <m/>
    <m/>
  </r>
  <r>
    <n v="8513"/>
    <x v="51"/>
    <x v="155"/>
    <n v="247885"/>
    <s v="AMABILIA MARISOL RECINOS ARGUETA"/>
    <n v="21"/>
    <x v="3"/>
    <n v="3204"/>
    <x v="10"/>
    <s v="x"/>
    <x v="1"/>
    <n v="4"/>
    <s v="SOPORTE/CAPACITACION"/>
    <n v="2"/>
    <s v="MEDIA"/>
    <n v="2"/>
    <n v="2"/>
    <m/>
    <m/>
    <m/>
    <m/>
    <d v="2025-02-03T00:00:00"/>
    <d v="2025-02-03T00:00:00"/>
    <d v="2025-02-03T00:00:00"/>
    <x v="39"/>
    <d v="2025-02-03T00:00:00"/>
    <m/>
    <n v="8513"/>
    <n v="75535"/>
    <s v="/"/>
    <x v="26"/>
    <n v="1"/>
    <d v="1899-12-30T01:00:00"/>
    <d v="2025-03-05T00:00:00"/>
  </r>
  <r>
    <n v="8513"/>
    <x v="51"/>
    <x v="155"/>
    <n v="247885"/>
    <s v="AMABILIA MARISOL RECINOS ARGUETA"/>
    <n v="21"/>
    <x v="3"/>
    <n v="3204"/>
    <x v="10"/>
    <m/>
    <x v="1"/>
    <n v="4"/>
    <s v="SOPORTE/CAPACITACION"/>
    <n v="2"/>
    <s v="MEDIA"/>
    <n v="2"/>
    <n v="2"/>
    <m/>
    <m/>
    <m/>
    <m/>
    <d v="2025-02-03T00:00:00"/>
    <d v="2025-02-03T00:00:00"/>
    <d v="2025-02-03T00:00:00"/>
    <x v="39"/>
    <d v="2025-02-03T00:00:00"/>
    <m/>
    <n v="8513"/>
    <n v="75534"/>
    <s v="/"/>
    <x v="26"/>
    <n v="2"/>
    <d v="1899-12-30T02:00:00"/>
    <d v="2025-03-05T00:00:00"/>
  </r>
  <r>
    <n v="8512"/>
    <x v="51"/>
    <x v="156"/>
    <n v="246832"/>
    <s v="KAREN SELENA MENDIZABAL LOPEZ"/>
    <n v="21"/>
    <x v="3"/>
    <n v="3204"/>
    <x v="10"/>
    <s v="x"/>
    <x v="1"/>
    <n v="4"/>
    <s v="SOPORTE/CAPACITACION"/>
    <n v="2"/>
    <s v="MEDIA"/>
    <n v="2"/>
    <n v="2"/>
    <n v="2"/>
    <n v="2"/>
    <m/>
    <m/>
    <d v="2025-02-03T00:00:00"/>
    <d v="2025-02-03T00:00:00"/>
    <d v="2025-02-03T00:00:00"/>
    <x v="39"/>
    <d v="2025-02-03T00:00:00"/>
    <m/>
    <n v="8512"/>
    <n v="75532"/>
    <s v="/"/>
    <x v="26"/>
    <n v="2"/>
    <d v="1899-12-30T02:00:00"/>
    <d v="2025-03-05T00:00:00"/>
  </r>
  <r>
    <n v="8305"/>
    <x v="87"/>
    <x v="157"/>
    <n v="247417"/>
    <s v="ALVARO LEONEL GUTIERREZ LOPEZ"/>
    <n v="21"/>
    <x v="3"/>
    <n v="3204"/>
    <x v="10"/>
    <s v="x"/>
    <x v="0"/>
    <n v="2"/>
    <s v="PROCESO"/>
    <n v="2"/>
    <s v="MEDIA"/>
    <n v="1"/>
    <n v="1"/>
    <n v="3"/>
    <n v="3"/>
    <m/>
    <m/>
    <d v="2025-01-01T00:00:00"/>
    <d v="1899-12-31T00:00:00"/>
    <d v="2025-02-28T00:00:00"/>
    <x v="5"/>
    <m/>
    <m/>
    <n v="8305"/>
    <n v="74673"/>
    <s v="/"/>
    <x v="8"/>
    <n v="4"/>
    <d v="1899-12-30T04:00:00"/>
    <d v="2025-02-28T00:00:00"/>
  </r>
  <r>
    <n v="8305"/>
    <x v="87"/>
    <x v="157"/>
    <n v="247417"/>
    <s v="ALVARO LEONEL GUTIERREZ LOPEZ"/>
    <n v="21"/>
    <x v="3"/>
    <n v="3204"/>
    <x v="10"/>
    <m/>
    <x v="0"/>
    <n v="2"/>
    <s v="PROCESO"/>
    <n v="2"/>
    <s v="MEDIA"/>
    <n v="1"/>
    <n v="1"/>
    <n v="3"/>
    <n v="3"/>
    <m/>
    <m/>
    <d v="2025-01-01T00:00:00"/>
    <d v="1899-12-31T00:00:00"/>
    <d v="2025-02-28T00:00:00"/>
    <x v="5"/>
    <m/>
    <m/>
    <n v="8305"/>
    <n v="74647"/>
    <s v="/"/>
    <x v="9"/>
    <n v="6"/>
    <d v="1899-12-30T06:00:00"/>
    <d v="2025-02-28T00:00:00"/>
  </r>
  <r>
    <n v="8305"/>
    <x v="87"/>
    <x v="157"/>
    <n v="247417"/>
    <s v="ALVARO LEONEL GUTIERREZ LOPEZ"/>
    <n v="21"/>
    <x v="3"/>
    <n v="3204"/>
    <x v="10"/>
    <m/>
    <x v="0"/>
    <n v="2"/>
    <s v="PROCESO"/>
    <n v="2"/>
    <s v="MEDIA"/>
    <n v="1"/>
    <n v="1"/>
    <n v="3"/>
    <n v="3"/>
    <m/>
    <m/>
    <d v="2025-01-01T00:00:00"/>
    <d v="1899-12-31T00:00:00"/>
    <d v="2025-02-28T00:00:00"/>
    <x v="5"/>
    <m/>
    <m/>
    <n v="8305"/>
    <n v="74222"/>
    <s v="/"/>
    <x v="10"/>
    <n v="6"/>
    <d v="1899-12-30T06:00:00"/>
    <d v="2025-02-28T00:00:00"/>
  </r>
  <r>
    <n v="8305"/>
    <x v="87"/>
    <x v="157"/>
    <n v="247417"/>
    <s v="ALVARO LEONEL GUTIERREZ LOPEZ"/>
    <n v="21"/>
    <x v="3"/>
    <n v="3204"/>
    <x v="10"/>
    <m/>
    <x v="0"/>
    <n v="2"/>
    <s v="PROCESO"/>
    <n v="2"/>
    <s v="MEDIA"/>
    <n v="1"/>
    <n v="1"/>
    <n v="3"/>
    <n v="3"/>
    <m/>
    <m/>
    <d v="2025-01-01T00:00:00"/>
    <d v="1899-12-31T00:00:00"/>
    <d v="2025-02-28T00:00:00"/>
    <x v="5"/>
    <m/>
    <m/>
    <n v="8305"/>
    <n v="74219"/>
    <s v="se pasaron todos los sp, instalación de servicio y validación de conexión"/>
    <x v="11"/>
    <n v="8"/>
    <d v="1899-12-30T08:00:00"/>
    <d v="2025-02-28T00:00:00"/>
  </r>
  <r>
    <n v="8305"/>
    <x v="87"/>
    <x v="157"/>
    <n v="247417"/>
    <s v="ALVARO LEONEL GUTIERREZ LOPEZ"/>
    <n v="21"/>
    <x v="3"/>
    <n v="3204"/>
    <x v="10"/>
    <m/>
    <x v="0"/>
    <n v="2"/>
    <s v="PROCESO"/>
    <n v="2"/>
    <s v="MEDIA"/>
    <n v="1"/>
    <n v="1"/>
    <n v="3"/>
    <n v="3"/>
    <m/>
    <m/>
    <d v="2025-01-01T00:00:00"/>
    <d v="1899-12-31T00:00:00"/>
    <d v="2025-02-28T00:00:00"/>
    <x v="5"/>
    <m/>
    <m/>
    <n v="8305"/>
    <n v="74218"/>
    <s v="/"/>
    <x v="12"/>
    <n v="9"/>
    <d v="1899-12-30T09:00:00"/>
    <d v="2025-02-28T00:00:00"/>
  </r>
  <r>
    <n v="8305"/>
    <x v="87"/>
    <x v="157"/>
    <n v="247417"/>
    <s v="ALVARO LEONEL GUTIERREZ LOPEZ"/>
    <n v="21"/>
    <x v="3"/>
    <n v="3204"/>
    <x v="10"/>
    <m/>
    <x v="0"/>
    <n v="2"/>
    <s v="PROCESO"/>
    <n v="2"/>
    <s v="MEDIA"/>
    <n v="1"/>
    <n v="1"/>
    <n v="3"/>
    <n v="3"/>
    <m/>
    <m/>
    <d v="2025-01-01T00:00:00"/>
    <d v="1899-12-31T00:00:00"/>
    <d v="2025-02-28T00:00:00"/>
    <x v="5"/>
    <m/>
    <m/>
    <n v="8305"/>
    <n v="73073"/>
    <s v="validación y corrección de información"/>
    <x v="0"/>
    <n v="8"/>
    <d v="1899-12-30T08:00:00"/>
    <d v="2025-02-24T00:00:00"/>
  </r>
  <r>
    <n v="8305"/>
    <x v="87"/>
    <x v="157"/>
    <n v="247417"/>
    <s v="ALVARO LEONEL GUTIERREZ LOPEZ"/>
    <n v="21"/>
    <x v="3"/>
    <n v="3204"/>
    <x v="10"/>
    <m/>
    <x v="0"/>
    <n v="2"/>
    <s v="PROCESO"/>
    <n v="2"/>
    <s v="MEDIA"/>
    <n v="1"/>
    <n v="1"/>
    <n v="3"/>
    <n v="3"/>
    <m/>
    <m/>
    <d v="2025-01-01T00:00:00"/>
    <d v="1899-12-31T00:00:00"/>
    <d v="2025-02-28T00:00:00"/>
    <x v="5"/>
    <m/>
    <m/>
    <n v="8305"/>
    <n v="73080"/>
    <s v="/"/>
    <x v="1"/>
    <n v="3"/>
    <d v="1899-12-30T03:00:00"/>
    <d v="2025-02-24T00:00:00"/>
  </r>
  <r>
    <n v="8305"/>
    <x v="87"/>
    <x v="157"/>
    <n v="247417"/>
    <s v="ALVARO LEONEL GUTIERREZ LOPEZ"/>
    <n v="21"/>
    <x v="3"/>
    <n v="3204"/>
    <x v="10"/>
    <m/>
    <x v="0"/>
    <n v="2"/>
    <s v="PROCESO"/>
    <n v="2"/>
    <s v="MEDIA"/>
    <n v="1"/>
    <n v="1"/>
    <n v="3"/>
    <n v="3"/>
    <m/>
    <m/>
    <d v="2025-01-01T00:00:00"/>
    <d v="1899-12-31T00:00:00"/>
    <d v="2025-02-28T00:00:00"/>
    <x v="5"/>
    <m/>
    <m/>
    <n v="8305"/>
    <n v="73078"/>
    <s v="se añadió una validación"/>
    <x v="2"/>
    <n v="3"/>
    <d v="1899-12-30T03:00:00"/>
    <d v="2025-02-24T00:00:00"/>
  </r>
  <r>
    <n v="8305"/>
    <x v="87"/>
    <x v="157"/>
    <n v="247417"/>
    <s v="ALVARO LEONEL GUTIERREZ LOPEZ"/>
    <n v="21"/>
    <x v="3"/>
    <n v="3204"/>
    <x v="10"/>
    <m/>
    <x v="0"/>
    <n v="2"/>
    <s v="PROCESO"/>
    <n v="2"/>
    <s v="MEDIA"/>
    <n v="1"/>
    <n v="1"/>
    <n v="3"/>
    <n v="3"/>
    <m/>
    <m/>
    <d v="2025-01-01T00:00:00"/>
    <d v="1899-12-31T00:00:00"/>
    <d v="2025-02-28T00:00:00"/>
    <x v="5"/>
    <m/>
    <m/>
    <n v="8305"/>
    <n v="73074"/>
    <s v="/"/>
    <x v="13"/>
    <n v="1.5"/>
    <d v="1899-12-30T01:30:00"/>
    <d v="2025-02-24T00:00:00"/>
  </r>
  <r>
    <n v="8305"/>
    <x v="87"/>
    <x v="157"/>
    <n v="247417"/>
    <s v="ALVARO LEONEL GUTIERREZ LOPEZ"/>
    <n v="21"/>
    <x v="3"/>
    <n v="3204"/>
    <x v="10"/>
    <m/>
    <x v="0"/>
    <n v="2"/>
    <s v="PROCESO"/>
    <n v="2"/>
    <s v="MEDIA"/>
    <n v="1"/>
    <n v="1"/>
    <n v="3"/>
    <n v="3"/>
    <m/>
    <m/>
    <d v="2025-01-01T00:00:00"/>
    <d v="1899-12-31T00:00:00"/>
    <d v="2025-02-28T00:00:00"/>
    <x v="5"/>
    <m/>
    <m/>
    <n v="8305"/>
    <n v="71133"/>
    <s v="/"/>
    <x v="14"/>
    <n v="1"/>
    <d v="1899-12-30T01:00:00"/>
    <d v="2025-02-17T00:00:00"/>
  </r>
  <r>
    <n v="8305"/>
    <x v="87"/>
    <x v="157"/>
    <n v="247417"/>
    <s v="ALVARO LEONEL GUTIERREZ LOPEZ"/>
    <n v="21"/>
    <x v="3"/>
    <n v="3204"/>
    <x v="10"/>
    <m/>
    <x v="0"/>
    <n v="2"/>
    <s v="PROCESO"/>
    <n v="2"/>
    <s v="MEDIA"/>
    <n v="1"/>
    <n v="1"/>
    <n v="3"/>
    <n v="3"/>
    <m/>
    <m/>
    <d v="2025-01-01T00:00:00"/>
    <d v="1899-12-31T00:00:00"/>
    <d v="2025-02-28T00:00:00"/>
    <x v="5"/>
    <m/>
    <m/>
    <n v="8305"/>
    <n v="71132"/>
    <s v="/"/>
    <x v="15"/>
    <n v="2"/>
    <d v="1899-12-30T02:00:00"/>
    <d v="2025-02-17T00:00:00"/>
  </r>
  <r>
    <n v="8305"/>
    <x v="87"/>
    <x v="157"/>
    <n v="247417"/>
    <s v="ALVARO LEONEL GUTIERREZ LOPEZ"/>
    <n v="21"/>
    <x v="3"/>
    <n v="3204"/>
    <x v="10"/>
    <m/>
    <x v="0"/>
    <n v="2"/>
    <s v="PROCESO"/>
    <n v="2"/>
    <s v="MEDIA"/>
    <n v="1"/>
    <n v="1"/>
    <n v="3"/>
    <n v="3"/>
    <m/>
    <m/>
    <d v="2025-01-01T00:00:00"/>
    <d v="1899-12-31T00:00:00"/>
    <d v="2025-02-28T00:00:00"/>
    <x v="5"/>
    <m/>
    <m/>
    <n v="8305"/>
    <n v="70120"/>
    <s v="consulta para obtener estado de cuenta"/>
    <x v="16"/>
    <n v="3"/>
    <d v="1899-12-30T03:00:00"/>
    <d v="2025-02-13T00:00:00"/>
  </r>
  <r>
    <n v="8305"/>
    <x v="87"/>
    <x v="157"/>
    <n v="247417"/>
    <s v="ALVARO LEONEL GUTIERREZ LOPEZ"/>
    <n v="21"/>
    <x v="3"/>
    <n v="3204"/>
    <x v="10"/>
    <m/>
    <x v="0"/>
    <n v="2"/>
    <s v="PROCESO"/>
    <n v="2"/>
    <s v="MEDIA"/>
    <n v="1"/>
    <n v="1"/>
    <n v="3"/>
    <n v="3"/>
    <m/>
    <m/>
    <d v="2025-01-01T00:00:00"/>
    <d v="1899-12-31T00:00:00"/>
    <d v="2025-02-28T00:00:00"/>
    <x v="5"/>
    <m/>
    <m/>
    <n v="8305"/>
    <n v="70114"/>
    <s v="/"/>
    <x v="30"/>
    <n v="3"/>
    <d v="1899-12-30T03:00:00"/>
    <d v="2025-02-13T00:00:00"/>
  </r>
  <r>
    <n v="8305"/>
    <x v="87"/>
    <x v="157"/>
    <n v="247417"/>
    <s v="ALVARO LEONEL GUTIERREZ LOPEZ"/>
    <n v="21"/>
    <x v="3"/>
    <n v="3204"/>
    <x v="10"/>
    <m/>
    <x v="0"/>
    <n v="2"/>
    <s v="PROCESO"/>
    <n v="2"/>
    <s v="MEDIA"/>
    <n v="1"/>
    <n v="1"/>
    <n v="3"/>
    <n v="3"/>
    <m/>
    <m/>
    <d v="2025-01-01T00:00:00"/>
    <d v="1899-12-31T00:00:00"/>
    <d v="2025-02-28T00:00:00"/>
    <x v="5"/>
    <m/>
    <m/>
    <n v="8305"/>
    <n v="75553"/>
    <s v="/"/>
    <x v="19"/>
    <n v="2"/>
    <d v="1899-12-30T02:00:00"/>
    <d v="2025-03-05T00:00:00"/>
  </r>
  <r>
    <n v="8494"/>
    <x v="51"/>
    <x v="158"/>
    <n v="247857"/>
    <s v="ARNALDO RENE COTTO STREMS"/>
    <n v="21"/>
    <x v="3"/>
    <n v="3204"/>
    <x v="10"/>
    <s v="x"/>
    <x v="1"/>
    <n v="4"/>
    <s v="SOPORTE/CAPACITACION"/>
    <n v="1"/>
    <s v="BAJA"/>
    <n v="2"/>
    <n v="2"/>
    <m/>
    <m/>
    <m/>
    <m/>
    <d v="2025-02-25T00:00:00"/>
    <d v="2025-02-25T00:00:00"/>
    <m/>
    <x v="40"/>
    <d v="2025-02-25T00:00:00"/>
    <m/>
    <n v="8494"/>
    <n v="74221"/>
    <s v="/"/>
    <x v="11"/>
    <n v="1"/>
    <d v="1899-12-30T01:00:00"/>
    <d v="2025-02-28T00:00:00"/>
  </r>
  <r>
    <n v="8499"/>
    <x v="51"/>
    <x v="159"/>
    <n v="247002"/>
    <s v="AMI PAOLA YOC LOPEZ"/>
    <n v="21"/>
    <x v="3"/>
    <n v="3204"/>
    <x v="10"/>
    <s v="x"/>
    <x v="1"/>
    <n v="4"/>
    <s v="SOPORTE/CAPACITACION"/>
    <n v="1"/>
    <s v="BAJA"/>
    <n v="2"/>
    <n v="2"/>
    <m/>
    <m/>
    <m/>
    <m/>
    <d v="2025-02-28T00:00:00"/>
    <d v="2025-02-28T00:00:00"/>
    <d v="2025-02-28T00:00:00"/>
    <x v="5"/>
    <d v="2025-02-28T00:00:00"/>
    <m/>
    <n v="8499"/>
    <n v="74669"/>
    <s v="/"/>
    <x v="8"/>
    <n v="3"/>
    <d v="1899-12-30T03:00:00"/>
    <d v="2025-02-28T00:00:00"/>
  </r>
  <r>
    <n v="8323"/>
    <x v="51"/>
    <x v="160"/>
    <n v="247417"/>
    <s v="ALVARO LEONEL GUTIERREZ LOPEZ"/>
    <n v="21"/>
    <x v="3"/>
    <n v="3204"/>
    <x v="10"/>
    <s v="x"/>
    <x v="1"/>
    <n v="4"/>
    <s v="SOPORTE/CAPACITACION"/>
    <m/>
    <m/>
    <m/>
    <m/>
    <m/>
    <m/>
    <m/>
    <m/>
    <d v="2025-02-12T00:00:00"/>
    <d v="2025-02-12T00:00:00"/>
    <d v="2025-02-12T00:00:00"/>
    <x v="31"/>
    <d v="2025-02-12T00:00:00"/>
    <m/>
    <n v="8323"/>
    <n v="72217"/>
    <s v="correccion en descripcion solo de aparece una en la referencia agrupada"/>
    <x v="1"/>
    <n v="1"/>
    <d v="1899-12-30T01:00:00"/>
    <d v="2025-02-20T00:00:00"/>
  </r>
  <r>
    <n v="8323"/>
    <x v="51"/>
    <x v="160"/>
    <n v="247417"/>
    <s v="ALVARO LEONEL GUTIERREZ LOPEZ"/>
    <n v="21"/>
    <x v="3"/>
    <n v="3204"/>
    <x v="10"/>
    <m/>
    <x v="1"/>
    <n v="4"/>
    <s v="SOPORTE/CAPACITACION"/>
    <m/>
    <m/>
    <m/>
    <m/>
    <m/>
    <m/>
    <m/>
    <m/>
    <d v="2025-02-12T00:00:00"/>
    <d v="2025-02-12T00:00:00"/>
    <d v="2025-02-12T00:00:00"/>
    <x v="31"/>
    <d v="2025-02-12T00:00:00"/>
    <m/>
    <n v="8323"/>
    <n v="72216"/>
    <s v="agrupar referencia"/>
    <x v="2"/>
    <n v="2"/>
    <d v="1899-12-30T02:00:00"/>
    <d v="2025-02-20T00:00:00"/>
  </r>
  <r>
    <n v="8323"/>
    <x v="51"/>
    <x v="160"/>
    <n v="247417"/>
    <s v="ALVARO LEONEL GUTIERREZ LOPEZ"/>
    <n v="21"/>
    <x v="3"/>
    <n v="3204"/>
    <x v="10"/>
    <m/>
    <x v="1"/>
    <n v="4"/>
    <s v="SOPORTE/CAPACITACION"/>
    <m/>
    <m/>
    <m/>
    <m/>
    <m/>
    <m/>
    <m/>
    <m/>
    <d v="2025-02-12T00:00:00"/>
    <d v="2025-02-12T00:00:00"/>
    <d v="2025-02-12T00:00:00"/>
    <x v="31"/>
    <d v="2025-02-12T00:00:00"/>
    <m/>
    <n v="8323"/>
    <n v="69876"/>
    <s v="cuadre de estado de cuenta SAP"/>
    <x v="16"/>
    <n v="2"/>
    <d v="1899-12-30T02:00:00"/>
    <d v="2025-02-12T00:00:00"/>
  </r>
  <r>
    <n v="8320"/>
    <x v="51"/>
    <x v="161"/>
    <n v="289036"/>
    <s v="MADELYN SUSANA BRAN OLIVAREZ"/>
    <n v="21"/>
    <x v="3"/>
    <n v="3204"/>
    <x v="10"/>
    <s v="x"/>
    <x v="1"/>
    <n v="4"/>
    <s v="SOPORTE/CAPACITACION"/>
    <n v="1"/>
    <s v="BAJA"/>
    <n v="2"/>
    <n v="2"/>
    <n v="2"/>
    <n v="2"/>
    <n v="1"/>
    <s v="PEQUEÑO"/>
    <d v="2025-02-11T00:00:00"/>
    <d v="2025-02-11T00:00:00"/>
    <d v="2025-02-11T00:00:00"/>
    <x v="41"/>
    <d v="2025-02-11T00:00:00"/>
    <m/>
    <n v="8320"/>
    <n v="74207"/>
    <s v="se añadieron columnas y algunas formulas"/>
    <x v="9"/>
    <n v="1"/>
    <d v="1899-12-30T01:00:00"/>
    <d v="2025-02-28T00:00:00"/>
  </r>
  <r>
    <n v="8320"/>
    <x v="51"/>
    <x v="161"/>
    <n v="289036"/>
    <s v="MADELYN SUSANA BRAN OLIVAREZ"/>
    <n v="21"/>
    <x v="3"/>
    <n v="3204"/>
    <x v="10"/>
    <m/>
    <x v="1"/>
    <n v="4"/>
    <s v="SOPORTE/CAPACITACION"/>
    <n v="1"/>
    <s v="BAJA"/>
    <n v="2"/>
    <n v="2"/>
    <n v="2"/>
    <n v="2"/>
    <n v="1"/>
    <s v="PEQUEÑO"/>
    <d v="2025-02-11T00:00:00"/>
    <d v="2025-02-11T00:00:00"/>
    <d v="2025-02-11T00:00:00"/>
    <x v="41"/>
    <d v="2025-02-11T00:00:00"/>
    <m/>
    <n v="8320"/>
    <n v="74206"/>
    <s v="creacion de reporte"/>
    <x v="10"/>
    <n v="1"/>
    <d v="1899-12-30T01:00:00"/>
    <d v="2025-02-28T00:00:00"/>
  </r>
  <r>
    <n v="8320"/>
    <x v="51"/>
    <x v="161"/>
    <n v="289036"/>
    <s v="MADELYN SUSANA BRAN OLIVAREZ"/>
    <n v="21"/>
    <x v="3"/>
    <n v="3204"/>
    <x v="10"/>
    <m/>
    <x v="1"/>
    <n v="4"/>
    <s v="SOPORTE/CAPACITACION"/>
    <n v="1"/>
    <s v="BAJA"/>
    <n v="2"/>
    <n v="2"/>
    <n v="2"/>
    <n v="2"/>
    <n v="1"/>
    <s v="PEQUEÑO"/>
    <d v="2025-02-11T00:00:00"/>
    <d v="2025-02-11T00:00:00"/>
    <d v="2025-02-11T00:00:00"/>
    <x v="41"/>
    <d v="2025-02-11T00:00:00"/>
    <m/>
    <n v="8320"/>
    <n v="69703"/>
    <s v="/"/>
    <x v="17"/>
    <n v="0"/>
    <d v="1899-12-30T00:00:00"/>
    <d v="2025-02-12T00:00:00"/>
  </r>
  <r>
    <n v="8320"/>
    <x v="51"/>
    <x v="161"/>
    <n v="289036"/>
    <s v="MADELYN SUSANA BRAN OLIVAREZ"/>
    <n v="21"/>
    <x v="3"/>
    <n v="3204"/>
    <x v="10"/>
    <m/>
    <x v="1"/>
    <n v="4"/>
    <s v="SOPORTE/CAPACITACION"/>
    <n v="1"/>
    <s v="BAJA"/>
    <n v="2"/>
    <n v="2"/>
    <n v="2"/>
    <n v="2"/>
    <n v="1"/>
    <s v="PEQUEÑO"/>
    <d v="2025-02-11T00:00:00"/>
    <d v="2025-02-11T00:00:00"/>
    <d v="2025-02-11T00:00:00"/>
    <x v="41"/>
    <d v="2025-02-11T00:00:00"/>
    <m/>
    <n v="8320"/>
    <n v="69702"/>
    <s v="/"/>
    <x v="17"/>
    <n v="5"/>
    <d v="1899-12-30T05:00:00"/>
    <d v="2025-02-12T00:00:00"/>
  </r>
  <r>
    <n v="8322"/>
    <x v="51"/>
    <x v="162"/>
    <n v="289006"/>
    <s v="SULY DANIELA CHUN SANTOS de RIVERA"/>
    <n v="21"/>
    <x v="3"/>
    <n v="3204"/>
    <x v="10"/>
    <s v="x"/>
    <x v="1"/>
    <m/>
    <m/>
    <m/>
    <m/>
    <m/>
    <m/>
    <m/>
    <m/>
    <m/>
    <m/>
    <d v="2025-02-12T00:00:00"/>
    <d v="2025-02-12T00:00:00"/>
    <d v="2025-02-12T00:00:00"/>
    <x v="31"/>
    <d v="2025-02-12T00:00:00"/>
    <m/>
    <n v="8322"/>
    <n v="72065"/>
    <s v="/"/>
    <x v="2"/>
    <n v="2"/>
    <d v="1899-12-30T02:00:00"/>
    <d v="2025-02-20T00:00:00"/>
  </r>
  <r>
    <n v="8322"/>
    <x v="51"/>
    <x v="162"/>
    <n v="289006"/>
    <s v="SULY DANIELA CHUN SANTOS de RIVERA"/>
    <n v="21"/>
    <x v="3"/>
    <n v="3204"/>
    <x v="10"/>
    <m/>
    <x v="1"/>
    <m/>
    <m/>
    <m/>
    <m/>
    <m/>
    <m/>
    <m/>
    <m/>
    <m/>
    <m/>
    <d v="2025-02-12T00:00:00"/>
    <d v="2025-02-12T00:00:00"/>
    <d v="2025-02-12T00:00:00"/>
    <x v="31"/>
    <d v="2025-02-12T00:00:00"/>
    <m/>
    <n v="8322"/>
    <n v="71576"/>
    <s v="parametrización y capacitación caja minimarket"/>
    <x v="3"/>
    <n v="1.5"/>
    <d v="1899-12-30T01:30:00"/>
    <d v="2025-02-18T00:00:00"/>
  </r>
  <r>
    <n v="8322"/>
    <x v="51"/>
    <x v="162"/>
    <n v="289006"/>
    <s v="SULY DANIELA CHUN SANTOS de RIVERA"/>
    <n v="21"/>
    <x v="3"/>
    <n v="3204"/>
    <x v="10"/>
    <m/>
    <x v="1"/>
    <m/>
    <m/>
    <m/>
    <m/>
    <m/>
    <m/>
    <m/>
    <m/>
    <m/>
    <m/>
    <d v="2025-02-12T00:00:00"/>
    <d v="2025-02-12T00:00:00"/>
    <d v="2025-02-12T00:00:00"/>
    <x v="31"/>
    <d v="2025-02-12T00:00:00"/>
    <m/>
    <n v="8322"/>
    <n v="71695"/>
    <s v="/"/>
    <x v="13"/>
    <n v="2"/>
    <d v="1899-12-30T02:00:00"/>
    <d v="2025-02-19T00:00:00"/>
  </r>
  <r>
    <n v="8322"/>
    <x v="51"/>
    <x v="162"/>
    <n v="289006"/>
    <s v="SULY DANIELA CHUN SANTOS de RIVERA"/>
    <n v="21"/>
    <x v="3"/>
    <n v="3204"/>
    <x v="10"/>
    <m/>
    <x v="1"/>
    <m/>
    <m/>
    <m/>
    <m/>
    <m/>
    <m/>
    <m/>
    <m/>
    <m/>
    <m/>
    <d v="2025-02-12T00:00:00"/>
    <d v="2025-02-12T00:00:00"/>
    <d v="2025-02-12T00:00:00"/>
    <x v="31"/>
    <d v="2025-02-12T00:00:00"/>
    <m/>
    <n v="8322"/>
    <n v="70112"/>
    <s v="pruebas de entorno"/>
    <x v="15"/>
    <n v="2"/>
    <d v="1899-12-30T02:00:00"/>
    <d v="2025-02-13T00:00:00"/>
  </r>
  <r>
    <n v="8322"/>
    <x v="51"/>
    <x v="162"/>
    <n v="289006"/>
    <s v="SULY DANIELA CHUN SANTOS de RIVERA"/>
    <n v="21"/>
    <x v="3"/>
    <n v="3204"/>
    <x v="10"/>
    <m/>
    <x v="1"/>
    <m/>
    <m/>
    <m/>
    <m/>
    <m/>
    <m/>
    <m/>
    <m/>
    <m/>
    <m/>
    <d v="2025-02-12T00:00:00"/>
    <d v="2025-02-12T00:00:00"/>
    <d v="2025-02-12T00:00:00"/>
    <x v="31"/>
    <d v="2025-02-12T00:00:00"/>
    <m/>
    <n v="8322"/>
    <n v="69872"/>
    <s v="revision y pruebas de conexion pinpad y computadora"/>
    <x v="16"/>
    <n v="2"/>
    <d v="1899-12-30T02:00:00"/>
    <d v="2025-02-12T00:00:00"/>
  </r>
  <r>
    <n v="8322"/>
    <x v="51"/>
    <x v="162"/>
    <n v="289006"/>
    <s v="SULY DANIELA CHUN SANTOS de RIVERA"/>
    <n v="21"/>
    <x v="3"/>
    <n v="3204"/>
    <x v="10"/>
    <m/>
    <x v="1"/>
    <m/>
    <m/>
    <m/>
    <m/>
    <m/>
    <m/>
    <m/>
    <m/>
    <m/>
    <m/>
    <d v="2025-02-12T00:00:00"/>
    <d v="2025-02-12T00:00:00"/>
    <d v="2025-02-12T00:00:00"/>
    <x v="31"/>
    <d v="2025-02-12T00:00:00"/>
    <m/>
    <n v="8322"/>
    <n v="75548"/>
    <s v="/"/>
    <x v="25"/>
    <n v="1.5"/>
    <d v="1899-12-30T01:30:00"/>
    <d v="2025-03-05T00:00:00"/>
  </r>
  <r>
    <n v="8324"/>
    <x v="51"/>
    <x v="163"/>
    <n v="246832"/>
    <s v="KAREN SELENA MENDIZABAL LOPEZ"/>
    <n v="21"/>
    <x v="3"/>
    <n v="3204"/>
    <x v="10"/>
    <s v="x"/>
    <x v="1"/>
    <n v="4"/>
    <s v="SOPORTE/CAPACITACION"/>
    <m/>
    <m/>
    <m/>
    <m/>
    <m/>
    <m/>
    <m/>
    <m/>
    <d v="2025-02-12T00:00:00"/>
    <d v="2025-02-12T00:00:00"/>
    <d v="2025-02-12T00:00:00"/>
    <x v="31"/>
    <d v="2025-02-12T00:00:00"/>
    <m/>
    <n v="8324"/>
    <n v="69891"/>
    <s v="cuenta no cuadra con parámetros"/>
    <x v="16"/>
    <n v="2"/>
    <d v="1899-12-30T02:00:00"/>
    <d v="2025-02-12T00:00:00"/>
  </r>
  <r>
    <n v="8321"/>
    <x v="51"/>
    <x v="164"/>
    <n v="247804"/>
    <s v="NANCY ELIZABETH ALVARADO TOLEDO"/>
    <n v="21"/>
    <x v="3"/>
    <n v="3204"/>
    <x v="10"/>
    <s v="x"/>
    <x v="1"/>
    <m/>
    <m/>
    <m/>
    <m/>
    <m/>
    <m/>
    <m/>
    <m/>
    <m/>
    <m/>
    <d v="2025-02-10T00:00:00"/>
    <d v="2025-02-10T00:00:00"/>
    <d v="2025-02-10T00:00:00"/>
    <x v="42"/>
    <d v="2025-02-10T00:00:00"/>
    <m/>
    <n v="8321"/>
    <n v="69761"/>
    <s v="/"/>
    <x v="30"/>
    <n v="6"/>
    <d v="1899-12-30T06:00:00"/>
    <d v="2025-02-12T00:00:00"/>
  </r>
  <r>
    <n v="8454"/>
    <x v="51"/>
    <x v="165"/>
    <n v="247828"/>
    <s v="DOUGLAS ALEJANDRO MALDONADO DUMAS"/>
    <n v="21"/>
    <x v="3"/>
    <n v="3204"/>
    <x v="10"/>
    <s v="x"/>
    <x v="1"/>
    <n v="3"/>
    <s v="REPORTE"/>
    <n v="3"/>
    <s v="ALTA"/>
    <n v="1"/>
    <n v="1"/>
    <m/>
    <m/>
    <m/>
    <m/>
    <d v="2025-02-18T00:00:00"/>
    <d v="2025-02-18T00:00:00"/>
    <d v="2025-02-18T00:00:00"/>
    <x v="43"/>
    <d v="2025-02-18T00:00:00"/>
    <m/>
    <n v="8454"/>
    <n v="74205"/>
    <s v="/"/>
    <x v="9"/>
    <n v="1"/>
    <d v="1899-12-30T01:00:00"/>
    <d v="2025-02-28T00:00:00"/>
  </r>
  <r>
    <n v="8454"/>
    <x v="51"/>
    <x v="165"/>
    <n v="247828"/>
    <s v="DOUGLAS ALEJANDRO MALDONADO DUMAS"/>
    <n v="21"/>
    <x v="3"/>
    <n v="3204"/>
    <x v="10"/>
    <m/>
    <x v="1"/>
    <n v="3"/>
    <s v="REPORTE"/>
    <n v="3"/>
    <s v="ALTA"/>
    <n v="1"/>
    <n v="1"/>
    <m/>
    <m/>
    <m/>
    <m/>
    <d v="2025-02-18T00:00:00"/>
    <d v="2025-02-18T00:00:00"/>
    <d v="2025-02-18T00:00:00"/>
    <x v="43"/>
    <d v="2025-02-18T00:00:00"/>
    <m/>
    <n v="8454"/>
    <n v="71575"/>
    <s v="/"/>
    <x v="3"/>
    <n v="3"/>
    <d v="1899-12-30T03:00:00"/>
    <d v="2025-02-18T00:00:00"/>
  </r>
  <r>
    <n v="8456"/>
    <x v="51"/>
    <x v="166"/>
    <n v="247804"/>
    <s v="NANCY ELIZABETH ALVARADO TOLEDO"/>
    <n v="21"/>
    <x v="3"/>
    <n v="3204"/>
    <x v="10"/>
    <s v="x"/>
    <x v="1"/>
    <n v="4"/>
    <s v="SOPORTE/CAPACITACION"/>
    <n v="2"/>
    <s v="MEDIA"/>
    <n v="2"/>
    <n v="2"/>
    <m/>
    <m/>
    <m/>
    <m/>
    <d v="2025-02-17T00:00:00"/>
    <d v="2025-02-17T00:00:00"/>
    <d v="2025-02-17T00:00:00"/>
    <x v="44"/>
    <d v="2025-02-17T00:00:00"/>
    <m/>
    <n v="8456"/>
    <n v="71596"/>
    <s v="corte de caja de ruta RT6 no aparece del dia 6/02/2025"/>
    <x v="3"/>
    <n v="2"/>
    <d v="1899-12-30T02:00:00"/>
    <d v="2025-02-18T00:00:00"/>
  </r>
  <r>
    <n v="8459"/>
    <x v="51"/>
    <x v="167"/>
    <n v="289036"/>
    <s v="MADELYN SUSANA BRAN OLIVAREZ"/>
    <n v="21"/>
    <x v="3"/>
    <n v="3204"/>
    <x v="10"/>
    <s v="x"/>
    <x v="1"/>
    <n v="4"/>
    <s v="SOPORTE/CAPACITACION"/>
    <n v="1"/>
    <s v="BAJA"/>
    <n v="2"/>
    <n v="2"/>
    <m/>
    <m/>
    <m/>
    <m/>
    <d v="2025-02-17T00:00:00"/>
    <d v="2025-02-17T00:00:00"/>
    <d v="2025-02-17T00:00:00"/>
    <x v="44"/>
    <d v="2025-02-17T00:00:00"/>
    <m/>
    <n v="8459"/>
    <n v="71684"/>
    <s v="/"/>
    <x v="13"/>
    <n v="2"/>
    <d v="1899-12-30T02:00:00"/>
    <d v="2025-02-19T00:00:00"/>
  </r>
  <r>
    <n v="8460"/>
    <x v="51"/>
    <x v="168"/>
    <n v="246824"/>
    <s v="JOSE LUIS MONZON GARCIA"/>
    <n v="21"/>
    <x v="3"/>
    <n v="3204"/>
    <x v="10"/>
    <s v="x"/>
    <x v="1"/>
    <n v="4"/>
    <s v="SOPORTE/CAPACITACION"/>
    <n v="2"/>
    <s v="MEDIA"/>
    <n v="2"/>
    <n v="2"/>
    <m/>
    <m/>
    <m/>
    <m/>
    <d v="2025-02-17T00:00:00"/>
    <d v="2025-02-17T00:00:00"/>
    <d v="2025-02-17T00:00:00"/>
    <x v="44"/>
    <d v="2025-02-17T00:00:00"/>
    <m/>
    <n v="8460"/>
    <n v="71691"/>
    <s v="planificación de pasos a seguir validar migración"/>
    <x v="13"/>
    <n v="2"/>
    <d v="1899-12-30T02:00:00"/>
    <d v="2025-02-19T00:00:00"/>
  </r>
  <r>
    <n v="8335"/>
    <x v="51"/>
    <x v="169"/>
    <n v="247884"/>
    <s v="ANA CAROLINA PALACIOS GONZALEZ de MENENDEZ"/>
    <n v="21"/>
    <x v="3"/>
    <n v="3204"/>
    <x v="10"/>
    <s v="x"/>
    <x v="1"/>
    <n v="3"/>
    <s v="REPORTE"/>
    <m/>
    <m/>
    <m/>
    <m/>
    <m/>
    <m/>
    <m/>
    <m/>
    <d v="2025-02-13T00:00:00"/>
    <d v="2025-02-13T00:00:00"/>
    <d v="2025-02-13T00:00:00"/>
    <x v="36"/>
    <d v="2025-02-13T00:00:00"/>
    <m/>
    <n v="8335"/>
    <n v="70865"/>
    <s v="crystal report para anticipo unificando banco, separando por banco y correlativo"/>
    <x v="14"/>
    <n v="3"/>
    <d v="1899-12-30T03:00:00"/>
    <d v="2025-02-14T00:00:00"/>
  </r>
  <r>
    <n v="8335"/>
    <x v="51"/>
    <x v="169"/>
    <n v="247884"/>
    <s v="ANA CAROLINA PALACIOS GONZALEZ de MENENDEZ"/>
    <n v="21"/>
    <x v="3"/>
    <n v="3204"/>
    <x v="10"/>
    <m/>
    <x v="1"/>
    <n v="3"/>
    <s v="REPORTE"/>
    <m/>
    <m/>
    <m/>
    <m/>
    <m/>
    <m/>
    <m/>
    <m/>
    <d v="2025-02-13T00:00:00"/>
    <d v="2025-02-13T00:00:00"/>
    <d v="2025-02-13T00:00:00"/>
    <x v="36"/>
    <d v="2025-02-13T00:00:00"/>
    <m/>
    <n v="8335"/>
    <n v="70350"/>
    <s v="creación de 5 reportes de anticipos para Vesa"/>
    <x v="15"/>
    <n v="5"/>
    <d v="1899-12-30T05:00:00"/>
    <d v="2025-02-14T00:00:00"/>
  </r>
  <r>
    <n v="8461"/>
    <x v="51"/>
    <x v="170"/>
    <n v="247572"/>
    <s v="DENIS OSWALDO ILLESCAS DE LEON"/>
    <n v="21"/>
    <x v="3"/>
    <n v="3204"/>
    <x v="10"/>
    <s v="x"/>
    <x v="1"/>
    <n v="4"/>
    <s v="SOPORTE/CAPACITACION"/>
    <n v="1"/>
    <s v="BAJA"/>
    <n v="2"/>
    <n v="2"/>
    <m/>
    <m/>
    <n v="1"/>
    <s v="PEQUEÑO"/>
    <d v="2025-02-18T00:00:00"/>
    <d v="2025-02-18T00:00:00"/>
    <d v="2025-02-18T00:00:00"/>
    <x v="43"/>
    <d v="2025-02-18T00:00:00"/>
    <m/>
    <n v="8461"/>
    <n v="71735"/>
    <s v="pagos duplicados en sifco hacia SAP"/>
    <x v="3"/>
    <n v="2"/>
    <d v="1899-12-30T02:00:00"/>
    <d v="2025-02-19T00:00:00"/>
  </r>
  <r>
    <n v="8280"/>
    <x v="88"/>
    <x v="171"/>
    <n v="247857"/>
    <s v="ARNALDO RENE COTTO STREMS"/>
    <n v="21"/>
    <x v="3"/>
    <n v="3204"/>
    <x v="10"/>
    <s v="x"/>
    <x v="0"/>
    <m/>
    <m/>
    <m/>
    <m/>
    <n v="1"/>
    <n v="1"/>
    <n v="1"/>
    <n v="1"/>
    <m/>
    <m/>
    <d v="2025-01-01T00:00:00"/>
    <d v="2025-01-01T00:00:00"/>
    <d v="2025-02-28T00:00:00"/>
    <x v="5"/>
    <m/>
    <m/>
    <m/>
    <m/>
    <m/>
    <x v="5"/>
    <m/>
    <m/>
    <m/>
  </r>
  <r>
    <n v="8313"/>
    <x v="51"/>
    <x v="172"/>
    <n v="254970"/>
    <s v="ROSA SOFIA PIRIR FERNANDEZ de SANCHEZ"/>
    <n v="21"/>
    <x v="3"/>
    <n v="3204"/>
    <x v="10"/>
    <s v="x"/>
    <x v="0"/>
    <n v="4"/>
    <s v="SOPORTE/CAPACITACION"/>
    <n v="2"/>
    <s v="MEDIA"/>
    <n v="2"/>
    <n v="2"/>
    <n v="2"/>
    <n v="2"/>
    <n v="1"/>
    <s v="PEQUEÑO"/>
    <d v="2025-02-05T00:00:00"/>
    <d v="2025-02-05T00:00:00"/>
    <m/>
    <x v="19"/>
    <m/>
    <m/>
    <n v="8313"/>
    <n v="69705"/>
    <s v="Finalizar pruebas de implementación"/>
    <x v="4"/>
    <n v="4"/>
    <d v="1899-12-30T04:00:00"/>
    <d v="2025-02-12T00:00:00"/>
  </r>
  <r>
    <n v="8313"/>
    <x v="51"/>
    <x v="172"/>
    <n v="254970"/>
    <s v="ROSA SOFIA PIRIR FERNANDEZ de SANCHEZ"/>
    <n v="21"/>
    <x v="3"/>
    <n v="3204"/>
    <x v="10"/>
    <m/>
    <x v="0"/>
    <n v="4"/>
    <s v="SOPORTE/CAPACITACION"/>
    <n v="2"/>
    <s v="MEDIA"/>
    <n v="2"/>
    <n v="2"/>
    <n v="2"/>
    <n v="2"/>
    <n v="1"/>
    <s v="PEQUEÑO"/>
    <d v="2025-02-05T00:00:00"/>
    <d v="2025-02-05T00:00:00"/>
    <m/>
    <x v="19"/>
    <m/>
    <m/>
    <n v="8313"/>
    <n v="68252"/>
    <s v="se realizaron las pruebas correspondientes con Integra y el usuario"/>
    <x v="18"/>
    <n v="8"/>
    <d v="1899-12-30T08:00:00"/>
    <d v="2025-02-06T00:00:00"/>
  </r>
  <r>
    <n v="8273"/>
    <x v="89"/>
    <x v="173"/>
    <n v="247857"/>
    <s v="ARNALDO RENE COTTO STREMS"/>
    <n v="21"/>
    <x v="3"/>
    <n v="3204"/>
    <x v="10"/>
    <s v="x"/>
    <x v="0"/>
    <m/>
    <m/>
    <m/>
    <m/>
    <n v="1"/>
    <n v="1"/>
    <n v="1"/>
    <n v="1"/>
    <m/>
    <m/>
    <d v="2025-01-01T00:00:00"/>
    <d v="1899-12-31T00:00:00"/>
    <d v="2025-01-31T00:00:00"/>
    <x v="3"/>
    <m/>
    <m/>
    <n v="8273"/>
    <n v="69708"/>
    <s v="Ticket de Enero"/>
    <x v="16"/>
    <n v="0"/>
    <d v="1899-12-30T00:00:00"/>
    <d v="2025-02-12T00:00:00"/>
  </r>
  <r>
    <n v="8273"/>
    <x v="89"/>
    <x v="173"/>
    <n v="247857"/>
    <s v="ARNALDO RENE COTTO STREMS"/>
    <n v="21"/>
    <x v="3"/>
    <n v="3204"/>
    <x v="10"/>
    <m/>
    <x v="0"/>
    <m/>
    <m/>
    <m/>
    <m/>
    <n v="1"/>
    <n v="1"/>
    <n v="1"/>
    <n v="1"/>
    <m/>
    <m/>
    <d v="2025-01-01T00:00:00"/>
    <d v="1899-12-31T00:00:00"/>
    <d v="2025-01-31T00:00:00"/>
    <x v="3"/>
    <m/>
    <m/>
    <n v="8273"/>
    <n v="69707"/>
    <s v="Ticket de Enero"/>
    <x v="16"/>
    <n v="0"/>
    <d v="1899-12-30T00:00:00"/>
    <d v="2025-02-12T00:00:00"/>
  </r>
  <r>
    <n v="8273"/>
    <x v="89"/>
    <x v="173"/>
    <n v="247857"/>
    <s v="ARNALDO RENE COTTO STREMS"/>
    <n v="21"/>
    <x v="3"/>
    <n v="3204"/>
    <x v="10"/>
    <m/>
    <x v="0"/>
    <m/>
    <m/>
    <m/>
    <m/>
    <n v="1"/>
    <n v="1"/>
    <n v="1"/>
    <n v="1"/>
    <m/>
    <m/>
    <d v="2025-01-01T00:00:00"/>
    <d v="1899-12-31T00:00:00"/>
    <d v="2025-01-31T00:00:00"/>
    <x v="3"/>
    <m/>
    <m/>
    <n v="8273"/>
    <n v="69706"/>
    <s v="Ticket de Enero"/>
    <x v="16"/>
    <n v="0"/>
    <d v="1899-12-30T00:00:00"/>
    <d v="2025-02-12T00:00:00"/>
  </r>
  <r>
    <n v="8462"/>
    <x v="51"/>
    <x v="174"/>
    <n v="247884"/>
    <s v="ANA CAROLINA PALACIOS GONZALEZ de MENENDEZ"/>
    <n v="21"/>
    <x v="3"/>
    <n v="3204"/>
    <x v="10"/>
    <s v="x"/>
    <x v="1"/>
    <n v="4"/>
    <s v="SOPORTE/CAPACITACION"/>
    <n v="1"/>
    <s v="BAJA"/>
    <n v="2"/>
    <n v="2"/>
    <m/>
    <m/>
    <m/>
    <m/>
    <d v="2025-02-17T00:00:00"/>
    <d v="2025-02-17T00:00:00"/>
    <d v="2025-02-17T00:00:00"/>
    <x v="44"/>
    <d v="2025-02-17T00:00:00"/>
    <m/>
    <n v="8462"/>
    <n v="74194"/>
    <s v="/"/>
    <x v="8"/>
    <n v="1"/>
    <d v="1899-12-30T01:00:00"/>
    <d v="2025-02-28T00:00:00"/>
  </r>
  <r>
    <n v="8462"/>
    <x v="51"/>
    <x v="174"/>
    <n v="247884"/>
    <s v="ANA CAROLINA PALACIOS GONZALEZ de MENENDEZ"/>
    <n v="21"/>
    <x v="3"/>
    <n v="3204"/>
    <x v="10"/>
    <m/>
    <x v="1"/>
    <n v="4"/>
    <s v="SOPORTE/CAPACITACION"/>
    <n v="1"/>
    <s v="BAJA"/>
    <n v="2"/>
    <n v="2"/>
    <m/>
    <m/>
    <m/>
    <m/>
    <d v="2025-02-17T00:00:00"/>
    <d v="2025-02-17T00:00:00"/>
    <d v="2025-02-17T00:00:00"/>
    <x v="44"/>
    <d v="2025-02-17T00:00:00"/>
    <m/>
    <n v="8462"/>
    <n v="74193"/>
    <s v="/"/>
    <x v="9"/>
    <n v="1"/>
    <d v="1899-12-30T01:00:00"/>
    <d v="2025-02-28T00:00:00"/>
  </r>
  <r>
    <n v="8462"/>
    <x v="51"/>
    <x v="174"/>
    <n v="247884"/>
    <s v="ANA CAROLINA PALACIOS GONZALEZ de MENENDEZ"/>
    <n v="21"/>
    <x v="3"/>
    <n v="3204"/>
    <x v="10"/>
    <m/>
    <x v="1"/>
    <n v="4"/>
    <s v="SOPORTE/CAPACITACION"/>
    <n v="1"/>
    <s v="BAJA"/>
    <n v="2"/>
    <n v="2"/>
    <m/>
    <m/>
    <m/>
    <m/>
    <d v="2025-02-17T00:00:00"/>
    <d v="2025-02-17T00:00:00"/>
    <d v="2025-02-17T00:00:00"/>
    <x v="44"/>
    <d v="2025-02-17T00:00:00"/>
    <m/>
    <n v="8462"/>
    <n v="71737"/>
    <s v="inconvenientes para subir archivo al banco"/>
    <x v="13"/>
    <n v="2"/>
    <d v="1899-12-30T02:00:00"/>
    <d v="2025-02-19T00:00:00"/>
  </r>
  <r>
    <n v="8268"/>
    <x v="90"/>
    <x v="175"/>
    <n v="247417"/>
    <s v="ALVARO LEONEL GUTIERREZ LOPEZ"/>
    <n v="21"/>
    <x v="3"/>
    <n v="3204"/>
    <x v="10"/>
    <s v="x"/>
    <x v="0"/>
    <m/>
    <m/>
    <m/>
    <m/>
    <n v="1"/>
    <n v="1"/>
    <n v="1"/>
    <n v="1"/>
    <m/>
    <m/>
    <d v="2025-01-01T00:00:00"/>
    <d v="1899-12-31T00:00:00"/>
    <d v="2025-01-31T00:00:00"/>
    <x v="3"/>
    <m/>
    <s v="&lt;p&gt;Carga de estado de cuenta MT940 banco industrial hacia SAP Canella&lt;/p&gt;"/>
    <n v="8268"/>
    <n v="71988"/>
    <s v="se quito la validación de agrupar por referencia si es del mismo día"/>
    <x v="2"/>
    <n v="2"/>
    <d v="1899-12-30T02:00:00"/>
    <d v="2025-02-20T00:00:00"/>
  </r>
  <r>
    <n v="8268"/>
    <x v="90"/>
    <x v="175"/>
    <n v="247417"/>
    <s v="ALVARO LEONEL GUTIERREZ LOPEZ"/>
    <n v="21"/>
    <x v="3"/>
    <n v="3204"/>
    <x v="10"/>
    <m/>
    <x v="0"/>
    <m/>
    <m/>
    <m/>
    <m/>
    <n v="1"/>
    <n v="1"/>
    <n v="1"/>
    <n v="1"/>
    <m/>
    <m/>
    <d v="2025-01-01T00:00:00"/>
    <d v="1899-12-31T00:00:00"/>
    <d v="2025-01-31T00:00:00"/>
    <x v="3"/>
    <m/>
    <s v="&lt;p&gt;Carga de estado de cuenta MT940 banco industrial hacia SAP Canella&lt;/p&gt;"/>
    <n v="8268"/>
    <n v="69709"/>
    <s v="Ticket de Enero"/>
    <x v="16"/>
    <n v="0"/>
    <d v="1899-12-30T00:00:00"/>
    <d v="2025-02-12T00:00:00"/>
  </r>
  <r>
    <n v="8268"/>
    <x v="90"/>
    <x v="175"/>
    <n v="247417"/>
    <s v="ALVARO LEONEL GUTIERREZ LOPEZ"/>
    <n v="21"/>
    <x v="3"/>
    <n v="3204"/>
    <x v="10"/>
    <m/>
    <x v="0"/>
    <m/>
    <m/>
    <m/>
    <m/>
    <n v="1"/>
    <n v="1"/>
    <n v="1"/>
    <n v="1"/>
    <m/>
    <m/>
    <d v="2025-01-01T00:00:00"/>
    <d v="1899-12-31T00:00:00"/>
    <d v="2025-01-31T00:00:00"/>
    <x v="3"/>
    <m/>
    <s v="&lt;p&gt;Carga de estado de cuenta MT940 banco industrial hacia SAP Canella&lt;/p&gt;"/>
    <n v="8268"/>
    <n v="66033"/>
    <s v="Ticket de enero"/>
    <x v="20"/>
    <n v="0"/>
    <d v="1899-12-30T00:00:00"/>
    <d v="2025-01-29T00:00:00"/>
  </r>
  <r>
    <n v="8268"/>
    <x v="90"/>
    <x v="175"/>
    <n v="247417"/>
    <s v="ALVARO LEONEL GUTIERREZ LOPEZ"/>
    <n v="21"/>
    <x v="3"/>
    <n v="3204"/>
    <x v="10"/>
    <m/>
    <x v="0"/>
    <m/>
    <m/>
    <m/>
    <m/>
    <n v="1"/>
    <n v="1"/>
    <n v="1"/>
    <n v="1"/>
    <m/>
    <m/>
    <d v="2025-01-01T00:00:00"/>
    <d v="1899-12-31T00:00:00"/>
    <d v="2025-01-31T00:00:00"/>
    <x v="3"/>
    <m/>
    <s v="&lt;p&gt;Carga de estado de cuenta MT940 banco industrial hacia SAP Canella&lt;/p&gt;"/>
    <n v="8268"/>
    <n v="66010"/>
    <s v="/"/>
    <x v="50"/>
    <n v="2"/>
    <d v="1899-12-30T02:00:00"/>
    <d v="2025-01-29T00:00:00"/>
  </r>
  <r>
    <n v="8476"/>
    <x v="51"/>
    <x v="176"/>
    <n v="254960"/>
    <s v="CARLA MILAGROS MARTINEZ PEREZ"/>
    <n v="21"/>
    <x v="3"/>
    <n v="3204"/>
    <x v="10"/>
    <s v="x"/>
    <x v="1"/>
    <n v="4"/>
    <s v="SOPORTE/CAPACITACION"/>
    <n v="1"/>
    <s v="BAJA"/>
    <n v="3"/>
    <n v="3"/>
    <m/>
    <m/>
    <m/>
    <m/>
    <d v="2025-02-20T00:00:00"/>
    <d v="2025-02-20T00:00:00"/>
    <d v="2025-02-20T00:00:00"/>
    <x v="20"/>
    <d v="2025-02-20T00:00:00"/>
    <m/>
    <n v="8476"/>
    <n v="74192"/>
    <s v="/"/>
    <x v="10"/>
    <n v="2"/>
    <d v="1899-12-30T02:00:00"/>
    <d v="2025-02-28T00:00:00"/>
  </r>
  <r>
    <n v="8476"/>
    <x v="51"/>
    <x v="176"/>
    <n v="254960"/>
    <s v="CARLA MILAGROS MARTINEZ PEREZ"/>
    <n v="21"/>
    <x v="3"/>
    <n v="3204"/>
    <x v="10"/>
    <m/>
    <x v="1"/>
    <n v="4"/>
    <s v="SOPORTE/CAPACITACION"/>
    <n v="1"/>
    <s v="BAJA"/>
    <n v="3"/>
    <n v="3"/>
    <m/>
    <m/>
    <m/>
    <m/>
    <d v="2025-02-20T00:00:00"/>
    <d v="2025-02-20T00:00:00"/>
    <d v="2025-02-20T00:00:00"/>
    <x v="20"/>
    <d v="2025-02-20T00:00:00"/>
    <m/>
    <n v="8476"/>
    <n v="72228"/>
    <s v="/"/>
    <x v="1"/>
    <n v="2"/>
    <d v="1899-12-30T02:00:00"/>
    <d v="2025-02-20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AA8682F-DC68-4DD9-86B6-84289023B878}" name="TablaDinámica1"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B5:E24" firstHeaderRow="1" firstDataRow="2" firstDataCol="1" rowPageCount="3" colPageCount="1"/>
  <pivotFields count="38">
    <pivotField numFmtId="1" showAll="0"/>
    <pivotField axis="axisPage" numFmtId="1" multipleItemSelectionAllowed="1" showAll="0">
      <items count="94">
        <item h="1" x="51"/>
        <item x="0"/>
        <item x="60"/>
        <item x="52"/>
        <item x="1"/>
        <item x="61"/>
        <item x="2"/>
        <item x="3"/>
        <item x="4"/>
        <item x="5"/>
        <item x="6"/>
        <item x="7"/>
        <item x="8"/>
        <item x="9"/>
        <item x="53"/>
        <item x="10"/>
        <item x="84"/>
        <item x="11"/>
        <item x="83"/>
        <item x="12"/>
        <item x="13"/>
        <item x="62"/>
        <item x="14"/>
        <item x="68"/>
        <item x="15"/>
        <item x="79"/>
        <item x="16"/>
        <item x="17"/>
        <item x="18"/>
        <item x="74"/>
        <item x="54"/>
        <item x="69"/>
        <item x="63"/>
        <item x="75"/>
        <item x="19"/>
        <item x="20"/>
        <item x="21"/>
        <item x="22"/>
        <item x="23"/>
        <item x="24"/>
        <item x="25"/>
        <item x="70"/>
        <item x="26"/>
        <item x="27"/>
        <item x="28"/>
        <item x="29"/>
        <item x="30"/>
        <item x="31"/>
        <item x="32"/>
        <item x="55"/>
        <item x="33"/>
        <item x="56"/>
        <item m="1" x="91"/>
        <item x="57"/>
        <item x="34"/>
        <item x="35"/>
        <item x="80"/>
        <item x="64"/>
        <item x="71"/>
        <item x="90"/>
        <item x="77"/>
        <item x="36"/>
        <item x="89"/>
        <item x="76"/>
        <item x="88"/>
        <item x="37"/>
        <item x="38"/>
        <item x="39"/>
        <item x="87"/>
        <item x="40"/>
        <item x="41"/>
        <item x="42"/>
        <item x="43"/>
        <item x="44"/>
        <item x="45"/>
        <item x="46"/>
        <item x="58"/>
        <item m="1" x="92"/>
        <item x="65"/>
        <item x="47"/>
        <item x="66"/>
        <item x="72"/>
        <item x="73"/>
        <item x="48"/>
        <item x="78"/>
        <item x="49"/>
        <item x="50"/>
        <item x="59"/>
        <item x="82"/>
        <item x="85"/>
        <item x="86"/>
        <item x="81"/>
        <item x="67"/>
        <item t="default"/>
      </items>
    </pivotField>
    <pivotField showAll="0"/>
    <pivotField showAll="0"/>
    <pivotField showAll="0"/>
    <pivotField numFmtId="1" showAll="0"/>
    <pivotField axis="axisCol" multipleItemSelectionAllowed="1" showAll="0">
      <items count="7">
        <item x="1"/>
        <item x="2"/>
        <item x="5"/>
        <item x="0"/>
        <item x="4"/>
        <item x="3"/>
        <item t="default"/>
      </items>
    </pivotField>
    <pivotField showAll="0"/>
    <pivotField axis="axisRow" showAll="0">
      <items count="22">
        <item sd="0" x="3"/>
        <item sd="0" x="5"/>
        <item sd="0" m="1" x="16"/>
        <item sd="0" m="1" x="17"/>
        <item sd="0" x="6"/>
        <item sd="0" m="1" x="18"/>
        <item sd="0" x="10"/>
        <item sd="0" x="11"/>
        <item sd="0" x="8"/>
        <item sd="0" x="1"/>
        <item sd="0" x="13"/>
        <item sd="0" x="12"/>
        <item sd="0" m="1" x="19"/>
        <item sd="0" x="2"/>
        <item sd="0" x="15"/>
        <item m="1" x="20"/>
        <item x="0"/>
        <item x="4"/>
        <item x="7"/>
        <item x="9"/>
        <item x="14"/>
        <item t="default" sd="0"/>
      </items>
    </pivotField>
    <pivotField dataField="1" showAll="0"/>
    <pivotField axis="axisRow"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47">
        <item x="37"/>
        <item x="34"/>
        <item x="3"/>
        <item x="35"/>
        <item m="1" x="45"/>
        <item x="18"/>
        <item x="42"/>
        <item x="41"/>
        <item x="31"/>
        <item x="36"/>
        <item x="16"/>
        <item x="10"/>
        <item x="5"/>
        <item x="17"/>
        <item x="9"/>
        <item x="12"/>
        <item x="2"/>
        <item x="21"/>
        <item x="11"/>
        <item x="14"/>
        <item x="6"/>
        <item x="7"/>
        <item x="4"/>
        <item x="15"/>
        <item x="8"/>
        <item x="13"/>
        <item x="32"/>
        <item x="19"/>
        <item x="44"/>
        <item x="43"/>
        <item x="0"/>
        <item x="1"/>
        <item x="20"/>
        <item x="23"/>
        <item x="24"/>
        <item x="25"/>
        <item x="27"/>
        <item x="28"/>
        <item x="40"/>
        <item x="22"/>
        <item x="33"/>
        <item x="26"/>
        <item x="29"/>
        <item x="30"/>
        <item x="38"/>
        <item x="39"/>
        <item t="default"/>
      </items>
    </pivotField>
    <pivotField showAll="0"/>
    <pivotField showAll="0"/>
    <pivotField showAll="0"/>
    <pivotField showAll="0"/>
    <pivotField showAll="0"/>
    <pivotField showAll="0">
      <items count="52">
        <item x="50"/>
        <item x="49"/>
        <item x="48"/>
        <item x="47"/>
        <item x="46"/>
        <item x="45"/>
        <item x="33"/>
        <item x="32"/>
        <item x="41"/>
        <item x="44"/>
        <item x="22"/>
        <item x="21"/>
        <item x="20"/>
        <item x="31"/>
        <item x="34"/>
        <item x="43"/>
        <item x="26"/>
        <item x="25"/>
        <item x="19"/>
        <item x="18"/>
        <item x="4"/>
        <item x="42"/>
        <item x="30"/>
        <item x="17"/>
        <item x="16"/>
        <item x="15"/>
        <item x="14"/>
        <item x="24"/>
        <item x="13"/>
        <item x="3"/>
        <item x="2"/>
        <item x="1"/>
        <item x="0"/>
        <item x="23"/>
        <item x="12"/>
        <item x="11"/>
        <item x="10"/>
        <item x="9"/>
        <item x="8"/>
        <item x="7"/>
        <item x="40"/>
        <item x="29"/>
        <item x="36"/>
        <item x="6"/>
        <item x="35"/>
        <item x="38"/>
        <item x="37"/>
        <item x="28"/>
        <item x="39"/>
        <item x="5"/>
        <item x="27"/>
        <item t="default"/>
      </items>
    </pivotField>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Page" multipleItemSelectionAllowed="1" showAll="0">
      <items count="15">
        <item h="1" sd="0" x="0"/>
        <item sd="0" x="1"/>
        <item sd="0" x="2"/>
        <item h="1" sd="0" x="3"/>
        <item h="1" sd="0" x="4"/>
        <item h="1" sd="0" x="5"/>
        <item h="1" sd="0" x="6"/>
        <item h="1" sd="0" x="7"/>
        <item h="1" sd="0" x="8"/>
        <item h="1" sd="0" x="9"/>
        <item h="1" sd="0" x="10"/>
        <item h="1" sd="0" x="11"/>
        <item h="1" sd="0" x="12"/>
        <item h="1" sd="0" x="13"/>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2">
    <field x="10"/>
    <field x="8"/>
  </rowFields>
  <rowItems count="18">
    <i>
      <x/>
    </i>
    <i r="1">
      <x/>
    </i>
    <i r="1">
      <x v="11"/>
    </i>
    <i r="1">
      <x v="17"/>
    </i>
    <i>
      <x v="1"/>
    </i>
    <i r="1">
      <x/>
    </i>
    <i r="1">
      <x v="1"/>
    </i>
    <i r="1">
      <x v="4"/>
    </i>
    <i r="1">
      <x v="6"/>
    </i>
    <i r="1">
      <x v="7"/>
    </i>
    <i r="1">
      <x v="8"/>
    </i>
    <i r="1">
      <x v="9"/>
    </i>
    <i r="1">
      <x v="11"/>
    </i>
    <i r="1">
      <x v="13"/>
    </i>
    <i r="1">
      <x v="16"/>
    </i>
    <i r="1">
      <x v="17"/>
    </i>
    <i r="1">
      <x v="18"/>
    </i>
    <i t="grand">
      <x/>
    </i>
  </rowItems>
  <colFields count="1">
    <field x="6"/>
  </colFields>
  <colItems count="3">
    <i>
      <x v="1"/>
    </i>
    <i>
      <x v="5"/>
    </i>
    <i t="grand">
      <x/>
    </i>
  </colItems>
  <pageFields count="3">
    <pageField fld="24" hier="-1"/>
    <pageField fld="35" hier="-1"/>
    <pageField fld="1" hier="-1"/>
  </pageFields>
  <dataFields count="1">
    <dataField name="Cuenta de Es único?" fld="9"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5B601E-9269-4AAF-BC72-2F381C9EE543}" name="TablaDinámica2"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B3:C20" firstHeaderRow="1" firstDataRow="1" firstDataCol="1"/>
  <pivotFields count="38">
    <pivotField numFmtId="1" showAll="0"/>
    <pivotField numFmtId="1" showAll="0"/>
    <pivotField axis="axisRow" showAll="0">
      <items count="178">
        <item x="0"/>
        <item x="109"/>
        <item x="95"/>
        <item x="1"/>
        <item x="110"/>
        <item x="2"/>
        <item x="3"/>
        <item x="4"/>
        <item x="5"/>
        <item x="6"/>
        <item x="7"/>
        <item x="8"/>
        <item x="9"/>
        <item x="96"/>
        <item x="10"/>
        <item x="150"/>
        <item x="11"/>
        <item x="148"/>
        <item x="12"/>
        <item x="13"/>
        <item x="111"/>
        <item x="14"/>
        <item x="119"/>
        <item x="15"/>
        <item x="138"/>
        <item x="16"/>
        <item x="17"/>
        <item x="18"/>
        <item x="127"/>
        <item x="97"/>
        <item x="120"/>
        <item x="112"/>
        <item x="128"/>
        <item x="19"/>
        <item x="20"/>
        <item x="21"/>
        <item x="22"/>
        <item x="23"/>
        <item x="24"/>
        <item x="25"/>
        <item x="121"/>
        <item x="26"/>
        <item x="27"/>
        <item x="28"/>
        <item x="29"/>
        <item x="30"/>
        <item x="31"/>
        <item x="32"/>
        <item x="98"/>
        <item x="33"/>
        <item x="99"/>
        <item x="100"/>
        <item x="34"/>
        <item x="35"/>
        <item x="142"/>
        <item x="113"/>
        <item x="122"/>
        <item x="175"/>
        <item x="133"/>
        <item x="36"/>
        <item x="173"/>
        <item x="129"/>
        <item x="171"/>
        <item x="37"/>
        <item x="38"/>
        <item x="39"/>
        <item x="157"/>
        <item x="40"/>
        <item x="41"/>
        <item x="42"/>
        <item x="43"/>
        <item x="44"/>
        <item x="45"/>
        <item x="46"/>
        <item x="101"/>
        <item x="114"/>
        <item x="47"/>
        <item x="115"/>
        <item x="123"/>
        <item x="124"/>
        <item x="48"/>
        <item x="134"/>
        <item x="49"/>
        <item x="50"/>
        <item x="102"/>
        <item x="146"/>
        <item x="152"/>
        <item x="154"/>
        <item x="144"/>
        <item x="116"/>
        <item x="51"/>
        <item x="52"/>
        <item x="53"/>
        <item x="103"/>
        <item x="54"/>
        <item x="55"/>
        <item x="56"/>
        <item x="57"/>
        <item x="139"/>
        <item x="92"/>
        <item x="58"/>
        <item x="158"/>
        <item x="59"/>
        <item x="93"/>
        <item x="60"/>
        <item x="61"/>
        <item x="62"/>
        <item x="149"/>
        <item x="172"/>
        <item x="63"/>
        <item x="64"/>
        <item x="65"/>
        <item x="66"/>
        <item x="104"/>
        <item x="94"/>
        <item x="68"/>
        <item x="105"/>
        <item x="67"/>
        <item x="69"/>
        <item x="70"/>
        <item x="135"/>
        <item x="125"/>
        <item x="71"/>
        <item x="165"/>
        <item x="106"/>
        <item x="72"/>
        <item x="168"/>
        <item x="73"/>
        <item x="155"/>
        <item x="126"/>
        <item x="74"/>
        <item x="107"/>
        <item x="75"/>
        <item x="78"/>
        <item x="79"/>
        <item x="174"/>
        <item x="151"/>
        <item x="117"/>
        <item x="130"/>
        <item x="161"/>
        <item x="170"/>
        <item x="156"/>
        <item x="80"/>
        <item x="164"/>
        <item x="159"/>
        <item x="81"/>
        <item x="137"/>
        <item x="82"/>
        <item x="83"/>
        <item x="166"/>
        <item x="140"/>
        <item x="143"/>
        <item x="84"/>
        <item x="167"/>
        <item x="108"/>
        <item x="77"/>
        <item x="76"/>
        <item x="160"/>
        <item x="169"/>
        <item x="153"/>
        <item x="162"/>
        <item x="131"/>
        <item x="85"/>
        <item x="163"/>
        <item x="118"/>
        <item x="145"/>
        <item x="136"/>
        <item x="147"/>
        <item x="176"/>
        <item x="86"/>
        <item x="141"/>
        <item x="132"/>
        <item x="88"/>
        <item x="89"/>
        <item x="87"/>
        <item x="90"/>
        <item x="91"/>
        <item t="default"/>
      </items>
    </pivotField>
    <pivotField showAll="0"/>
    <pivotField showAll="0"/>
    <pivotField numFmtId="1" showAll="0"/>
    <pivotField showAll="0"/>
    <pivotField showAll="0"/>
    <pivotField axis="axisRow" multipleItemSelectionAllowed="1" showAll="0">
      <items count="22">
        <item sd="0" m="1" x="20"/>
        <item sd="0" x="3"/>
        <item sd="0" x="14"/>
        <item sd="0" x="5"/>
        <item sd="0" x="0"/>
        <item sd="0" m="1" x="16"/>
        <item sd="0" x="4"/>
        <item sd="0" m="1" x="17"/>
        <item sd="0" x="6"/>
        <item sd="0" x="7"/>
        <item sd="0" m="1" x="18"/>
        <item sd="0" x="10"/>
        <item sd="0" x="11"/>
        <item sd="0" x="8"/>
        <item sd="0" x="1"/>
        <item sd="0" x="13"/>
        <item sd="0" x="15"/>
        <item sd="0" x="12"/>
        <item sd="0" m="1" x="19"/>
        <item sd="0" x="9"/>
        <item sd="0" x="2"/>
        <item t="default" sd="0"/>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7">
        <item x="37"/>
        <item x="34"/>
        <item x="3"/>
        <item x="39"/>
        <item x="38"/>
        <item x="35"/>
        <item m="1" x="45"/>
        <item x="18"/>
        <item x="42"/>
        <item x="41"/>
        <item x="31"/>
        <item x="36"/>
        <item x="16"/>
        <item x="44"/>
        <item x="43"/>
        <item x="20"/>
        <item x="27"/>
        <item x="25"/>
        <item x="10"/>
        <item x="40"/>
        <item x="24"/>
        <item x="22"/>
        <item x="5"/>
        <item x="28"/>
        <item x="33"/>
        <item x="23"/>
        <item x="29"/>
        <item x="17"/>
        <item x="26"/>
        <item x="9"/>
        <item x="30"/>
        <item x="12"/>
        <item x="2"/>
        <item x="21"/>
        <item x="11"/>
        <item x="14"/>
        <item x="6"/>
        <item x="7"/>
        <item x="4"/>
        <item x="15"/>
        <item x="8"/>
        <item x="1"/>
        <item x="0"/>
        <item x="13"/>
        <item x="32"/>
        <item x="19"/>
        <item t="default"/>
      </items>
    </pivotField>
    <pivotField showAll="0"/>
    <pivotField showAll="0"/>
    <pivotField showAll="0"/>
    <pivotField showAll="0"/>
    <pivotField showAll="0"/>
    <pivotField showAll="0">
      <items count="52">
        <item x="50"/>
        <item x="49"/>
        <item x="48"/>
        <item x="47"/>
        <item x="46"/>
        <item x="45"/>
        <item x="33"/>
        <item x="32"/>
        <item x="41"/>
        <item x="44"/>
        <item x="22"/>
        <item x="21"/>
        <item x="20"/>
        <item x="31"/>
        <item x="34"/>
        <item x="43"/>
        <item x="26"/>
        <item x="25"/>
        <item x="19"/>
        <item x="18"/>
        <item x="4"/>
        <item x="42"/>
        <item x="30"/>
        <item x="17"/>
        <item x="16"/>
        <item x="15"/>
        <item x="14"/>
        <item x="24"/>
        <item x="13"/>
        <item x="3"/>
        <item x="2"/>
        <item x="1"/>
        <item x="0"/>
        <item x="23"/>
        <item x="12"/>
        <item x="11"/>
        <item x="10"/>
        <item x="9"/>
        <item x="8"/>
        <item x="7"/>
        <item x="40"/>
        <item x="29"/>
        <item x="36"/>
        <item x="6"/>
        <item x="35"/>
        <item x="38"/>
        <item x="37"/>
        <item x="28"/>
        <item x="39"/>
        <item x="5"/>
        <item x="27"/>
        <item t="default"/>
      </items>
    </pivotField>
    <pivotField showAll="0"/>
    <pivotField dataField="1" showAll="0"/>
    <pivotField showAll="0"/>
    <pivotField showAll="0" defaultSubtotal="0"/>
    <pivotField showAll="0" defaultSubtotal="0">
      <items count="14">
        <item x="0"/>
        <item x="1"/>
        <item x="2"/>
        <item x="3"/>
        <item x="4"/>
        <item x="5"/>
        <item x="6"/>
        <item x="7"/>
        <item x="8"/>
        <item x="9"/>
        <item x="10"/>
        <item x="11"/>
        <item x="12"/>
        <item x="13"/>
      </items>
    </pivotField>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x="3"/>
        <item sd="0" x="4"/>
        <item sd="0" x="5"/>
        <item sd="0" x="6"/>
        <item sd="0" x="7"/>
        <item sd="0" x="8"/>
        <item sd="0" x="9"/>
        <item sd="0" x="10"/>
        <item sd="0" x="11"/>
        <item sd="0" x="12"/>
        <item sd="0" x="13"/>
      </items>
    </pivotField>
  </pivotFields>
  <rowFields count="2">
    <field x="8"/>
    <field x="2"/>
  </rowFields>
  <rowItems count="17">
    <i>
      <x v="1"/>
    </i>
    <i>
      <x v="2"/>
    </i>
    <i>
      <x v="3"/>
    </i>
    <i>
      <x v="4"/>
    </i>
    <i>
      <x v="6"/>
    </i>
    <i>
      <x v="8"/>
    </i>
    <i>
      <x v="9"/>
    </i>
    <i>
      <x v="11"/>
    </i>
    <i>
      <x v="12"/>
    </i>
    <i>
      <x v="13"/>
    </i>
    <i>
      <x v="14"/>
    </i>
    <i>
      <x v="15"/>
    </i>
    <i>
      <x v="16"/>
    </i>
    <i>
      <x v="17"/>
    </i>
    <i>
      <x v="19"/>
    </i>
    <i>
      <x v="20"/>
    </i>
    <i t="grand">
      <x/>
    </i>
  </rowItems>
  <colItems count="1">
    <i/>
  </colItems>
  <dataFields count="1">
    <dataField name="Suma de ph Horas" fld="32" baseField="27" baseItem="77" numFmtId="166"/>
  </dataFields>
  <formats count="2">
    <format dxfId="38">
      <pivotArea dataOnly="0" labelOnly="1" outline="0" axis="axisValues" fieldPosition="0"/>
    </format>
    <format dxfId="3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1259E61-CE5B-4FE4-8F0A-F8B6EAE834C2}" name="_tbl_odoo_datos" displayName="_tbl_odoo_datos" ref="A1:AH806" totalsRowShown="0" headerRowDxfId="36" dataDxfId="35">
  <autoFilter ref="A1:AH806" xr:uid="{B1259E61-CE5B-4FE4-8F0A-F8B6EAE834C2}">
    <filterColumn colId="8">
      <filters>
        <filter val="Brayan Roberto Alexander Solorzano Aguilar"/>
      </filters>
    </filterColumn>
  </autoFilter>
  <tableColumns count="34">
    <tableColumn id="1" xr3:uid="{2786F766-7EC7-4929-A38B-218CAA7ACAB8}" name="PROYECTO ID" dataDxfId="34"/>
    <tableColumn id="2" xr3:uid="{8A0409DD-65BD-482C-97E6-5A1B2A1D7899}" name="STOD Ref." dataDxfId="33"/>
    <tableColumn id="3" xr3:uid="{CB6853DA-A890-458E-BC94-CE2E307763D8}" name="Proyecto" dataDxfId="32"/>
    <tableColumn id="4" xr3:uid="{F5663BC1-839C-4C90-AA83-A797A5026BD6}" name="Solicitante ID" dataDxfId="31"/>
    <tableColumn id="5" xr3:uid="{F7227C04-6FF1-4548-9CCF-A803108667A9}" name="Solicitante" dataDxfId="30"/>
    <tableColumn id="6" xr3:uid="{A951CB28-CB6F-4A5D-8EEC-8B33ACEE6466}" name="Etapa ID" dataDxfId="29"/>
    <tableColumn id="7" xr3:uid="{69EAFBAC-8007-4CC3-856F-7A91793E232D}" name="Etapa" dataDxfId="28"/>
    <tableColumn id="8" xr3:uid="{95FD63FC-9720-4E49-B68A-6C5462E274D0}" name="Asignado ID" dataDxfId="27"/>
    <tableColumn id="9" xr3:uid="{3B445657-1C56-4543-A44E-C1178B5F204E}" name="Asignado" dataDxfId="26"/>
    <tableColumn id="10" xr3:uid="{308224E9-C4FA-4F6C-B5E3-0EAE3B4855A2}" name="Es único?" dataDxfId="25"/>
    <tableColumn id="11" xr3:uid="{0083917D-F811-4377-B2A5-6B2ADE87F1E2}" name="Emergente" dataDxfId="24"/>
    <tableColumn id="12" xr3:uid="{7E5CB544-9F8E-4BC1-AE81-B37F123EF5DC}" name="Clasificación ID" dataDxfId="23"/>
    <tableColumn id="13" xr3:uid="{D9E3E47D-A9EA-4CD4-9D11-F3991D3DDDAD}" name="Clasificación" dataDxfId="22"/>
    <tableColumn id="14" xr3:uid="{F3A4F3A1-D52D-471E-973E-FAC4E88580E1}" name="Complejidad ID" dataDxfId="21"/>
    <tableColumn id="15" xr3:uid="{01AFF49D-1936-4817-B52E-211A36718777}" name="Complejidad" dataDxfId="20"/>
    <tableColumn id="16" xr3:uid="{D05B6F1E-441B-445A-BA90-9DFD5A9B8FB2}" name="Importancia ID" dataDxfId="19"/>
    <tableColumn id="17" xr3:uid="{CA342269-6678-4D90-80DE-AB901AB3637A}" name="Importancia" dataDxfId="18"/>
    <tableColumn id="18" xr3:uid="{FDCFE153-02DF-4CCF-AF75-9544B9F4705C}" name="Urgencia ID" dataDxfId="17"/>
    <tableColumn id="19" xr3:uid="{93C597D0-CE9F-40A0-B238-9AA80F0891E4}" name="Urgencia" dataDxfId="16"/>
    <tableColumn id="20" xr3:uid="{52981316-46A3-49F4-B7C6-A374B1679174}" name="Tamaño ID" dataDxfId="15"/>
    <tableColumn id="21" xr3:uid="{447309E0-C722-4E04-9C76-AFCB06011486}" name="Tamaño" dataDxfId="14"/>
    <tableColumn id="22" xr3:uid="{01D5F6F5-50FF-4B20-8D81-3E036FE5D644}" name="Fecha Creación" dataDxfId="13"/>
    <tableColumn id="23" xr3:uid="{600D6F6B-D61E-4CC1-8603-51EB683C8E3C}" name="Fecha Inicio" dataDxfId="12"/>
    <tableColumn id="24" xr3:uid="{555CC918-A6CB-49EC-B83B-469B42327A42}" name="Fecha Informática" dataDxfId="11"/>
    <tableColumn id="25" xr3:uid="{F2903C41-DEFC-45C5-B321-DB7E040FA2A1}" name="Fecha Gerencia" dataDxfId="10"/>
    <tableColumn id="26" xr3:uid="{0FC999DE-FC0B-476C-A1D0-54B994D406C3}" name="Fecha Cierre" dataDxfId="9"/>
    <tableColumn id="27" xr3:uid="{163C71B9-5A30-4AF8-B642-A6D82419E185}" name="Descripción" dataDxfId="8"/>
    <tableColumn id="28" xr3:uid="{E68AE240-4A07-4682-9F54-351ACFC30C88}" name="ph ID" dataDxfId="7"/>
    <tableColumn id="29" xr3:uid="{5799D70E-ABDF-4CC4-9D91-334439DCA892}" name="ph Id Proyecto" dataDxfId="6"/>
    <tableColumn id="30" xr3:uid="{0EC69B73-FFBE-4D8D-B12E-D5D6428B4EB9}" name="ph Titulo" dataDxfId="5"/>
    <tableColumn id="31" xr3:uid="{1C1D7746-DA4B-4397-9414-8272F6FFED93}" name="ph Fecha" dataDxfId="4"/>
    <tableColumn id="32" xr3:uid="{A233119E-011E-414F-94FF-C0DEBF52C52D}" name="ph Horas Decimal" dataDxfId="3"/>
    <tableColumn id="33" xr3:uid="{0052659D-7FDA-4FE3-90DA-53CF70C652C2}" name="ph Horas" dataDxfId="2"/>
    <tableColumn id="34" xr3:uid="{F00929BF-1E6B-4727-8236-FEF4CD356AEF}" name="ph Fecha Creacion" dataDxfId="1"/>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19724-AEB2-4DA4-91E3-8B9CB8E7FED7}">
  <sheetPr codeName="Hoja2"/>
  <dimension ref="B1:F24"/>
  <sheetViews>
    <sheetView showGridLines="0" workbookViewId="0">
      <selection activeCell="J13" sqref="J13"/>
    </sheetView>
  </sheetViews>
  <sheetFormatPr baseColWidth="10" defaultRowHeight="15" x14ac:dyDescent="0.25"/>
  <cols>
    <col min="2" max="2" width="42.28515625" bestFit="1" customWidth="1"/>
    <col min="3" max="3" width="21.7109375" bestFit="1" customWidth="1"/>
    <col min="4" max="4" width="14.85546875" bestFit="1" customWidth="1"/>
    <col min="5" max="5" width="12.28515625" bestFit="1" customWidth="1"/>
    <col min="6" max="9" width="12.5703125" bestFit="1" customWidth="1"/>
    <col min="10" max="10" width="24.28515625" bestFit="1" customWidth="1"/>
    <col min="11" max="11" width="20.42578125" bestFit="1" customWidth="1"/>
    <col min="12" max="12" width="24.28515625" bestFit="1" customWidth="1"/>
    <col min="13" max="13" width="18.7109375" bestFit="1" customWidth="1"/>
    <col min="14" max="14" width="24.28515625" bestFit="1" customWidth="1"/>
    <col min="15" max="15" width="23.7109375" bestFit="1" customWidth="1"/>
    <col min="16" max="16" width="29.28515625" bestFit="1" customWidth="1"/>
    <col min="17" max="18" width="10.42578125" bestFit="1" customWidth="1"/>
    <col min="19" max="19" width="20.28515625" bestFit="1" customWidth="1"/>
    <col min="20" max="20" width="12.5703125" bestFit="1" customWidth="1"/>
    <col min="21" max="21" width="19.7109375" bestFit="1" customWidth="1"/>
    <col min="22" max="22" width="14.7109375" bestFit="1" customWidth="1"/>
    <col min="23" max="23" width="15" bestFit="1" customWidth="1"/>
    <col min="24" max="24" width="12.7109375" bestFit="1" customWidth="1"/>
    <col min="25" max="25" width="11.42578125" bestFit="1" customWidth="1"/>
    <col min="26" max="26" width="15" bestFit="1" customWidth="1"/>
    <col min="27" max="27" width="12.28515625" bestFit="1" customWidth="1"/>
    <col min="28" max="28" width="12.7109375" bestFit="1" customWidth="1"/>
    <col min="29" max="29" width="14.7109375" bestFit="1" customWidth="1"/>
    <col min="30" max="30" width="19.7109375" bestFit="1" customWidth="1"/>
    <col min="31" max="31" width="15" bestFit="1" customWidth="1"/>
    <col min="32" max="32" width="12.28515625" bestFit="1" customWidth="1"/>
    <col min="33" max="33" width="15" bestFit="1" customWidth="1"/>
    <col min="34" max="34" width="12.28515625" bestFit="1" customWidth="1"/>
    <col min="35" max="35" width="12.7109375" bestFit="1" customWidth="1"/>
    <col min="36" max="37" width="14.7109375" bestFit="1" customWidth="1"/>
    <col min="38" max="38" width="15" bestFit="1" customWidth="1"/>
    <col min="39" max="39" width="14.7109375" bestFit="1" customWidth="1"/>
    <col min="40" max="40" width="15" bestFit="1" customWidth="1"/>
    <col min="41" max="41" width="12.28515625" bestFit="1" customWidth="1"/>
    <col min="42" max="42" width="12.7109375" bestFit="1" customWidth="1"/>
    <col min="43" max="43" width="19.7109375" bestFit="1" customWidth="1"/>
    <col min="44" max="44" width="15" bestFit="1" customWidth="1"/>
    <col min="45" max="45" width="12.28515625" bestFit="1" customWidth="1"/>
    <col min="46" max="46" width="11.42578125" bestFit="1" customWidth="1"/>
    <col min="47" max="47" width="14.7109375" bestFit="1" customWidth="1"/>
    <col min="48" max="48" width="15" bestFit="1" customWidth="1"/>
    <col min="49" max="49" width="12.7109375" bestFit="1" customWidth="1"/>
    <col min="50" max="50" width="19.7109375" bestFit="1" customWidth="1"/>
    <col min="51" max="51" width="15" bestFit="1" customWidth="1"/>
    <col min="52" max="52" width="12.7109375" bestFit="1" customWidth="1"/>
    <col min="53" max="53" width="15" bestFit="1" customWidth="1"/>
    <col min="54" max="54" width="12.28515625" bestFit="1" customWidth="1"/>
    <col min="55" max="55" width="12.7109375" bestFit="1" customWidth="1"/>
    <col min="56" max="56" width="14.7109375" bestFit="1" customWidth="1"/>
    <col min="57" max="57" width="15" bestFit="1" customWidth="1"/>
    <col min="58" max="58" width="12.7109375" bestFit="1" customWidth="1"/>
    <col min="59" max="59" width="14.7109375" bestFit="1" customWidth="1"/>
    <col min="60" max="60" width="15" bestFit="1" customWidth="1"/>
    <col min="61" max="61" width="12.7109375" bestFit="1" customWidth="1"/>
    <col min="62" max="62" width="11.42578125" bestFit="1" customWidth="1"/>
    <col min="63" max="63" width="15" bestFit="1" customWidth="1"/>
    <col min="64" max="64" width="12.7109375" bestFit="1" customWidth="1"/>
    <col min="65" max="65" width="15" bestFit="1" customWidth="1"/>
    <col min="66" max="66" width="12.28515625" bestFit="1" customWidth="1"/>
    <col min="67" max="67" width="12.7109375" bestFit="1" customWidth="1"/>
    <col min="68" max="68" width="14.7109375" bestFit="1" customWidth="1"/>
    <col min="69" max="69" width="15" bestFit="1" customWidth="1"/>
    <col min="70" max="70" width="12.7109375" bestFit="1" customWidth="1"/>
    <col min="71" max="71" width="15" bestFit="1" customWidth="1"/>
    <col min="72" max="72" width="14.7109375" bestFit="1" customWidth="1"/>
    <col min="73" max="73" width="15" bestFit="1" customWidth="1"/>
    <col min="74" max="74" width="11.85546875" bestFit="1" customWidth="1"/>
  </cols>
  <sheetData>
    <row r="1" spans="2:5" x14ac:dyDescent="0.25">
      <c r="B1" s="14" t="s">
        <v>27</v>
      </c>
      <c r="C1" t="s">
        <v>58</v>
      </c>
    </row>
    <row r="2" spans="2:5" x14ac:dyDescent="0.25">
      <c r="B2" s="14" t="s">
        <v>59</v>
      </c>
      <c r="C2" t="s">
        <v>330</v>
      </c>
    </row>
    <row r="3" spans="2:5" x14ac:dyDescent="0.25">
      <c r="B3" s="14" t="s">
        <v>4</v>
      </c>
      <c r="C3" t="s">
        <v>330</v>
      </c>
    </row>
    <row r="5" spans="2:5" x14ac:dyDescent="0.25">
      <c r="B5" s="14" t="s">
        <v>56</v>
      </c>
      <c r="C5" s="14" t="s">
        <v>57</v>
      </c>
    </row>
    <row r="6" spans="2:5" x14ac:dyDescent="0.25">
      <c r="B6" s="14" t="s">
        <v>53</v>
      </c>
      <c r="C6" t="s">
        <v>42</v>
      </c>
      <c r="D6" t="s">
        <v>44</v>
      </c>
      <c r="E6" t="s">
        <v>55</v>
      </c>
    </row>
    <row r="7" spans="2:5" x14ac:dyDescent="0.25">
      <c r="B7" s="15" t="s">
        <v>101</v>
      </c>
      <c r="D7">
        <v>9</v>
      </c>
      <c r="E7">
        <v>9</v>
      </c>
    </row>
    <row r="8" spans="2:5" x14ac:dyDescent="0.25">
      <c r="B8" s="16" t="s">
        <v>49</v>
      </c>
      <c r="D8">
        <v>1</v>
      </c>
      <c r="E8">
        <v>1</v>
      </c>
    </row>
    <row r="9" spans="2:5" x14ac:dyDescent="0.25">
      <c r="B9" s="16" t="s">
        <v>51</v>
      </c>
      <c r="D9">
        <v>1</v>
      </c>
      <c r="E9">
        <v>1</v>
      </c>
    </row>
    <row r="10" spans="2:5" x14ac:dyDescent="0.25">
      <c r="B10" s="16" t="s">
        <v>346</v>
      </c>
      <c r="D10">
        <v>7</v>
      </c>
      <c r="E10">
        <v>7</v>
      </c>
    </row>
    <row r="11" spans="2:5" x14ac:dyDescent="0.25">
      <c r="B11" s="15" t="s">
        <v>63</v>
      </c>
      <c r="C11">
        <v>4</v>
      </c>
      <c r="D11">
        <v>28</v>
      </c>
      <c r="E11">
        <v>32</v>
      </c>
    </row>
    <row r="12" spans="2:5" x14ac:dyDescent="0.25">
      <c r="B12" s="16" t="s">
        <v>49</v>
      </c>
      <c r="D12">
        <v>2</v>
      </c>
      <c r="E12">
        <v>2</v>
      </c>
    </row>
    <row r="13" spans="2:5" x14ac:dyDescent="0.25">
      <c r="B13" s="16" t="s">
        <v>50</v>
      </c>
      <c r="D13">
        <v>2</v>
      </c>
      <c r="E13">
        <v>2</v>
      </c>
    </row>
    <row r="14" spans="2:5" x14ac:dyDescent="0.25">
      <c r="B14" s="16" t="s">
        <v>46</v>
      </c>
      <c r="D14">
        <v>1</v>
      </c>
      <c r="E14">
        <v>1</v>
      </c>
    </row>
    <row r="15" spans="2:5" x14ac:dyDescent="0.25">
      <c r="B15" s="16" t="s">
        <v>52</v>
      </c>
      <c r="D15">
        <v>4</v>
      </c>
      <c r="E15">
        <v>4</v>
      </c>
    </row>
    <row r="16" spans="2:5" x14ac:dyDescent="0.25">
      <c r="B16" s="16" t="s">
        <v>48</v>
      </c>
      <c r="D16">
        <v>3</v>
      </c>
      <c r="E16">
        <v>3</v>
      </c>
    </row>
    <row r="17" spans="2:6" x14ac:dyDescent="0.25">
      <c r="B17" s="16" t="s">
        <v>47</v>
      </c>
      <c r="D17">
        <v>3</v>
      </c>
      <c r="E17">
        <v>3</v>
      </c>
    </row>
    <row r="18" spans="2:6" x14ac:dyDescent="0.25">
      <c r="B18" s="16" t="s">
        <v>43</v>
      </c>
      <c r="D18">
        <v>2</v>
      </c>
      <c r="E18">
        <v>2</v>
      </c>
    </row>
    <row r="19" spans="2:6" x14ac:dyDescent="0.25">
      <c r="B19" s="16" t="s">
        <v>51</v>
      </c>
      <c r="D19">
        <v>3</v>
      </c>
      <c r="E19">
        <v>3</v>
      </c>
    </row>
    <row r="20" spans="2:6" x14ac:dyDescent="0.25">
      <c r="B20" s="16" t="s">
        <v>54</v>
      </c>
      <c r="C20">
        <v>4</v>
      </c>
      <c r="D20">
        <v>1</v>
      </c>
      <c r="E20">
        <v>5</v>
      </c>
    </row>
    <row r="21" spans="2:6" x14ac:dyDescent="0.25">
      <c r="B21" s="16" t="s">
        <v>343</v>
      </c>
      <c r="D21">
        <v>2</v>
      </c>
      <c r="E21">
        <v>2</v>
      </c>
    </row>
    <row r="22" spans="2:6" x14ac:dyDescent="0.25">
      <c r="B22" s="16" t="s">
        <v>346</v>
      </c>
      <c r="D22">
        <v>3</v>
      </c>
      <c r="E22">
        <v>3</v>
      </c>
      <c r="F22" t="s">
        <v>341</v>
      </c>
    </row>
    <row r="23" spans="2:6" x14ac:dyDescent="0.25">
      <c r="B23" s="16" t="s">
        <v>348</v>
      </c>
      <c r="D23">
        <v>2</v>
      </c>
      <c r="E23">
        <v>2</v>
      </c>
    </row>
    <row r="24" spans="2:6" x14ac:dyDescent="0.25">
      <c r="B24" s="15" t="s">
        <v>55</v>
      </c>
      <c r="C24">
        <v>4</v>
      </c>
      <c r="D24">
        <v>37</v>
      </c>
      <c r="E24">
        <v>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2B6C17-700D-4F80-AA9C-8260B63C9AF9}">
  <sheetPr codeName="Hoja4"/>
  <dimension ref="B3:C20"/>
  <sheetViews>
    <sheetView topLeftCell="B1" workbookViewId="0">
      <selection activeCell="J23" sqref="J23"/>
    </sheetView>
  </sheetViews>
  <sheetFormatPr baseColWidth="10" defaultRowHeight="15" x14ac:dyDescent="0.25"/>
  <cols>
    <col min="2" max="2" width="41.28515625" bestFit="1" customWidth="1"/>
    <col min="3" max="3" width="16.28515625" bestFit="1" customWidth="1"/>
    <col min="4" max="4" width="5.5703125" bestFit="1" customWidth="1"/>
    <col min="5" max="5" width="6.5703125" bestFit="1" customWidth="1"/>
    <col min="6" max="6" width="5.5703125" bestFit="1" customWidth="1"/>
    <col min="7" max="7" width="12.28515625" bestFit="1" customWidth="1"/>
  </cols>
  <sheetData>
    <row r="3" spans="2:3" x14ac:dyDescent="0.25">
      <c r="B3" s="14" t="s">
        <v>53</v>
      </c>
      <c r="C3" s="17" t="s">
        <v>939</v>
      </c>
    </row>
    <row r="4" spans="2:3" x14ac:dyDescent="0.25">
      <c r="B4" s="15" t="s">
        <v>49</v>
      </c>
      <c r="C4" s="17">
        <v>11.049999999999997</v>
      </c>
    </row>
    <row r="5" spans="2:3" x14ac:dyDescent="0.25">
      <c r="B5" s="15" t="s">
        <v>371</v>
      </c>
      <c r="C5" s="17">
        <v>3.625</v>
      </c>
    </row>
    <row r="6" spans="2:3" x14ac:dyDescent="0.25">
      <c r="B6" s="15" t="s">
        <v>50</v>
      </c>
      <c r="C6" s="17">
        <v>11.22569444444445</v>
      </c>
    </row>
    <row r="7" spans="2:3" x14ac:dyDescent="0.25">
      <c r="B7" s="15" t="s">
        <v>343</v>
      </c>
      <c r="C7" s="17">
        <v>4.6874999999999982</v>
      </c>
    </row>
    <row r="8" spans="2:3" x14ac:dyDescent="0.25">
      <c r="B8" s="15" t="s">
        <v>346</v>
      </c>
      <c r="C8" s="17">
        <v>4.4999999999999973</v>
      </c>
    </row>
    <row r="9" spans="2:3" x14ac:dyDescent="0.25">
      <c r="B9" s="15" t="s">
        <v>46</v>
      </c>
      <c r="C9" s="17">
        <v>3.3958333333333335</v>
      </c>
    </row>
    <row r="10" spans="2:3" x14ac:dyDescent="0.25">
      <c r="B10" s="15" t="s">
        <v>348</v>
      </c>
      <c r="C10" s="17">
        <v>8.7083333333333321</v>
      </c>
    </row>
    <row r="11" spans="2:3" x14ac:dyDescent="0.25">
      <c r="B11" s="15" t="s">
        <v>52</v>
      </c>
      <c r="C11" s="17">
        <v>7.9999999999999964</v>
      </c>
    </row>
    <row r="12" spans="2:3" x14ac:dyDescent="0.25">
      <c r="B12" s="15" t="s">
        <v>48</v>
      </c>
      <c r="C12" s="17">
        <v>0.45833333333333331</v>
      </c>
    </row>
    <row r="13" spans="2:3" x14ac:dyDescent="0.25">
      <c r="B13" s="15" t="s">
        <v>47</v>
      </c>
      <c r="C13" s="17">
        <v>6.729166666666667</v>
      </c>
    </row>
    <row r="14" spans="2:3" x14ac:dyDescent="0.25">
      <c r="B14" s="15" t="s">
        <v>43</v>
      </c>
      <c r="C14" s="17">
        <v>18.593750000000007</v>
      </c>
    </row>
    <row r="15" spans="2:3" x14ac:dyDescent="0.25">
      <c r="B15" s="15" t="s">
        <v>187</v>
      </c>
      <c r="C15" s="17"/>
    </row>
    <row r="16" spans="2:3" x14ac:dyDescent="0.25">
      <c r="B16" s="15" t="s">
        <v>236</v>
      </c>
      <c r="C16" s="17">
        <v>0.61111111111111105</v>
      </c>
    </row>
    <row r="17" spans="2:3" x14ac:dyDescent="0.25">
      <c r="B17" s="15" t="s">
        <v>51</v>
      </c>
      <c r="C17" s="17">
        <v>10.6875</v>
      </c>
    </row>
    <row r="18" spans="2:3" x14ac:dyDescent="0.25">
      <c r="B18" s="15" t="s">
        <v>351</v>
      </c>
      <c r="C18" s="17"/>
    </row>
    <row r="19" spans="2:3" x14ac:dyDescent="0.25">
      <c r="B19" s="15" t="s">
        <v>54</v>
      </c>
      <c r="C19" s="17"/>
    </row>
    <row r="20" spans="2:3" x14ac:dyDescent="0.25">
      <c r="B20" s="15" t="s">
        <v>55</v>
      </c>
      <c r="C20" s="17">
        <v>92.27222222222224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9B811-220D-4012-93E9-4ED0FD739489}">
  <sheetPr codeName="Hoja1">
    <tabColor theme="7" tint="0.59999389629810485"/>
  </sheetPr>
  <dimension ref="A1:AJ806"/>
  <sheetViews>
    <sheetView showGridLines="0" topLeftCell="R1" zoomScaleNormal="100" workbookViewId="0">
      <selection activeCell="AE217" sqref="AE217"/>
    </sheetView>
  </sheetViews>
  <sheetFormatPr baseColWidth="10" defaultColWidth="11.42578125" defaultRowHeight="15" x14ac:dyDescent="0.25"/>
  <cols>
    <col min="1" max="2" width="12" customWidth="1"/>
    <col min="3" max="3" width="72" customWidth="1"/>
    <col min="4" max="7" width="18.140625" bestFit="1" customWidth="1"/>
    <col min="8" max="8" width="24.140625" bestFit="1" customWidth="1"/>
    <col min="9" max="9" width="18.140625" bestFit="1" customWidth="1"/>
    <col min="10" max="10" width="13" customWidth="1"/>
    <col min="11" max="11" width="18.140625" bestFit="1" customWidth="1"/>
    <col min="12" max="12" width="13" customWidth="1"/>
    <col min="13" max="14" width="18.140625" bestFit="1" customWidth="1"/>
    <col min="15" max="15" width="13" customWidth="1"/>
    <col min="16" max="18" width="18.140625" bestFit="1" customWidth="1"/>
    <col min="19" max="22" width="13" customWidth="1"/>
    <col min="23" max="23" width="19.5703125" customWidth="1"/>
    <col min="24" max="27" width="13" customWidth="1"/>
  </cols>
  <sheetData>
    <row r="1" spans="1:36" x14ac:dyDescent="0.25">
      <c r="A1" t="s">
        <v>37</v>
      </c>
      <c r="B1" s="12" t="s">
        <v>4</v>
      </c>
      <c r="C1" s="7" t="s">
        <v>5</v>
      </c>
      <c r="D1" t="s">
        <v>6</v>
      </c>
      <c r="E1" s="8" t="s">
        <v>7</v>
      </c>
      <c r="F1" s="12" t="s">
        <v>8</v>
      </c>
      <c r="G1" s="13" t="s">
        <v>9</v>
      </c>
      <c r="H1" s="12" t="s">
        <v>10</v>
      </c>
      <c r="I1" s="6" t="s">
        <v>11</v>
      </c>
      <c r="J1" s="2" t="s">
        <v>12</v>
      </c>
      <c r="K1" s="7" t="s">
        <v>13</v>
      </c>
      <c r="L1" s="2" t="s">
        <v>14</v>
      </c>
      <c r="M1" s="6" t="s">
        <v>15</v>
      </c>
      <c r="N1" s="12" t="s">
        <v>16</v>
      </c>
      <c r="O1" s="13" t="s">
        <v>17</v>
      </c>
      <c r="P1" s="6" t="s">
        <v>18</v>
      </c>
      <c r="Q1" s="8" t="s">
        <v>19</v>
      </c>
      <c r="R1" s="12" t="s">
        <v>20</v>
      </c>
      <c r="S1" s="13" t="s">
        <v>21</v>
      </c>
      <c r="T1" s="12" t="s">
        <v>22</v>
      </c>
      <c r="U1" s="8" t="s">
        <v>23</v>
      </c>
      <c r="V1" s="2" t="s">
        <v>24</v>
      </c>
      <c r="W1" s="2" t="s">
        <v>25</v>
      </c>
      <c r="X1" s="2" t="s">
        <v>26</v>
      </c>
      <c r="Y1" s="2" t="s">
        <v>27</v>
      </c>
      <c r="Z1" s="2" t="s">
        <v>28</v>
      </c>
      <c r="AA1" t="s">
        <v>29</v>
      </c>
      <c r="AB1" s="2" t="s">
        <v>933</v>
      </c>
      <c r="AC1" s="2" t="s">
        <v>934</v>
      </c>
      <c r="AD1" s="2" t="s">
        <v>935</v>
      </c>
      <c r="AE1" s="2" t="s">
        <v>936</v>
      </c>
      <c r="AF1" t="s">
        <v>967</v>
      </c>
      <c r="AG1" s="2" t="s">
        <v>937</v>
      </c>
      <c r="AH1" s="18" t="s">
        <v>938</v>
      </c>
      <c r="AJ1" s="18"/>
    </row>
    <row r="2" spans="1:36" hidden="1" x14ac:dyDescent="0.25">
      <c r="A2" s="12">
        <v>8392</v>
      </c>
      <c r="B2" s="12">
        <v>275</v>
      </c>
      <c r="C2" t="s">
        <v>60</v>
      </c>
      <c r="D2">
        <v>247828</v>
      </c>
      <c r="E2" s="8" t="s">
        <v>61</v>
      </c>
      <c r="F2" s="12">
        <v>30</v>
      </c>
      <c r="G2" s="8" t="s">
        <v>41</v>
      </c>
      <c r="H2" s="12">
        <v>3233</v>
      </c>
      <c r="I2" t="s">
        <v>343</v>
      </c>
      <c r="J2" t="s">
        <v>62</v>
      </c>
      <c r="K2" t="s">
        <v>63</v>
      </c>
      <c r="N2" s="12"/>
      <c r="O2" s="8"/>
      <c r="P2">
        <v>1</v>
      </c>
      <c r="Q2" s="8">
        <v>1</v>
      </c>
      <c r="R2" s="12">
        <v>1</v>
      </c>
      <c r="S2" s="8">
        <v>1</v>
      </c>
      <c r="T2" s="12"/>
      <c r="U2" s="8"/>
      <c r="V2" s="2">
        <v>45688</v>
      </c>
      <c r="W2" s="2">
        <v>45689</v>
      </c>
      <c r="X2" s="2">
        <v>45807</v>
      </c>
      <c r="Y2" s="2">
        <v>45807</v>
      </c>
      <c r="Z2" s="2"/>
      <c r="AA2" t="s">
        <v>64</v>
      </c>
      <c r="AB2">
        <v>8392</v>
      </c>
      <c r="AC2">
        <v>73103</v>
      </c>
      <c r="AD2" t="s">
        <v>344</v>
      </c>
      <c r="AE2" s="2">
        <v>45709</v>
      </c>
      <c r="AF2">
        <v>1.5</v>
      </c>
      <c r="AG2" s="17">
        <v>6.25E-2</v>
      </c>
      <c r="AH2" s="2">
        <v>45712</v>
      </c>
    </row>
    <row r="3" spans="1:36" hidden="1" x14ac:dyDescent="0.25">
      <c r="A3" s="12">
        <v>8392</v>
      </c>
      <c r="B3" s="12">
        <v>275</v>
      </c>
      <c r="C3" t="s">
        <v>60</v>
      </c>
      <c r="D3">
        <v>247828</v>
      </c>
      <c r="E3" s="8" t="s">
        <v>61</v>
      </c>
      <c r="F3" s="12">
        <v>30</v>
      </c>
      <c r="G3" s="8" t="s">
        <v>41</v>
      </c>
      <c r="H3" s="12">
        <v>3233</v>
      </c>
      <c r="I3" t="s">
        <v>343</v>
      </c>
      <c r="K3" t="s">
        <v>63</v>
      </c>
      <c r="N3" s="12"/>
      <c r="O3" s="8"/>
      <c r="P3">
        <v>1</v>
      </c>
      <c r="Q3" s="8">
        <v>1</v>
      </c>
      <c r="R3" s="12">
        <v>1</v>
      </c>
      <c r="S3" s="8">
        <v>1</v>
      </c>
      <c r="T3" s="12"/>
      <c r="U3" s="8"/>
      <c r="V3" s="2">
        <v>45688</v>
      </c>
      <c r="W3" s="2">
        <v>45689</v>
      </c>
      <c r="X3" s="2">
        <v>45807</v>
      </c>
      <c r="Y3" s="2">
        <v>45807</v>
      </c>
      <c r="Z3" s="2"/>
      <c r="AA3" t="s">
        <v>64</v>
      </c>
      <c r="AB3">
        <v>8392</v>
      </c>
      <c r="AC3">
        <v>72109</v>
      </c>
      <c r="AD3" t="s">
        <v>467</v>
      </c>
      <c r="AE3" s="2">
        <v>45708</v>
      </c>
      <c r="AF3">
        <v>1</v>
      </c>
      <c r="AG3" s="17">
        <v>4.1666666666666602E-2</v>
      </c>
      <c r="AH3" s="2">
        <v>45708</v>
      </c>
    </row>
    <row r="4" spans="1:36" hidden="1" x14ac:dyDescent="0.25">
      <c r="A4" s="12">
        <v>8392</v>
      </c>
      <c r="B4" s="12">
        <v>275</v>
      </c>
      <c r="C4" t="s">
        <v>60</v>
      </c>
      <c r="D4">
        <v>247828</v>
      </c>
      <c r="E4" s="8" t="s">
        <v>61</v>
      </c>
      <c r="F4" s="12">
        <v>30</v>
      </c>
      <c r="G4" s="8" t="s">
        <v>41</v>
      </c>
      <c r="H4" s="12">
        <v>3233</v>
      </c>
      <c r="I4" t="s">
        <v>343</v>
      </c>
      <c r="K4" t="s">
        <v>63</v>
      </c>
      <c r="N4" s="12"/>
      <c r="O4" s="8"/>
      <c r="P4">
        <v>1</v>
      </c>
      <c r="Q4" s="8">
        <v>1</v>
      </c>
      <c r="R4" s="12">
        <v>1</v>
      </c>
      <c r="S4" s="8">
        <v>1</v>
      </c>
      <c r="T4" s="12"/>
      <c r="U4" s="8"/>
      <c r="V4" s="2">
        <v>45688</v>
      </c>
      <c r="W4" s="2">
        <v>45689</v>
      </c>
      <c r="X4" s="2">
        <v>45807</v>
      </c>
      <c r="Y4" s="2">
        <v>45807</v>
      </c>
      <c r="Z4" s="2"/>
      <c r="AA4" t="s">
        <v>64</v>
      </c>
      <c r="AB4">
        <v>8392</v>
      </c>
      <c r="AC4">
        <v>72108</v>
      </c>
      <c r="AD4" t="s">
        <v>468</v>
      </c>
      <c r="AE4" s="2">
        <v>45707</v>
      </c>
      <c r="AF4">
        <v>2.5</v>
      </c>
      <c r="AG4" s="17">
        <v>0.10416666666666601</v>
      </c>
      <c r="AH4" s="2">
        <v>45708</v>
      </c>
    </row>
    <row r="5" spans="1:36" hidden="1" x14ac:dyDescent="0.25">
      <c r="A5" s="12">
        <v>8392</v>
      </c>
      <c r="B5" s="12">
        <v>275</v>
      </c>
      <c r="C5" t="s">
        <v>60</v>
      </c>
      <c r="D5">
        <v>247828</v>
      </c>
      <c r="E5" s="8" t="s">
        <v>61</v>
      </c>
      <c r="F5" s="12">
        <v>30</v>
      </c>
      <c r="G5" s="8" t="s">
        <v>41</v>
      </c>
      <c r="H5" s="12">
        <v>3233</v>
      </c>
      <c r="I5" t="s">
        <v>343</v>
      </c>
      <c r="K5" t="s">
        <v>63</v>
      </c>
      <c r="N5" s="12"/>
      <c r="O5" s="8"/>
      <c r="P5">
        <v>1</v>
      </c>
      <c r="Q5" s="8">
        <v>1</v>
      </c>
      <c r="R5" s="12">
        <v>1</v>
      </c>
      <c r="S5" s="8">
        <v>1</v>
      </c>
      <c r="T5" s="12"/>
      <c r="U5" s="8"/>
      <c r="V5" s="2">
        <v>45688</v>
      </c>
      <c r="W5" s="2">
        <v>45689</v>
      </c>
      <c r="X5" s="2">
        <v>45807</v>
      </c>
      <c r="Y5" s="2">
        <v>45807</v>
      </c>
      <c r="Z5" s="2"/>
      <c r="AA5" t="s">
        <v>64</v>
      </c>
      <c r="AB5">
        <v>8392</v>
      </c>
      <c r="AC5">
        <v>72107</v>
      </c>
      <c r="AD5" t="s">
        <v>468</v>
      </c>
      <c r="AE5" s="2">
        <v>45706</v>
      </c>
      <c r="AF5">
        <v>3.5</v>
      </c>
      <c r="AG5" s="17">
        <v>0.14583333333333301</v>
      </c>
      <c r="AH5" s="2">
        <v>45708</v>
      </c>
    </row>
    <row r="6" spans="1:36" hidden="1" x14ac:dyDescent="0.25">
      <c r="A6" s="12">
        <v>8392</v>
      </c>
      <c r="B6" s="12">
        <v>275</v>
      </c>
      <c r="C6" t="s">
        <v>60</v>
      </c>
      <c r="D6">
        <v>247828</v>
      </c>
      <c r="E6" s="8" t="s">
        <v>61</v>
      </c>
      <c r="F6" s="12">
        <v>30</v>
      </c>
      <c r="G6" s="8" t="s">
        <v>41</v>
      </c>
      <c r="H6" s="12">
        <v>3233</v>
      </c>
      <c r="I6" t="s">
        <v>343</v>
      </c>
      <c r="K6" t="s">
        <v>63</v>
      </c>
      <c r="N6" s="12"/>
      <c r="O6" s="8"/>
      <c r="P6">
        <v>1</v>
      </c>
      <c r="Q6" s="8">
        <v>1</v>
      </c>
      <c r="R6" s="12">
        <v>1</v>
      </c>
      <c r="S6" s="8">
        <v>1</v>
      </c>
      <c r="T6" s="12"/>
      <c r="U6" s="8"/>
      <c r="V6" s="2">
        <v>45688</v>
      </c>
      <c r="W6" s="2">
        <v>45689</v>
      </c>
      <c r="X6" s="2">
        <v>45807</v>
      </c>
      <c r="Y6" s="2">
        <v>45807</v>
      </c>
      <c r="Z6" s="2"/>
      <c r="AA6" t="s">
        <v>64</v>
      </c>
      <c r="AB6">
        <v>8392</v>
      </c>
      <c r="AC6">
        <v>72106</v>
      </c>
      <c r="AD6" t="s">
        <v>469</v>
      </c>
      <c r="AE6" s="2">
        <v>45695</v>
      </c>
      <c r="AF6">
        <v>2</v>
      </c>
      <c r="AG6" s="17">
        <v>8.3333333333333301E-2</v>
      </c>
      <c r="AH6" s="2">
        <v>45708</v>
      </c>
    </row>
    <row r="7" spans="1:36" hidden="1" x14ac:dyDescent="0.25">
      <c r="A7" s="12">
        <v>8395</v>
      </c>
      <c r="B7" s="12">
        <v>278</v>
      </c>
      <c r="C7" t="s">
        <v>68</v>
      </c>
      <c r="D7">
        <v>247828</v>
      </c>
      <c r="E7" s="8" t="s">
        <v>61</v>
      </c>
      <c r="F7" s="12">
        <v>29</v>
      </c>
      <c r="G7" s="8" t="s">
        <v>69</v>
      </c>
      <c r="H7" s="12">
        <v>3233</v>
      </c>
      <c r="I7" t="s">
        <v>343</v>
      </c>
      <c r="J7" t="s">
        <v>62</v>
      </c>
      <c r="K7" t="s">
        <v>63</v>
      </c>
      <c r="N7" s="12"/>
      <c r="O7" s="8"/>
      <c r="P7">
        <v>1</v>
      </c>
      <c r="Q7" s="8">
        <v>1</v>
      </c>
      <c r="R7" s="12">
        <v>3</v>
      </c>
      <c r="S7" s="8">
        <v>3</v>
      </c>
      <c r="T7" s="12"/>
      <c r="U7" s="8"/>
      <c r="V7" s="2">
        <v>45688</v>
      </c>
      <c r="W7" s="2">
        <v>45689</v>
      </c>
      <c r="X7" s="2">
        <v>45805</v>
      </c>
      <c r="Y7" s="2">
        <v>45805</v>
      </c>
      <c r="Z7" s="2"/>
      <c r="AA7" t="s">
        <v>70</v>
      </c>
      <c r="AE7" s="2"/>
      <c r="AG7" s="17"/>
      <c r="AH7" s="2"/>
    </row>
    <row r="8" spans="1:36" hidden="1" x14ac:dyDescent="0.25">
      <c r="A8" s="12">
        <v>8396</v>
      </c>
      <c r="B8" s="12">
        <v>280</v>
      </c>
      <c r="C8" t="s">
        <v>71</v>
      </c>
      <c r="D8">
        <v>247541</v>
      </c>
      <c r="E8" s="8" t="s">
        <v>72</v>
      </c>
      <c r="F8" s="12">
        <v>28</v>
      </c>
      <c r="G8" s="8" t="s">
        <v>42</v>
      </c>
      <c r="H8" s="12">
        <v>3198</v>
      </c>
      <c r="I8" t="s">
        <v>43</v>
      </c>
      <c r="J8" t="s">
        <v>62</v>
      </c>
      <c r="K8" t="s">
        <v>63</v>
      </c>
      <c r="N8" s="12"/>
      <c r="O8" s="8"/>
      <c r="P8">
        <v>3</v>
      </c>
      <c r="Q8" s="8">
        <v>3</v>
      </c>
      <c r="R8" s="12">
        <v>3</v>
      </c>
      <c r="S8" s="8">
        <v>3</v>
      </c>
      <c r="T8" s="12"/>
      <c r="U8" s="8"/>
      <c r="V8" s="2">
        <v>45658</v>
      </c>
      <c r="W8" s="2">
        <v>1</v>
      </c>
      <c r="X8" s="2">
        <v>45744</v>
      </c>
      <c r="Y8" s="2">
        <v>45744</v>
      </c>
      <c r="Z8" s="2"/>
      <c r="AA8" t="s">
        <v>73</v>
      </c>
      <c r="AE8" s="2"/>
      <c r="AG8" s="17"/>
      <c r="AH8" s="2"/>
    </row>
    <row r="9" spans="1:36" hidden="1" x14ac:dyDescent="0.25">
      <c r="A9" s="12">
        <v>8397</v>
      </c>
      <c r="B9" s="12">
        <v>281</v>
      </c>
      <c r="C9" t="s">
        <v>74</v>
      </c>
      <c r="D9">
        <v>247795</v>
      </c>
      <c r="E9" s="8" t="s">
        <v>75</v>
      </c>
      <c r="F9" s="12">
        <v>28</v>
      </c>
      <c r="G9" s="8" t="s">
        <v>42</v>
      </c>
      <c r="H9" s="12">
        <v>3233</v>
      </c>
      <c r="I9" t="s">
        <v>343</v>
      </c>
      <c r="J9" t="s">
        <v>62</v>
      </c>
      <c r="K9" t="s">
        <v>63</v>
      </c>
      <c r="N9" s="12"/>
      <c r="O9" s="8"/>
      <c r="P9">
        <v>1</v>
      </c>
      <c r="Q9" s="8">
        <v>1</v>
      </c>
      <c r="R9" s="12">
        <v>1</v>
      </c>
      <c r="S9" s="8">
        <v>1</v>
      </c>
      <c r="T9" s="12"/>
      <c r="U9" s="8"/>
      <c r="V9" s="2">
        <v>45658</v>
      </c>
      <c r="W9" s="2">
        <v>1</v>
      </c>
      <c r="X9" s="2">
        <v>45744</v>
      </c>
      <c r="Y9" s="2">
        <v>45744</v>
      </c>
      <c r="Z9" s="2"/>
      <c r="AA9" t="s">
        <v>76</v>
      </c>
      <c r="AE9" s="2"/>
      <c r="AG9" s="17"/>
      <c r="AH9" s="2"/>
    </row>
    <row r="10" spans="1:36" hidden="1" x14ac:dyDescent="0.25">
      <c r="A10" s="12">
        <v>8398</v>
      </c>
      <c r="B10" s="12">
        <v>282</v>
      </c>
      <c r="C10" t="s">
        <v>77</v>
      </c>
      <c r="D10">
        <v>247556</v>
      </c>
      <c r="E10" s="8" t="s">
        <v>78</v>
      </c>
      <c r="F10" s="12">
        <v>28</v>
      </c>
      <c r="G10" s="8" t="s">
        <v>42</v>
      </c>
      <c r="H10" s="12">
        <v>3233</v>
      </c>
      <c r="I10" t="s">
        <v>343</v>
      </c>
      <c r="J10" t="s">
        <v>62</v>
      </c>
      <c r="K10" t="s">
        <v>63</v>
      </c>
      <c r="N10" s="12"/>
      <c r="O10" s="8"/>
      <c r="P10">
        <v>1</v>
      </c>
      <c r="Q10" s="8">
        <v>1</v>
      </c>
      <c r="R10" s="12">
        <v>3</v>
      </c>
      <c r="S10" s="8">
        <v>3</v>
      </c>
      <c r="T10" s="12"/>
      <c r="U10" s="8"/>
      <c r="V10" s="2">
        <v>45658</v>
      </c>
      <c r="W10" s="2">
        <v>1</v>
      </c>
      <c r="X10" s="2">
        <v>45807</v>
      </c>
      <c r="Y10" s="2">
        <v>45807</v>
      </c>
      <c r="Z10" s="2"/>
      <c r="AA10" t="s">
        <v>79</v>
      </c>
      <c r="AE10" s="2"/>
      <c r="AG10" s="17"/>
      <c r="AH10" s="2"/>
    </row>
    <row r="11" spans="1:36" hidden="1" x14ac:dyDescent="0.25">
      <c r="A11" s="12">
        <v>8399</v>
      </c>
      <c r="B11" s="12">
        <v>283</v>
      </c>
      <c r="C11" t="s">
        <v>334</v>
      </c>
      <c r="D11">
        <v>247857</v>
      </c>
      <c r="E11" s="8" t="s">
        <v>66</v>
      </c>
      <c r="F11" s="12">
        <v>28</v>
      </c>
      <c r="G11" s="8" t="s">
        <v>42</v>
      </c>
      <c r="H11" s="12"/>
      <c r="J11" t="s">
        <v>62</v>
      </c>
      <c r="K11" t="s">
        <v>63</v>
      </c>
      <c r="N11" s="12"/>
      <c r="O11" s="8"/>
      <c r="P11">
        <v>1</v>
      </c>
      <c r="Q11" s="8">
        <v>1</v>
      </c>
      <c r="R11" s="12">
        <v>2</v>
      </c>
      <c r="S11" s="8">
        <v>2</v>
      </c>
      <c r="T11" s="12"/>
      <c r="U11" s="8"/>
      <c r="V11" s="2">
        <v>45658</v>
      </c>
      <c r="W11" s="2">
        <v>1</v>
      </c>
      <c r="X11" s="2">
        <v>45688</v>
      </c>
      <c r="Y11" s="2">
        <v>45688</v>
      </c>
      <c r="Z11" s="2"/>
      <c r="AA11" t="s">
        <v>80</v>
      </c>
      <c r="AE11" s="2"/>
      <c r="AG11" s="17"/>
      <c r="AH11" s="2"/>
    </row>
    <row r="12" spans="1:36" hidden="1" x14ac:dyDescent="0.25">
      <c r="A12" s="12">
        <v>8400</v>
      </c>
      <c r="B12" s="12">
        <v>284</v>
      </c>
      <c r="C12" t="s">
        <v>81</v>
      </c>
      <c r="D12">
        <v>247885</v>
      </c>
      <c r="E12" s="8" t="s">
        <v>82</v>
      </c>
      <c r="F12" s="12">
        <v>28</v>
      </c>
      <c r="G12" s="8" t="s">
        <v>42</v>
      </c>
      <c r="H12" s="12">
        <v>3233</v>
      </c>
      <c r="I12" t="s">
        <v>343</v>
      </c>
      <c r="J12" t="s">
        <v>62</v>
      </c>
      <c r="K12" t="s">
        <v>63</v>
      </c>
      <c r="N12" s="12"/>
      <c r="O12" s="8"/>
      <c r="P12">
        <v>1</v>
      </c>
      <c r="Q12" s="8">
        <v>1</v>
      </c>
      <c r="R12" s="12">
        <v>1</v>
      </c>
      <c r="S12" s="8">
        <v>1</v>
      </c>
      <c r="T12" s="12"/>
      <c r="U12" s="8"/>
      <c r="V12" s="2">
        <v>45658</v>
      </c>
      <c r="W12" s="2">
        <v>1</v>
      </c>
      <c r="X12" s="2">
        <v>45777</v>
      </c>
      <c r="Y12" s="2">
        <v>45777</v>
      </c>
      <c r="Z12" s="2"/>
      <c r="AA12" t="s">
        <v>83</v>
      </c>
      <c r="AE12" s="2"/>
      <c r="AG12" s="17"/>
      <c r="AH12" s="2"/>
    </row>
    <row r="13" spans="1:36" hidden="1" x14ac:dyDescent="0.25">
      <c r="A13" s="12">
        <v>8401</v>
      </c>
      <c r="B13" s="12">
        <v>285</v>
      </c>
      <c r="C13" t="s">
        <v>84</v>
      </c>
      <c r="D13">
        <v>247277</v>
      </c>
      <c r="E13" s="8" t="s">
        <v>85</v>
      </c>
      <c r="F13" s="12">
        <v>21</v>
      </c>
      <c r="G13" s="8" t="s">
        <v>44</v>
      </c>
      <c r="H13" s="12">
        <v>3233</v>
      </c>
      <c r="I13" t="s">
        <v>343</v>
      </c>
      <c r="J13" t="s">
        <v>62</v>
      </c>
      <c r="K13" t="s">
        <v>63</v>
      </c>
      <c r="N13" s="12"/>
      <c r="O13" s="8"/>
      <c r="P13">
        <v>1</v>
      </c>
      <c r="Q13" s="8">
        <v>1</v>
      </c>
      <c r="R13" s="12">
        <v>1</v>
      </c>
      <c r="S13" s="8">
        <v>1</v>
      </c>
      <c r="T13" s="12"/>
      <c r="U13" s="8"/>
      <c r="V13" s="2">
        <v>45658</v>
      </c>
      <c r="W13" s="2">
        <v>1</v>
      </c>
      <c r="X13" s="2">
        <v>45688</v>
      </c>
      <c r="Y13" s="2">
        <v>45688</v>
      </c>
      <c r="Z13" s="2"/>
      <c r="AA13" t="s">
        <v>86</v>
      </c>
      <c r="AE13" s="2"/>
      <c r="AG13" s="17"/>
      <c r="AH13" s="2"/>
    </row>
    <row r="14" spans="1:36" hidden="1" x14ac:dyDescent="0.25">
      <c r="A14" s="12">
        <v>8402</v>
      </c>
      <c r="B14" s="12">
        <v>286</v>
      </c>
      <c r="C14" t="s">
        <v>335</v>
      </c>
      <c r="D14">
        <v>247795</v>
      </c>
      <c r="E14" s="8" t="s">
        <v>75</v>
      </c>
      <c r="F14" s="12">
        <v>28</v>
      </c>
      <c r="G14" s="8" t="s">
        <v>42</v>
      </c>
      <c r="H14" s="12"/>
      <c r="J14" t="s">
        <v>62</v>
      </c>
      <c r="K14" t="s">
        <v>63</v>
      </c>
      <c r="N14" s="12"/>
      <c r="O14" s="8"/>
      <c r="P14">
        <v>2</v>
      </c>
      <c r="Q14" s="8">
        <v>2</v>
      </c>
      <c r="R14" s="12">
        <v>2</v>
      </c>
      <c r="S14" s="8">
        <v>2</v>
      </c>
      <c r="T14" s="12"/>
      <c r="U14" s="8"/>
      <c r="V14" s="2">
        <v>45658</v>
      </c>
      <c r="W14" s="2">
        <v>1</v>
      </c>
      <c r="X14" s="2">
        <v>45716</v>
      </c>
      <c r="Y14" s="2">
        <v>45716</v>
      </c>
      <c r="Z14" s="2"/>
      <c r="AA14" t="s">
        <v>87</v>
      </c>
      <c r="AE14" s="2"/>
      <c r="AG14" s="17"/>
      <c r="AH14" s="2"/>
    </row>
    <row r="15" spans="1:36" hidden="1" x14ac:dyDescent="0.25">
      <c r="A15" s="12">
        <v>8403</v>
      </c>
      <c r="B15" s="12">
        <v>287</v>
      </c>
      <c r="C15" t="s">
        <v>336</v>
      </c>
      <c r="D15">
        <v>289004</v>
      </c>
      <c r="E15" s="8" t="s">
        <v>78</v>
      </c>
      <c r="F15" s="12">
        <v>28</v>
      </c>
      <c r="G15" s="8" t="s">
        <v>42</v>
      </c>
      <c r="H15" s="12"/>
      <c r="J15" t="s">
        <v>62</v>
      </c>
      <c r="K15" t="s">
        <v>63</v>
      </c>
      <c r="N15" s="12"/>
      <c r="O15" s="8"/>
      <c r="P15">
        <v>2</v>
      </c>
      <c r="Q15" s="8">
        <v>2</v>
      </c>
      <c r="R15" s="12">
        <v>2</v>
      </c>
      <c r="S15" s="8">
        <v>2</v>
      </c>
      <c r="T15" s="12"/>
      <c r="U15" s="8"/>
      <c r="V15" s="2">
        <v>45658</v>
      </c>
      <c r="W15" s="2">
        <v>1</v>
      </c>
      <c r="X15" s="2">
        <v>45716</v>
      </c>
      <c r="Y15" s="2">
        <v>45716</v>
      </c>
      <c r="Z15" s="2"/>
      <c r="AA15" t="s">
        <v>88</v>
      </c>
      <c r="AE15" s="2"/>
      <c r="AG15" s="17"/>
      <c r="AH15" s="2"/>
    </row>
    <row r="16" spans="1:36" hidden="1" x14ac:dyDescent="0.25">
      <c r="A16" s="12">
        <v>8405</v>
      </c>
      <c r="B16" s="12">
        <v>289</v>
      </c>
      <c r="C16" t="s">
        <v>89</v>
      </c>
      <c r="D16">
        <v>247729</v>
      </c>
      <c r="E16" s="8" t="s">
        <v>90</v>
      </c>
      <c r="F16" s="12">
        <v>29</v>
      </c>
      <c r="G16" s="8" t="s">
        <v>69</v>
      </c>
      <c r="H16" s="12"/>
      <c r="J16" t="s">
        <v>62</v>
      </c>
      <c r="K16" t="s">
        <v>63</v>
      </c>
      <c r="N16" s="12"/>
      <c r="O16" s="8"/>
      <c r="P16">
        <v>3</v>
      </c>
      <c r="Q16" s="8">
        <v>3</v>
      </c>
      <c r="R16" s="12">
        <v>3</v>
      </c>
      <c r="S16" s="8">
        <v>3</v>
      </c>
      <c r="T16" s="12"/>
      <c r="U16" s="8"/>
      <c r="V16" s="2">
        <v>45658</v>
      </c>
      <c r="W16" s="2">
        <v>1</v>
      </c>
      <c r="X16" s="2">
        <v>45744</v>
      </c>
      <c r="Y16" s="2">
        <v>45744</v>
      </c>
      <c r="Z16" s="2"/>
      <c r="AA16" t="s">
        <v>91</v>
      </c>
      <c r="AE16" s="2"/>
      <c r="AG16" s="17"/>
      <c r="AH16" s="2"/>
    </row>
    <row r="17" spans="1:34" hidden="1" x14ac:dyDescent="0.25">
      <c r="A17" s="12">
        <v>8406</v>
      </c>
      <c r="B17" s="12">
        <v>291</v>
      </c>
      <c r="C17" t="s">
        <v>92</v>
      </c>
      <c r="D17">
        <v>247393</v>
      </c>
      <c r="E17" s="8" t="s">
        <v>93</v>
      </c>
      <c r="F17" s="12">
        <v>28</v>
      </c>
      <c r="G17" s="8" t="s">
        <v>42</v>
      </c>
      <c r="H17" s="12"/>
      <c r="J17" t="s">
        <v>62</v>
      </c>
      <c r="K17" t="s">
        <v>63</v>
      </c>
      <c r="N17" s="12"/>
      <c r="O17" s="8"/>
      <c r="P17">
        <v>3</v>
      </c>
      <c r="Q17" s="8">
        <v>3</v>
      </c>
      <c r="R17" s="12">
        <v>3</v>
      </c>
      <c r="S17" s="8">
        <v>3</v>
      </c>
      <c r="T17" s="12"/>
      <c r="U17" s="8"/>
      <c r="V17" s="2">
        <v>45658</v>
      </c>
      <c r="W17" s="2">
        <v>1</v>
      </c>
      <c r="X17" s="2">
        <v>45761</v>
      </c>
      <c r="Y17" s="2">
        <v>45761</v>
      </c>
      <c r="Z17" s="2"/>
      <c r="AA17" t="s">
        <v>94</v>
      </c>
      <c r="AE17" s="2"/>
      <c r="AG17" s="17"/>
      <c r="AH17" s="2"/>
    </row>
    <row r="18" spans="1:34" hidden="1" x14ac:dyDescent="0.25">
      <c r="A18" s="12">
        <v>8407</v>
      </c>
      <c r="B18" s="12">
        <v>293</v>
      </c>
      <c r="C18" t="s">
        <v>95</v>
      </c>
      <c r="D18">
        <v>247795</v>
      </c>
      <c r="E18" s="8" t="s">
        <v>75</v>
      </c>
      <c r="F18" s="12">
        <v>28</v>
      </c>
      <c r="G18" s="8" t="s">
        <v>42</v>
      </c>
      <c r="H18" s="12"/>
      <c r="J18" t="s">
        <v>62</v>
      </c>
      <c r="K18" t="s">
        <v>63</v>
      </c>
      <c r="N18" s="12"/>
      <c r="O18" s="8"/>
      <c r="P18">
        <v>2</v>
      </c>
      <c r="Q18" s="8">
        <v>2</v>
      </c>
      <c r="R18" s="12">
        <v>2</v>
      </c>
      <c r="S18" s="8">
        <v>2</v>
      </c>
      <c r="T18" s="12"/>
      <c r="U18" s="8"/>
      <c r="V18" s="2">
        <v>45658</v>
      </c>
      <c r="W18" s="2">
        <v>1</v>
      </c>
      <c r="X18" s="2">
        <v>45744</v>
      </c>
      <c r="Y18" s="2">
        <v>45775</v>
      </c>
      <c r="Z18" s="2"/>
      <c r="AA18" t="s">
        <v>96</v>
      </c>
      <c r="AE18" s="2"/>
      <c r="AG18" s="17"/>
      <c r="AH18" s="2"/>
    </row>
    <row r="19" spans="1:34" hidden="1" x14ac:dyDescent="0.25">
      <c r="A19" s="12">
        <v>8408</v>
      </c>
      <c r="B19" s="12">
        <v>294</v>
      </c>
      <c r="C19" t="s">
        <v>97</v>
      </c>
      <c r="D19">
        <v>247795</v>
      </c>
      <c r="E19" s="8" t="s">
        <v>75</v>
      </c>
      <c r="F19" s="12">
        <v>28</v>
      </c>
      <c r="G19" s="8" t="s">
        <v>42</v>
      </c>
      <c r="H19" s="12"/>
      <c r="J19" t="s">
        <v>62</v>
      </c>
      <c r="K19" t="s">
        <v>63</v>
      </c>
      <c r="N19" s="12"/>
      <c r="O19" s="8"/>
      <c r="P19">
        <v>1</v>
      </c>
      <c r="Q19" s="8">
        <v>1</v>
      </c>
      <c r="R19" s="12">
        <v>2</v>
      </c>
      <c r="S19" s="8">
        <v>2</v>
      </c>
      <c r="T19" s="12"/>
      <c r="U19" s="8"/>
      <c r="V19" s="2">
        <v>45658</v>
      </c>
      <c r="W19" s="2">
        <v>1</v>
      </c>
      <c r="X19" s="2">
        <v>45761</v>
      </c>
      <c r="Y19" s="2">
        <v>45791</v>
      </c>
      <c r="Z19" s="2"/>
      <c r="AA19" t="s">
        <v>98</v>
      </c>
      <c r="AE19" s="2"/>
      <c r="AG19" s="17"/>
      <c r="AH19" s="2"/>
    </row>
    <row r="20" spans="1:34" hidden="1" x14ac:dyDescent="0.25">
      <c r="A20" s="12">
        <v>8263</v>
      </c>
      <c r="B20" s="12">
        <v>296</v>
      </c>
      <c r="C20" t="s">
        <v>103</v>
      </c>
      <c r="E20" s="8"/>
      <c r="F20" s="12">
        <v>29</v>
      </c>
      <c r="G20" s="8" t="s">
        <v>69</v>
      </c>
      <c r="H20" s="12">
        <v>3202</v>
      </c>
      <c r="I20" t="s">
        <v>49</v>
      </c>
      <c r="J20" t="s">
        <v>62</v>
      </c>
      <c r="K20" t="s">
        <v>63</v>
      </c>
      <c r="N20" s="12"/>
      <c r="O20" s="8"/>
      <c r="P20">
        <v>3</v>
      </c>
      <c r="Q20" s="8">
        <v>3</v>
      </c>
      <c r="R20" s="12">
        <v>1</v>
      </c>
      <c r="S20" s="8">
        <v>1</v>
      </c>
      <c r="T20" s="12"/>
      <c r="U20" s="8"/>
      <c r="V20" s="2">
        <v>45658</v>
      </c>
      <c r="W20" s="2">
        <v>1</v>
      </c>
      <c r="X20" s="2">
        <v>45730</v>
      </c>
      <c r="Y20" s="2">
        <v>45761</v>
      </c>
      <c r="Z20" s="2"/>
      <c r="AE20" s="2"/>
      <c r="AG20" s="17"/>
      <c r="AH20" s="2"/>
    </row>
    <row r="21" spans="1:34" hidden="1" x14ac:dyDescent="0.25">
      <c r="A21" s="12">
        <v>8259</v>
      </c>
      <c r="B21" s="12">
        <v>298</v>
      </c>
      <c r="C21" t="s">
        <v>104</v>
      </c>
      <c r="D21">
        <v>247002</v>
      </c>
      <c r="E21" s="8" t="s">
        <v>105</v>
      </c>
      <c r="F21" s="12">
        <v>21</v>
      </c>
      <c r="G21" s="8" t="s">
        <v>44</v>
      </c>
      <c r="H21" s="12">
        <v>3202</v>
      </c>
      <c r="I21" t="s">
        <v>49</v>
      </c>
      <c r="J21" t="s">
        <v>62</v>
      </c>
      <c r="K21" t="s">
        <v>63</v>
      </c>
      <c r="N21" s="12"/>
      <c r="O21" s="8"/>
      <c r="P21">
        <v>1</v>
      </c>
      <c r="Q21" s="8">
        <v>1</v>
      </c>
      <c r="R21" s="12">
        <v>1</v>
      </c>
      <c r="S21" s="8">
        <v>1</v>
      </c>
      <c r="T21" s="12"/>
      <c r="U21" s="8"/>
      <c r="V21" s="2">
        <v>45658</v>
      </c>
      <c r="W21" s="2">
        <v>1</v>
      </c>
      <c r="X21" s="2">
        <v>45691</v>
      </c>
      <c r="Y21" s="2">
        <v>45688</v>
      </c>
      <c r="Z21" s="2"/>
      <c r="AB21">
        <v>8259</v>
      </c>
      <c r="AC21">
        <v>75563</v>
      </c>
      <c r="AD21" t="s">
        <v>345</v>
      </c>
      <c r="AE21" s="2">
        <v>45721</v>
      </c>
      <c r="AF21">
        <v>0.25</v>
      </c>
      <c r="AG21" s="17">
        <v>1.04166666666666E-2</v>
      </c>
      <c r="AH21" s="2">
        <v>45721</v>
      </c>
    </row>
    <row r="22" spans="1:34" hidden="1" x14ac:dyDescent="0.25">
      <c r="A22" s="12">
        <v>8259</v>
      </c>
      <c r="B22" s="12">
        <v>298</v>
      </c>
      <c r="C22" t="s">
        <v>104</v>
      </c>
      <c r="D22">
        <v>247002</v>
      </c>
      <c r="E22" s="8" t="s">
        <v>105</v>
      </c>
      <c r="F22" s="12">
        <v>21</v>
      </c>
      <c r="G22" s="8" t="s">
        <v>44</v>
      </c>
      <c r="H22" s="12">
        <v>3202</v>
      </c>
      <c r="I22" t="s">
        <v>49</v>
      </c>
      <c r="K22" t="s">
        <v>63</v>
      </c>
      <c r="N22" s="12"/>
      <c r="O22" s="8"/>
      <c r="P22">
        <v>1</v>
      </c>
      <c r="Q22" s="8">
        <v>1</v>
      </c>
      <c r="R22" s="12">
        <v>1</v>
      </c>
      <c r="S22" s="8">
        <v>1</v>
      </c>
      <c r="T22" s="12"/>
      <c r="U22" s="8"/>
      <c r="V22" s="2">
        <v>45658</v>
      </c>
      <c r="W22" s="2">
        <v>1</v>
      </c>
      <c r="X22" s="2">
        <v>45691</v>
      </c>
      <c r="Y22" s="2">
        <v>45688</v>
      </c>
      <c r="Z22" s="2"/>
      <c r="AB22">
        <v>8259</v>
      </c>
      <c r="AC22">
        <v>75482</v>
      </c>
      <c r="AD22" t="s">
        <v>470</v>
      </c>
      <c r="AE22" s="2">
        <v>45717</v>
      </c>
      <c r="AF22">
        <v>1.1499999999999999</v>
      </c>
      <c r="AG22" s="17">
        <v>4.7916666666666601E-2</v>
      </c>
      <c r="AH22" s="2">
        <v>45721</v>
      </c>
    </row>
    <row r="23" spans="1:34" hidden="1" x14ac:dyDescent="0.25">
      <c r="A23" s="12">
        <v>8259</v>
      </c>
      <c r="B23" s="12">
        <v>298</v>
      </c>
      <c r="C23" t="s">
        <v>104</v>
      </c>
      <c r="D23">
        <v>247002</v>
      </c>
      <c r="E23" s="8" t="s">
        <v>105</v>
      </c>
      <c r="F23" s="12">
        <v>21</v>
      </c>
      <c r="G23" s="8" t="s">
        <v>44</v>
      </c>
      <c r="H23" s="12">
        <v>3202</v>
      </c>
      <c r="I23" t="s">
        <v>49</v>
      </c>
      <c r="K23" t="s">
        <v>63</v>
      </c>
      <c r="N23" s="12"/>
      <c r="O23" s="8"/>
      <c r="P23">
        <v>1</v>
      </c>
      <c r="Q23" s="8">
        <v>1</v>
      </c>
      <c r="R23" s="12">
        <v>1</v>
      </c>
      <c r="S23" s="8">
        <v>1</v>
      </c>
      <c r="T23" s="12"/>
      <c r="U23" s="8"/>
      <c r="V23" s="2">
        <v>45658</v>
      </c>
      <c r="W23" s="2">
        <v>1</v>
      </c>
      <c r="X23" s="2">
        <v>45691</v>
      </c>
      <c r="Y23" s="2">
        <v>45688</v>
      </c>
      <c r="Z23" s="2"/>
      <c r="AB23">
        <v>8259</v>
      </c>
      <c r="AC23">
        <v>75481</v>
      </c>
      <c r="AD23" t="s">
        <v>471</v>
      </c>
      <c r="AE23" s="2">
        <v>45717</v>
      </c>
      <c r="AF23">
        <v>1</v>
      </c>
      <c r="AG23" s="17">
        <v>4.1666666666666602E-2</v>
      </c>
      <c r="AH23" s="2">
        <v>45721</v>
      </c>
    </row>
    <row r="24" spans="1:34" hidden="1" x14ac:dyDescent="0.25">
      <c r="A24" s="12">
        <v>8259</v>
      </c>
      <c r="B24" s="12">
        <v>298</v>
      </c>
      <c r="C24" t="s">
        <v>104</v>
      </c>
      <c r="D24">
        <v>247002</v>
      </c>
      <c r="E24" s="8" t="s">
        <v>105</v>
      </c>
      <c r="F24" s="12">
        <v>21</v>
      </c>
      <c r="G24" s="8" t="s">
        <v>44</v>
      </c>
      <c r="H24" s="12">
        <v>3202</v>
      </c>
      <c r="I24" t="s">
        <v>49</v>
      </c>
      <c r="K24" t="s">
        <v>63</v>
      </c>
      <c r="N24" s="12"/>
      <c r="O24" s="8"/>
      <c r="P24">
        <v>1</v>
      </c>
      <c r="Q24" s="8">
        <v>1</v>
      </c>
      <c r="R24" s="12">
        <v>1</v>
      </c>
      <c r="S24" s="8">
        <v>1</v>
      </c>
      <c r="T24" s="12"/>
      <c r="U24" s="8"/>
      <c r="V24" s="2">
        <v>45658</v>
      </c>
      <c r="W24" s="2">
        <v>1</v>
      </c>
      <c r="X24" s="2">
        <v>45691</v>
      </c>
      <c r="Y24" s="2">
        <v>45688</v>
      </c>
      <c r="Z24" s="2"/>
      <c r="AB24">
        <v>8259</v>
      </c>
      <c r="AC24">
        <v>75480</v>
      </c>
      <c r="AD24" t="s">
        <v>472</v>
      </c>
      <c r="AE24" s="2">
        <v>45717</v>
      </c>
      <c r="AF24">
        <v>2</v>
      </c>
      <c r="AG24" s="17">
        <v>8.3333333333333301E-2</v>
      </c>
      <c r="AH24" s="2">
        <v>45721</v>
      </c>
    </row>
    <row r="25" spans="1:34" hidden="1" x14ac:dyDescent="0.25">
      <c r="A25" s="12">
        <v>8259</v>
      </c>
      <c r="B25" s="12">
        <v>298</v>
      </c>
      <c r="C25" t="s">
        <v>104</v>
      </c>
      <c r="D25">
        <v>247002</v>
      </c>
      <c r="E25" s="8" t="s">
        <v>105</v>
      </c>
      <c r="F25" s="12">
        <v>21</v>
      </c>
      <c r="G25" s="8" t="s">
        <v>44</v>
      </c>
      <c r="H25" s="12">
        <v>3202</v>
      </c>
      <c r="I25" t="s">
        <v>49</v>
      </c>
      <c r="K25" t="s">
        <v>63</v>
      </c>
      <c r="N25" s="12"/>
      <c r="O25" s="8"/>
      <c r="P25">
        <v>1</v>
      </c>
      <c r="Q25" s="8">
        <v>1</v>
      </c>
      <c r="R25" s="12">
        <v>1</v>
      </c>
      <c r="S25" s="8">
        <v>1</v>
      </c>
      <c r="T25" s="12"/>
      <c r="U25" s="8"/>
      <c r="V25" s="2">
        <v>45658</v>
      </c>
      <c r="W25" s="2">
        <v>1</v>
      </c>
      <c r="X25" s="2">
        <v>45691</v>
      </c>
      <c r="Y25" s="2">
        <v>45688</v>
      </c>
      <c r="Z25" s="2"/>
      <c r="AB25">
        <v>8259</v>
      </c>
      <c r="AC25">
        <v>75470</v>
      </c>
      <c r="AD25" t="s">
        <v>473</v>
      </c>
      <c r="AE25" s="2">
        <v>45716</v>
      </c>
      <c r="AF25">
        <v>2</v>
      </c>
      <c r="AG25" s="17">
        <v>8.3333333333333301E-2</v>
      </c>
      <c r="AH25" s="2">
        <v>45721</v>
      </c>
    </row>
    <row r="26" spans="1:34" hidden="1" x14ac:dyDescent="0.25">
      <c r="A26" s="12">
        <v>8259</v>
      </c>
      <c r="B26" s="12">
        <v>298</v>
      </c>
      <c r="C26" t="s">
        <v>104</v>
      </c>
      <c r="D26">
        <v>247002</v>
      </c>
      <c r="E26" s="8" t="s">
        <v>105</v>
      </c>
      <c r="F26" s="12">
        <v>21</v>
      </c>
      <c r="G26" s="8" t="s">
        <v>44</v>
      </c>
      <c r="H26" s="12">
        <v>3202</v>
      </c>
      <c r="I26" t="s">
        <v>49</v>
      </c>
      <c r="K26" t="s">
        <v>63</v>
      </c>
      <c r="N26" s="12"/>
      <c r="O26" s="8"/>
      <c r="P26">
        <v>1</v>
      </c>
      <c r="Q26" s="8">
        <v>1</v>
      </c>
      <c r="R26" s="12">
        <v>1</v>
      </c>
      <c r="S26" s="8">
        <v>1</v>
      </c>
      <c r="T26" s="12"/>
      <c r="U26" s="8"/>
      <c r="V26" s="2">
        <v>45658</v>
      </c>
      <c r="W26" s="2">
        <v>1</v>
      </c>
      <c r="X26" s="2">
        <v>45691</v>
      </c>
      <c r="Y26" s="2">
        <v>45688</v>
      </c>
      <c r="Z26" s="2"/>
      <c r="AB26">
        <v>8259</v>
      </c>
      <c r="AC26">
        <v>75469</v>
      </c>
      <c r="AD26" t="s">
        <v>474</v>
      </c>
      <c r="AE26" s="2">
        <v>45716</v>
      </c>
      <c r="AF26">
        <v>1</v>
      </c>
      <c r="AG26" s="17">
        <v>4.1666666666666602E-2</v>
      </c>
      <c r="AH26" s="2">
        <v>45721</v>
      </c>
    </row>
    <row r="27" spans="1:34" hidden="1" x14ac:dyDescent="0.25">
      <c r="A27" s="12">
        <v>8259</v>
      </c>
      <c r="B27" s="12">
        <v>298</v>
      </c>
      <c r="C27" t="s">
        <v>104</v>
      </c>
      <c r="D27">
        <v>247002</v>
      </c>
      <c r="E27" s="8" t="s">
        <v>105</v>
      </c>
      <c r="F27" s="12">
        <v>21</v>
      </c>
      <c r="G27" s="8" t="s">
        <v>44</v>
      </c>
      <c r="H27" s="12">
        <v>3202</v>
      </c>
      <c r="I27" t="s">
        <v>49</v>
      </c>
      <c r="K27" t="s">
        <v>63</v>
      </c>
      <c r="N27" s="12"/>
      <c r="O27" s="8"/>
      <c r="P27">
        <v>1</v>
      </c>
      <c r="Q27" s="8">
        <v>1</v>
      </c>
      <c r="R27" s="12">
        <v>1</v>
      </c>
      <c r="S27" s="8">
        <v>1</v>
      </c>
      <c r="T27" s="12"/>
      <c r="U27" s="8"/>
      <c r="V27" s="2">
        <v>45658</v>
      </c>
      <c r="W27" s="2">
        <v>1</v>
      </c>
      <c r="X27" s="2">
        <v>45691</v>
      </c>
      <c r="Y27" s="2">
        <v>45688</v>
      </c>
      <c r="Z27" s="2"/>
      <c r="AB27">
        <v>8259</v>
      </c>
      <c r="AC27">
        <v>75468</v>
      </c>
      <c r="AD27" t="s">
        <v>475</v>
      </c>
      <c r="AE27" s="2">
        <v>45716</v>
      </c>
      <c r="AF27">
        <v>5.0999999999999996</v>
      </c>
      <c r="AG27" s="17">
        <v>0.21249999999999999</v>
      </c>
      <c r="AH27" s="2">
        <v>45721</v>
      </c>
    </row>
    <row r="28" spans="1:34" hidden="1" x14ac:dyDescent="0.25">
      <c r="A28" s="12">
        <v>8259</v>
      </c>
      <c r="B28" s="12">
        <v>298</v>
      </c>
      <c r="C28" t="s">
        <v>104</v>
      </c>
      <c r="D28">
        <v>247002</v>
      </c>
      <c r="E28" s="8" t="s">
        <v>105</v>
      </c>
      <c r="F28" s="12">
        <v>21</v>
      </c>
      <c r="G28" s="8" t="s">
        <v>44</v>
      </c>
      <c r="H28" s="12">
        <v>3202</v>
      </c>
      <c r="I28" t="s">
        <v>49</v>
      </c>
      <c r="K28" t="s">
        <v>63</v>
      </c>
      <c r="N28" s="12"/>
      <c r="O28" s="8"/>
      <c r="P28">
        <v>1</v>
      </c>
      <c r="Q28" s="8">
        <v>1</v>
      </c>
      <c r="R28" s="12">
        <v>1</v>
      </c>
      <c r="S28" s="8">
        <v>1</v>
      </c>
      <c r="T28" s="12"/>
      <c r="U28" s="8"/>
      <c r="V28" s="2">
        <v>45658</v>
      </c>
      <c r="W28" s="2">
        <v>1</v>
      </c>
      <c r="X28" s="2">
        <v>45691</v>
      </c>
      <c r="Y28" s="2">
        <v>45688</v>
      </c>
      <c r="Z28" s="2"/>
      <c r="AB28">
        <v>8259</v>
      </c>
      <c r="AC28">
        <v>75467</v>
      </c>
      <c r="AD28" t="s">
        <v>476</v>
      </c>
      <c r="AE28" s="2">
        <v>45715</v>
      </c>
      <c r="AF28">
        <v>0.86666666666666603</v>
      </c>
      <c r="AG28" s="17">
        <v>3.6111111111111101E-2</v>
      </c>
      <c r="AH28" s="2">
        <v>45721</v>
      </c>
    </row>
    <row r="29" spans="1:34" hidden="1" x14ac:dyDescent="0.25">
      <c r="A29" s="12">
        <v>8259</v>
      </c>
      <c r="B29" s="12">
        <v>298</v>
      </c>
      <c r="C29" t="s">
        <v>104</v>
      </c>
      <c r="D29">
        <v>247002</v>
      </c>
      <c r="E29" s="8" t="s">
        <v>105</v>
      </c>
      <c r="F29" s="12">
        <v>21</v>
      </c>
      <c r="G29" s="8" t="s">
        <v>44</v>
      </c>
      <c r="H29" s="12">
        <v>3202</v>
      </c>
      <c r="I29" t="s">
        <v>49</v>
      </c>
      <c r="K29" t="s">
        <v>63</v>
      </c>
      <c r="N29" s="12"/>
      <c r="O29" s="8"/>
      <c r="P29">
        <v>1</v>
      </c>
      <c r="Q29" s="8">
        <v>1</v>
      </c>
      <c r="R29" s="12">
        <v>1</v>
      </c>
      <c r="S29" s="8">
        <v>1</v>
      </c>
      <c r="T29" s="12"/>
      <c r="U29" s="8"/>
      <c r="V29" s="2">
        <v>45658</v>
      </c>
      <c r="W29" s="2">
        <v>1</v>
      </c>
      <c r="X29" s="2">
        <v>45691</v>
      </c>
      <c r="Y29" s="2">
        <v>45688</v>
      </c>
      <c r="Z29" s="2"/>
      <c r="AB29">
        <v>8259</v>
      </c>
      <c r="AC29">
        <v>75466</v>
      </c>
      <c r="AD29" t="s">
        <v>477</v>
      </c>
      <c r="AE29" s="2">
        <v>45715</v>
      </c>
      <c r="AF29">
        <v>2.5</v>
      </c>
      <c r="AG29" s="17">
        <v>0.10416666666666601</v>
      </c>
      <c r="AH29" s="2">
        <v>45721</v>
      </c>
    </row>
    <row r="30" spans="1:34" hidden="1" x14ac:dyDescent="0.25">
      <c r="A30" s="12">
        <v>8259</v>
      </c>
      <c r="B30" s="12">
        <v>298</v>
      </c>
      <c r="C30" t="s">
        <v>104</v>
      </c>
      <c r="D30">
        <v>247002</v>
      </c>
      <c r="E30" s="8" t="s">
        <v>105</v>
      </c>
      <c r="F30" s="12">
        <v>21</v>
      </c>
      <c r="G30" s="8" t="s">
        <v>44</v>
      </c>
      <c r="H30" s="12">
        <v>3202</v>
      </c>
      <c r="I30" t="s">
        <v>49</v>
      </c>
      <c r="K30" t="s">
        <v>63</v>
      </c>
      <c r="N30" s="12"/>
      <c r="O30" s="8"/>
      <c r="P30">
        <v>1</v>
      </c>
      <c r="Q30" s="8">
        <v>1</v>
      </c>
      <c r="R30" s="12">
        <v>1</v>
      </c>
      <c r="S30" s="8">
        <v>1</v>
      </c>
      <c r="T30" s="12"/>
      <c r="U30" s="8"/>
      <c r="V30" s="2">
        <v>45658</v>
      </c>
      <c r="W30" s="2">
        <v>1</v>
      </c>
      <c r="X30" s="2">
        <v>45691</v>
      </c>
      <c r="Y30" s="2">
        <v>45688</v>
      </c>
      <c r="Z30" s="2"/>
      <c r="AB30">
        <v>8259</v>
      </c>
      <c r="AC30">
        <v>75465</v>
      </c>
      <c r="AD30" t="s">
        <v>478</v>
      </c>
      <c r="AE30" s="2">
        <v>45715</v>
      </c>
      <c r="AF30">
        <v>2.5</v>
      </c>
      <c r="AG30" s="17">
        <v>0.10416666666666601</v>
      </c>
      <c r="AH30" s="2">
        <v>45721</v>
      </c>
    </row>
    <row r="31" spans="1:34" hidden="1" x14ac:dyDescent="0.25">
      <c r="A31" s="12">
        <v>8259</v>
      </c>
      <c r="B31" s="12">
        <v>298</v>
      </c>
      <c r="C31" t="s">
        <v>104</v>
      </c>
      <c r="D31">
        <v>247002</v>
      </c>
      <c r="E31" s="8" t="s">
        <v>105</v>
      </c>
      <c r="F31" s="12">
        <v>21</v>
      </c>
      <c r="G31" s="8" t="s">
        <v>44</v>
      </c>
      <c r="H31" s="12">
        <v>3202</v>
      </c>
      <c r="I31" t="s">
        <v>49</v>
      </c>
      <c r="K31" t="s">
        <v>63</v>
      </c>
      <c r="N31" s="12"/>
      <c r="O31" s="8"/>
      <c r="P31">
        <v>1</v>
      </c>
      <c r="Q31" s="8">
        <v>1</v>
      </c>
      <c r="R31" s="12">
        <v>1</v>
      </c>
      <c r="S31" s="8">
        <v>1</v>
      </c>
      <c r="T31" s="12"/>
      <c r="U31" s="8"/>
      <c r="V31" s="2">
        <v>45658</v>
      </c>
      <c r="W31" s="2">
        <v>1</v>
      </c>
      <c r="X31" s="2">
        <v>45691</v>
      </c>
      <c r="Y31" s="2">
        <v>45688</v>
      </c>
      <c r="Z31" s="2"/>
      <c r="AB31">
        <v>8259</v>
      </c>
      <c r="AC31">
        <v>75464</v>
      </c>
      <c r="AD31" t="s">
        <v>479</v>
      </c>
      <c r="AE31" s="2">
        <v>45715</v>
      </c>
      <c r="AF31">
        <v>0.5</v>
      </c>
      <c r="AG31" s="17">
        <v>2.0833333333333301E-2</v>
      </c>
      <c r="AH31" s="2">
        <v>45721</v>
      </c>
    </row>
    <row r="32" spans="1:34" hidden="1" x14ac:dyDescent="0.25">
      <c r="A32" s="12">
        <v>8259</v>
      </c>
      <c r="B32" s="12">
        <v>298</v>
      </c>
      <c r="C32" t="s">
        <v>104</v>
      </c>
      <c r="D32">
        <v>247002</v>
      </c>
      <c r="E32" s="8" t="s">
        <v>105</v>
      </c>
      <c r="F32" s="12">
        <v>21</v>
      </c>
      <c r="G32" s="8" t="s">
        <v>44</v>
      </c>
      <c r="H32" s="12">
        <v>3202</v>
      </c>
      <c r="I32" t="s">
        <v>49</v>
      </c>
      <c r="K32" t="s">
        <v>63</v>
      </c>
      <c r="N32" s="12"/>
      <c r="O32" s="8"/>
      <c r="P32">
        <v>1</v>
      </c>
      <c r="Q32" s="8">
        <v>1</v>
      </c>
      <c r="R32" s="12">
        <v>1</v>
      </c>
      <c r="S32" s="8">
        <v>1</v>
      </c>
      <c r="T32" s="12"/>
      <c r="U32" s="8"/>
      <c r="V32" s="2">
        <v>45658</v>
      </c>
      <c r="W32" s="2">
        <v>1</v>
      </c>
      <c r="X32" s="2">
        <v>45691</v>
      </c>
      <c r="Y32" s="2">
        <v>45688</v>
      </c>
      <c r="Z32" s="2"/>
      <c r="AB32">
        <v>8259</v>
      </c>
      <c r="AC32">
        <v>75463</v>
      </c>
      <c r="AD32" t="s">
        <v>480</v>
      </c>
      <c r="AE32" s="2">
        <v>45715</v>
      </c>
      <c r="AF32">
        <v>2</v>
      </c>
      <c r="AG32" s="17">
        <v>8.3333333333333301E-2</v>
      </c>
      <c r="AH32" s="2">
        <v>45721</v>
      </c>
    </row>
    <row r="33" spans="1:34" hidden="1" x14ac:dyDescent="0.25">
      <c r="A33" s="12">
        <v>8259</v>
      </c>
      <c r="B33" s="12">
        <v>298</v>
      </c>
      <c r="C33" t="s">
        <v>104</v>
      </c>
      <c r="D33">
        <v>247002</v>
      </c>
      <c r="E33" s="8" t="s">
        <v>105</v>
      </c>
      <c r="F33" s="12">
        <v>21</v>
      </c>
      <c r="G33" s="8" t="s">
        <v>44</v>
      </c>
      <c r="H33" s="12">
        <v>3202</v>
      </c>
      <c r="I33" t="s">
        <v>49</v>
      </c>
      <c r="K33" t="s">
        <v>63</v>
      </c>
      <c r="N33" s="12"/>
      <c r="O33" s="8"/>
      <c r="P33">
        <v>1</v>
      </c>
      <c r="Q33" s="8">
        <v>1</v>
      </c>
      <c r="R33" s="12">
        <v>1</v>
      </c>
      <c r="S33" s="8">
        <v>1</v>
      </c>
      <c r="T33" s="12"/>
      <c r="U33" s="8"/>
      <c r="V33" s="2">
        <v>45658</v>
      </c>
      <c r="W33" s="2">
        <v>1</v>
      </c>
      <c r="X33" s="2">
        <v>45691</v>
      </c>
      <c r="Y33" s="2">
        <v>45688</v>
      </c>
      <c r="Z33" s="2"/>
      <c r="AB33">
        <v>8259</v>
      </c>
      <c r="AC33">
        <v>75501</v>
      </c>
      <c r="AD33" t="s">
        <v>481</v>
      </c>
      <c r="AE33" s="2">
        <v>45714</v>
      </c>
      <c r="AF33">
        <v>1.3333333333333299</v>
      </c>
      <c r="AG33" s="17">
        <v>5.5555555555555497E-2</v>
      </c>
      <c r="AH33" s="2">
        <v>45721</v>
      </c>
    </row>
    <row r="34" spans="1:34" hidden="1" x14ac:dyDescent="0.25">
      <c r="A34" s="12">
        <v>8259</v>
      </c>
      <c r="B34" s="12">
        <v>298</v>
      </c>
      <c r="C34" t="s">
        <v>104</v>
      </c>
      <c r="D34">
        <v>247002</v>
      </c>
      <c r="E34" s="8" t="s">
        <v>105</v>
      </c>
      <c r="F34" s="12">
        <v>21</v>
      </c>
      <c r="G34" s="8" t="s">
        <v>44</v>
      </c>
      <c r="H34" s="12">
        <v>3202</v>
      </c>
      <c r="I34" t="s">
        <v>49</v>
      </c>
      <c r="K34" t="s">
        <v>63</v>
      </c>
      <c r="N34" s="12"/>
      <c r="O34" s="8"/>
      <c r="P34">
        <v>1</v>
      </c>
      <c r="Q34" s="8">
        <v>1</v>
      </c>
      <c r="R34" s="12">
        <v>1</v>
      </c>
      <c r="S34" s="8">
        <v>1</v>
      </c>
      <c r="T34" s="12"/>
      <c r="U34" s="8"/>
      <c r="V34" s="2">
        <v>45658</v>
      </c>
      <c r="W34" s="2">
        <v>1</v>
      </c>
      <c r="X34" s="2">
        <v>45691</v>
      </c>
      <c r="Y34" s="2">
        <v>45688</v>
      </c>
      <c r="Z34" s="2"/>
      <c r="AB34">
        <v>8259</v>
      </c>
      <c r="AC34">
        <v>75500</v>
      </c>
      <c r="AD34" t="s">
        <v>482</v>
      </c>
      <c r="AE34" s="2">
        <v>45714</v>
      </c>
      <c r="AF34">
        <v>2.0833333333333299</v>
      </c>
      <c r="AG34" s="17">
        <v>8.6805555555555497E-2</v>
      </c>
      <c r="AH34" s="2">
        <v>45721</v>
      </c>
    </row>
    <row r="35" spans="1:34" hidden="1" x14ac:dyDescent="0.25">
      <c r="A35" s="12">
        <v>8259</v>
      </c>
      <c r="B35" s="12">
        <v>298</v>
      </c>
      <c r="C35" t="s">
        <v>104</v>
      </c>
      <c r="D35">
        <v>247002</v>
      </c>
      <c r="E35" s="8" t="s">
        <v>105</v>
      </c>
      <c r="F35" s="12">
        <v>21</v>
      </c>
      <c r="G35" s="8" t="s">
        <v>44</v>
      </c>
      <c r="H35" s="12">
        <v>3202</v>
      </c>
      <c r="I35" t="s">
        <v>49</v>
      </c>
      <c r="K35" t="s">
        <v>63</v>
      </c>
      <c r="N35" s="12"/>
      <c r="O35" s="8"/>
      <c r="P35">
        <v>1</v>
      </c>
      <c r="Q35" s="8">
        <v>1</v>
      </c>
      <c r="R35" s="12">
        <v>1</v>
      </c>
      <c r="S35" s="8">
        <v>1</v>
      </c>
      <c r="T35" s="12"/>
      <c r="U35" s="8"/>
      <c r="V35" s="2">
        <v>45658</v>
      </c>
      <c r="W35" s="2">
        <v>1</v>
      </c>
      <c r="X35" s="2">
        <v>45691</v>
      </c>
      <c r="Y35" s="2">
        <v>45688</v>
      </c>
      <c r="Z35" s="2"/>
      <c r="AB35">
        <v>8259</v>
      </c>
      <c r="AC35">
        <v>75499</v>
      </c>
      <c r="AD35" t="s">
        <v>483</v>
      </c>
      <c r="AE35" s="2">
        <v>45713</v>
      </c>
      <c r="AF35">
        <v>1.13333333333333</v>
      </c>
      <c r="AG35" s="17">
        <v>4.72222222222222E-2</v>
      </c>
      <c r="AH35" s="2">
        <v>45721</v>
      </c>
    </row>
    <row r="36" spans="1:34" hidden="1" x14ac:dyDescent="0.25">
      <c r="A36" s="12">
        <v>8259</v>
      </c>
      <c r="B36" s="12">
        <v>298</v>
      </c>
      <c r="C36" t="s">
        <v>104</v>
      </c>
      <c r="D36">
        <v>247002</v>
      </c>
      <c r="E36" s="8" t="s">
        <v>105</v>
      </c>
      <c r="F36" s="12">
        <v>21</v>
      </c>
      <c r="G36" s="8" t="s">
        <v>44</v>
      </c>
      <c r="H36" s="12">
        <v>3202</v>
      </c>
      <c r="I36" t="s">
        <v>49</v>
      </c>
      <c r="K36" t="s">
        <v>63</v>
      </c>
      <c r="N36" s="12"/>
      <c r="O36" s="8"/>
      <c r="P36">
        <v>1</v>
      </c>
      <c r="Q36" s="8">
        <v>1</v>
      </c>
      <c r="R36" s="12">
        <v>1</v>
      </c>
      <c r="S36" s="8">
        <v>1</v>
      </c>
      <c r="T36" s="12"/>
      <c r="U36" s="8"/>
      <c r="V36" s="2">
        <v>45658</v>
      </c>
      <c r="W36" s="2">
        <v>1</v>
      </c>
      <c r="X36" s="2">
        <v>45691</v>
      </c>
      <c r="Y36" s="2">
        <v>45688</v>
      </c>
      <c r="Z36" s="2"/>
      <c r="AB36">
        <v>8259</v>
      </c>
      <c r="AC36">
        <v>75498</v>
      </c>
      <c r="AD36" t="s">
        <v>484</v>
      </c>
      <c r="AE36" s="2">
        <v>45713</v>
      </c>
      <c r="AF36">
        <v>1.25</v>
      </c>
      <c r="AG36" s="17">
        <v>5.2083333333333301E-2</v>
      </c>
      <c r="AH36" s="2">
        <v>45721</v>
      </c>
    </row>
    <row r="37" spans="1:34" hidden="1" x14ac:dyDescent="0.25">
      <c r="A37" s="12">
        <v>8259</v>
      </c>
      <c r="B37" s="12">
        <v>298</v>
      </c>
      <c r="C37" t="s">
        <v>104</v>
      </c>
      <c r="D37">
        <v>247002</v>
      </c>
      <c r="E37" s="8" t="s">
        <v>105</v>
      </c>
      <c r="F37" s="12">
        <v>21</v>
      </c>
      <c r="G37" s="8" t="s">
        <v>44</v>
      </c>
      <c r="H37" s="12">
        <v>3202</v>
      </c>
      <c r="I37" t="s">
        <v>49</v>
      </c>
      <c r="K37" t="s">
        <v>63</v>
      </c>
      <c r="N37" s="12"/>
      <c r="O37" s="8"/>
      <c r="P37">
        <v>1</v>
      </c>
      <c r="Q37" s="8">
        <v>1</v>
      </c>
      <c r="R37" s="12">
        <v>1</v>
      </c>
      <c r="S37" s="8">
        <v>1</v>
      </c>
      <c r="T37" s="12"/>
      <c r="U37" s="8"/>
      <c r="V37" s="2">
        <v>45658</v>
      </c>
      <c r="W37" s="2">
        <v>1</v>
      </c>
      <c r="X37" s="2">
        <v>45691</v>
      </c>
      <c r="Y37" s="2">
        <v>45688</v>
      </c>
      <c r="Z37" s="2"/>
      <c r="AB37">
        <v>8259</v>
      </c>
      <c r="AC37">
        <v>75496</v>
      </c>
      <c r="AD37" t="s">
        <v>485</v>
      </c>
      <c r="AE37" s="2">
        <v>45713</v>
      </c>
      <c r="AF37">
        <v>2</v>
      </c>
      <c r="AG37" s="17">
        <v>8.3333333333333301E-2</v>
      </c>
      <c r="AH37" s="2">
        <v>45721</v>
      </c>
    </row>
    <row r="38" spans="1:34" hidden="1" x14ac:dyDescent="0.25">
      <c r="A38" s="12">
        <v>8259</v>
      </c>
      <c r="B38" s="12">
        <v>298</v>
      </c>
      <c r="C38" t="s">
        <v>104</v>
      </c>
      <c r="D38">
        <v>247002</v>
      </c>
      <c r="E38" s="8" t="s">
        <v>105</v>
      </c>
      <c r="F38" s="12">
        <v>21</v>
      </c>
      <c r="G38" s="8" t="s">
        <v>44</v>
      </c>
      <c r="H38" s="12">
        <v>3202</v>
      </c>
      <c r="I38" t="s">
        <v>49</v>
      </c>
      <c r="K38" t="s">
        <v>63</v>
      </c>
      <c r="N38" s="12"/>
      <c r="O38" s="8"/>
      <c r="P38">
        <v>1</v>
      </c>
      <c r="Q38" s="8">
        <v>1</v>
      </c>
      <c r="R38" s="12">
        <v>1</v>
      </c>
      <c r="S38" s="8">
        <v>1</v>
      </c>
      <c r="T38" s="12"/>
      <c r="U38" s="8"/>
      <c r="V38" s="2">
        <v>45658</v>
      </c>
      <c r="W38" s="2">
        <v>1</v>
      </c>
      <c r="X38" s="2">
        <v>45691</v>
      </c>
      <c r="Y38" s="2">
        <v>45688</v>
      </c>
      <c r="Z38" s="2"/>
      <c r="AB38">
        <v>8259</v>
      </c>
      <c r="AC38">
        <v>75495</v>
      </c>
      <c r="AD38" t="s">
        <v>486</v>
      </c>
      <c r="AE38" s="2">
        <v>45713</v>
      </c>
      <c r="AF38">
        <v>4</v>
      </c>
      <c r="AG38" s="17">
        <v>0.16666666666666599</v>
      </c>
      <c r="AH38" s="2">
        <v>45721</v>
      </c>
    </row>
    <row r="39" spans="1:34" hidden="1" x14ac:dyDescent="0.25">
      <c r="A39" s="12">
        <v>8259</v>
      </c>
      <c r="B39" s="12">
        <v>298</v>
      </c>
      <c r="C39" t="s">
        <v>104</v>
      </c>
      <c r="D39">
        <v>247002</v>
      </c>
      <c r="E39" s="8" t="s">
        <v>105</v>
      </c>
      <c r="F39" s="12">
        <v>21</v>
      </c>
      <c r="G39" s="8" t="s">
        <v>44</v>
      </c>
      <c r="H39" s="12">
        <v>3202</v>
      </c>
      <c r="I39" t="s">
        <v>49</v>
      </c>
      <c r="K39" t="s">
        <v>63</v>
      </c>
      <c r="N39" s="12"/>
      <c r="O39" s="8"/>
      <c r="P39">
        <v>1</v>
      </c>
      <c r="Q39" s="8">
        <v>1</v>
      </c>
      <c r="R39" s="12">
        <v>1</v>
      </c>
      <c r="S39" s="8">
        <v>1</v>
      </c>
      <c r="T39" s="12"/>
      <c r="U39" s="8"/>
      <c r="V39" s="2">
        <v>45658</v>
      </c>
      <c r="W39" s="2">
        <v>1</v>
      </c>
      <c r="X39" s="2">
        <v>45691</v>
      </c>
      <c r="Y39" s="2">
        <v>45688</v>
      </c>
      <c r="Z39" s="2"/>
      <c r="AB39">
        <v>8259</v>
      </c>
      <c r="AC39">
        <v>75494</v>
      </c>
      <c r="AD39" t="s">
        <v>487</v>
      </c>
      <c r="AE39" s="2">
        <v>45712</v>
      </c>
      <c r="AF39">
        <v>0.51666666666666605</v>
      </c>
      <c r="AG39" s="17">
        <v>2.1527777777777701E-2</v>
      </c>
      <c r="AH39" s="2">
        <v>45721</v>
      </c>
    </row>
    <row r="40" spans="1:34" hidden="1" x14ac:dyDescent="0.25">
      <c r="A40" s="12">
        <v>8259</v>
      </c>
      <c r="B40" s="12">
        <v>298</v>
      </c>
      <c r="C40" t="s">
        <v>104</v>
      </c>
      <c r="D40">
        <v>247002</v>
      </c>
      <c r="E40" s="8" t="s">
        <v>105</v>
      </c>
      <c r="F40" s="12">
        <v>21</v>
      </c>
      <c r="G40" s="8" t="s">
        <v>44</v>
      </c>
      <c r="H40" s="12">
        <v>3202</v>
      </c>
      <c r="I40" t="s">
        <v>49</v>
      </c>
      <c r="K40" t="s">
        <v>63</v>
      </c>
      <c r="N40" s="12"/>
      <c r="O40" s="8"/>
      <c r="P40">
        <v>1</v>
      </c>
      <c r="Q40" s="8">
        <v>1</v>
      </c>
      <c r="R40" s="12">
        <v>1</v>
      </c>
      <c r="S40" s="8">
        <v>1</v>
      </c>
      <c r="T40" s="12"/>
      <c r="U40" s="8"/>
      <c r="V40" s="2">
        <v>45658</v>
      </c>
      <c r="W40" s="2">
        <v>1</v>
      </c>
      <c r="X40" s="2">
        <v>45691</v>
      </c>
      <c r="Y40" s="2">
        <v>45688</v>
      </c>
      <c r="Z40" s="2"/>
      <c r="AB40">
        <v>8259</v>
      </c>
      <c r="AC40">
        <v>75493</v>
      </c>
      <c r="AD40" t="s">
        <v>488</v>
      </c>
      <c r="AE40" s="2">
        <v>45712</v>
      </c>
      <c r="AF40">
        <v>1</v>
      </c>
      <c r="AG40" s="17">
        <v>4.1666666666666602E-2</v>
      </c>
      <c r="AH40" s="2">
        <v>45721</v>
      </c>
    </row>
    <row r="41" spans="1:34" hidden="1" x14ac:dyDescent="0.25">
      <c r="A41" s="12">
        <v>8259</v>
      </c>
      <c r="B41" s="12">
        <v>298</v>
      </c>
      <c r="C41" t="s">
        <v>104</v>
      </c>
      <c r="D41">
        <v>247002</v>
      </c>
      <c r="E41" s="8" t="s">
        <v>105</v>
      </c>
      <c r="F41" s="12">
        <v>21</v>
      </c>
      <c r="G41" s="8" t="s">
        <v>44</v>
      </c>
      <c r="H41" s="12">
        <v>3202</v>
      </c>
      <c r="I41" t="s">
        <v>49</v>
      </c>
      <c r="K41" t="s">
        <v>63</v>
      </c>
      <c r="N41" s="12"/>
      <c r="O41" s="8"/>
      <c r="P41">
        <v>1</v>
      </c>
      <c r="Q41" s="8">
        <v>1</v>
      </c>
      <c r="R41" s="12">
        <v>1</v>
      </c>
      <c r="S41" s="8">
        <v>1</v>
      </c>
      <c r="T41" s="12"/>
      <c r="U41" s="8"/>
      <c r="V41" s="2">
        <v>45658</v>
      </c>
      <c r="W41" s="2">
        <v>1</v>
      </c>
      <c r="X41" s="2">
        <v>45691</v>
      </c>
      <c r="Y41" s="2">
        <v>45688</v>
      </c>
      <c r="Z41" s="2"/>
      <c r="AB41">
        <v>8259</v>
      </c>
      <c r="AC41">
        <v>75492</v>
      </c>
      <c r="AD41" t="s">
        <v>489</v>
      </c>
      <c r="AE41" s="2">
        <v>45712</v>
      </c>
      <c r="AF41">
        <v>4</v>
      </c>
      <c r="AG41" s="17">
        <v>0.16666666666666599</v>
      </c>
      <c r="AH41" s="2">
        <v>45721</v>
      </c>
    </row>
    <row r="42" spans="1:34" hidden="1" x14ac:dyDescent="0.25">
      <c r="A42" s="12">
        <v>8259</v>
      </c>
      <c r="B42" s="12">
        <v>298</v>
      </c>
      <c r="C42" t="s">
        <v>104</v>
      </c>
      <c r="D42">
        <v>247002</v>
      </c>
      <c r="E42" s="8" t="s">
        <v>105</v>
      </c>
      <c r="F42" s="12">
        <v>21</v>
      </c>
      <c r="G42" s="8" t="s">
        <v>44</v>
      </c>
      <c r="H42" s="12">
        <v>3202</v>
      </c>
      <c r="I42" t="s">
        <v>49</v>
      </c>
      <c r="K42" t="s">
        <v>63</v>
      </c>
      <c r="N42" s="12"/>
      <c r="O42" s="8"/>
      <c r="P42">
        <v>1</v>
      </c>
      <c r="Q42" s="8">
        <v>1</v>
      </c>
      <c r="R42" s="12">
        <v>1</v>
      </c>
      <c r="S42" s="8">
        <v>1</v>
      </c>
      <c r="T42" s="12"/>
      <c r="U42" s="8"/>
      <c r="V42" s="2">
        <v>45658</v>
      </c>
      <c r="W42" s="2">
        <v>1</v>
      </c>
      <c r="X42" s="2">
        <v>45691</v>
      </c>
      <c r="Y42" s="2">
        <v>45688</v>
      </c>
      <c r="Z42" s="2"/>
      <c r="AB42">
        <v>8259</v>
      </c>
      <c r="AC42">
        <v>75491</v>
      </c>
      <c r="AD42" t="s">
        <v>490</v>
      </c>
      <c r="AE42" s="2">
        <v>45712</v>
      </c>
      <c r="AF42">
        <v>3</v>
      </c>
      <c r="AG42" s="17">
        <v>0.125</v>
      </c>
      <c r="AH42" s="2">
        <v>45721</v>
      </c>
    </row>
    <row r="43" spans="1:34" hidden="1" x14ac:dyDescent="0.25">
      <c r="A43" s="12">
        <v>8259</v>
      </c>
      <c r="B43" s="12">
        <v>298</v>
      </c>
      <c r="C43" t="s">
        <v>104</v>
      </c>
      <c r="D43">
        <v>247002</v>
      </c>
      <c r="E43" s="8" t="s">
        <v>105</v>
      </c>
      <c r="F43" s="12">
        <v>21</v>
      </c>
      <c r="G43" s="8" t="s">
        <v>44</v>
      </c>
      <c r="H43" s="12">
        <v>3202</v>
      </c>
      <c r="I43" t="s">
        <v>49</v>
      </c>
      <c r="K43" t="s">
        <v>63</v>
      </c>
      <c r="N43" s="12"/>
      <c r="O43" s="8"/>
      <c r="P43">
        <v>1</v>
      </c>
      <c r="Q43" s="8">
        <v>1</v>
      </c>
      <c r="R43" s="12">
        <v>1</v>
      </c>
      <c r="S43" s="8">
        <v>1</v>
      </c>
      <c r="T43" s="12"/>
      <c r="U43" s="8"/>
      <c r="V43" s="2">
        <v>45658</v>
      </c>
      <c r="W43" s="2">
        <v>1</v>
      </c>
      <c r="X43" s="2">
        <v>45691</v>
      </c>
      <c r="Y43" s="2">
        <v>45688</v>
      </c>
      <c r="Z43" s="2"/>
      <c r="AB43">
        <v>8259</v>
      </c>
      <c r="AC43">
        <v>72916</v>
      </c>
      <c r="AD43" t="s">
        <v>491</v>
      </c>
      <c r="AE43" s="2">
        <v>45709</v>
      </c>
      <c r="AF43">
        <v>3.5</v>
      </c>
      <c r="AG43" s="17">
        <v>0.14583333333333301</v>
      </c>
      <c r="AH43" s="2">
        <v>45710</v>
      </c>
    </row>
    <row r="44" spans="1:34" hidden="1" x14ac:dyDescent="0.25">
      <c r="A44" s="12">
        <v>8259</v>
      </c>
      <c r="B44" s="12">
        <v>298</v>
      </c>
      <c r="C44" t="s">
        <v>104</v>
      </c>
      <c r="D44">
        <v>247002</v>
      </c>
      <c r="E44" s="8" t="s">
        <v>105</v>
      </c>
      <c r="F44" s="12">
        <v>21</v>
      </c>
      <c r="G44" s="8" t="s">
        <v>44</v>
      </c>
      <c r="H44" s="12">
        <v>3202</v>
      </c>
      <c r="I44" t="s">
        <v>49</v>
      </c>
      <c r="K44" t="s">
        <v>63</v>
      </c>
      <c r="N44" s="12"/>
      <c r="O44" s="8"/>
      <c r="P44">
        <v>1</v>
      </c>
      <c r="Q44" s="8">
        <v>1</v>
      </c>
      <c r="R44" s="12">
        <v>1</v>
      </c>
      <c r="S44" s="8">
        <v>1</v>
      </c>
      <c r="T44" s="12"/>
      <c r="U44" s="8"/>
      <c r="V44" s="2">
        <v>45658</v>
      </c>
      <c r="W44" s="2">
        <v>1</v>
      </c>
      <c r="X44" s="2">
        <v>45691</v>
      </c>
      <c r="Y44" s="2">
        <v>45688</v>
      </c>
      <c r="Z44" s="2"/>
      <c r="AB44">
        <v>8259</v>
      </c>
      <c r="AC44">
        <v>72915</v>
      </c>
      <c r="AD44" t="s">
        <v>492</v>
      </c>
      <c r="AE44" s="2">
        <v>45709</v>
      </c>
      <c r="AF44">
        <v>1</v>
      </c>
      <c r="AG44" s="17">
        <v>4.1666666666666602E-2</v>
      </c>
      <c r="AH44" s="2">
        <v>45710</v>
      </c>
    </row>
    <row r="45" spans="1:34" hidden="1" x14ac:dyDescent="0.25">
      <c r="A45" s="12">
        <v>8259</v>
      </c>
      <c r="B45" s="12">
        <v>298</v>
      </c>
      <c r="C45" t="s">
        <v>104</v>
      </c>
      <c r="D45">
        <v>247002</v>
      </c>
      <c r="E45" s="8" t="s">
        <v>105</v>
      </c>
      <c r="F45" s="12">
        <v>21</v>
      </c>
      <c r="G45" s="8" t="s">
        <v>44</v>
      </c>
      <c r="H45" s="12">
        <v>3202</v>
      </c>
      <c r="I45" t="s">
        <v>49</v>
      </c>
      <c r="K45" t="s">
        <v>63</v>
      </c>
      <c r="N45" s="12"/>
      <c r="O45" s="8"/>
      <c r="P45">
        <v>1</v>
      </c>
      <c r="Q45" s="8">
        <v>1</v>
      </c>
      <c r="R45" s="12">
        <v>1</v>
      </c>
      <c r="S45" s="8">
        <v>1</v>
      </c>
      <c r="T45" s="12"/>
      <c r="U45" s="8"/>
      <c r="V45" s="2">
        <v>45658</v>
      </c>
      <c r="W45" s="2">
        <v>1</v>
      </c>
      <c r="X45" s="2">
        <v>45691</v>
      </c>
      <c r="Y45" s="2">
        <v>45688</v>
      </c>
      <c r="Z45" s="2"/>
      <c r="AB45">
        <v>8259</v>
      </c>
      <c r="AC45">
        <v>72914</v>
      </c>
      <c r="AD45" t="s">
        <v>493</v>
      </c>
      <c r="AE45" s="2">
        <v>45709</v>
      </c>
      <c r="AF45">
        <v>0.5</v>
      </c>
      <c r="AG45" s="17">
        <v>2.0833333333333301E-2</v>
      </c>
      <c r="AH45" s="2">
        <v>45710</v>
      </c>
    </row>
    <row r="46" spans="1:34" hidden="1" x14ac:dyDescent="0.25">
      <c r="A46" s="12">
        <v>8259</v>
      </c>
      <c r="B46" s="12">
        <v>298</v>
      </c>
      <c r="C46" t="s">
        <v>104</v>
      </c>
      <c r="D46">
        <v>247002</v>
      </c>
      <c r="E46" s="8" t="s">
        <v>105</v>
      </c>
      <c r="F46" s="12">
        <v>21</v>
      </c>
      <c r="G46" s="8" t="s">
        <v>44</v>
      </c>
      <c r="H46" s="12">
        <v>3202</v>
      </c>
      <c r="I46" t="s">
        <v>49</v>
      </c>
      <c r="K46" t="s">
        <v>63</v>
      </c>
      <c r="N46" s="12"/>
      <c r="O46" s="8"/>
      <c r="P46">
        <v>1</v>
      </c>
      <c r="Q46" s="8">
        <v>1</v>
      </c>
      <c r="R46" s="12">
        <v>1</v>
      </c>
      <c r="S46" s="8">
        <v>1</v>
      </c>
      <c r="T46" s="12"/>
      <c r="U46" s="8"/>
      <c r="V46" s="2">
        <v>45658</v>
      </c>
      <c r="W46" s="2">
        <v>1</v>
      </c>
      <c r="X46" s="2">
        <v>45691</v>
      </c>
      <c r="Y46" s="2">
        <v>45688</v>
      </c>
      <c r="Z46" s="2"/>
      <c r="AB46">
        <v>8259</v>
      </c>
      <c r="AC46">
        <v>72913</v>
      </c>
      <c r="AD46" t="s">
        <v>494</v>
      </c>
      <c r="AE46" s="2">
        <v>45709</v>
      </c>
      <c r="AF46">
        <v>1.5</v>
      </c>
      <c r="AG46" s="17">
        <v>6.25E-2</v>
      </c>
      <c r="AH46" s="2">
        <v>45710</v>
      </c>
    </row>
    <row r="47" spans="1:34" hidden="1" x14ac:dyDescent="0.25">
      <c r="A47" s="12">
        <v>8259</v>
      </c>
      <c r="B47" s="12">
        <v>298</v>
      </c>
      <c r="C47" t="s">
        <v>104</v>
      </c>
      <c r="D47">
        <v>247002</v>
      </c>
      <c r="E47" s="8" t="s">
        <v>105</v>
      </c>
      <c r="F47" s="12">
        <v>21</v>
      </c>
      <c r="G47" s="8" t="s">
        <v>44</v>
      </c>
      <c r="H47" s="12">
        <v>3202</v>
      </c>
      <c r="I47" t="s">
        <v>49</v>
      </c>
      <c r="K47" t="s">
        <v>63</v>
      </c>
      <c r="N47" s="12"/>
      <c r="O47" s="8"/>
      <c r="P47">
        <v>1</v>
      </c>
      <c r="Q47" s="8">
        <v>1</v>
      </c>
      <c r="R47" s="12">
        <v>1</v>
      </c>
      <c r="S47" s="8">
        <v>1</v>
      </c>
      <c r="T47" s="12"/>
      <c r="U47" s="8"/>
      <c r="V47" s="2">
        <v>45658</v>
      </c>
      <c r="W47" s="2">
        <v>1</v>
      </c>
      <c r="X47" s="2">
        <v>45691</v>
      </c>
      <c r="Y47" s="2">
        <v>45688</v>
      </c>
      <c r="Z47" s="2"/>
      <c r="AB47">
        <v>8259</v>
      </c>
      <c r="AC47">
        <v>72912</v>
      </c>
      <c r="AD47" t="s">
        <v>495</v>
      </c>
      <c r="AE47" s="2">
        <v>45708</v>
      </c>
      <c r="AF47">
        <v>1.7666666666666599</v>
      </c>
      <c r="AG47" s="17">
        <v>7.3611111111111099E-2</v>
      </c>
      <c r="AH47" s="2">
        <v>45710</v>
      </c>
    </row>
    <row r="48" spans="1:34" hidden="1" x14ac:dyDescent="0.25">
      <c r="A48" s="12">
        <v>8259</v>
      </c>
      <c r="B48" s="12">
        <v>298</v>
      </c>
      <c r="C48" t="s">
        <v>104</v>
      </c>
      <c r="D48">
        <v>247002</v>
      </c>
      <c r="E48" s="8" t="s">
        <v>105</v>
      </c>
      <c r="F48" s="12">
        <v>21</v>
      </c>
      <c r="G48" s="8" t="s">
        <v>44</v>
      </c>
      <c r="H48" s="12">
        <v>3202</v>
      </c>
      <c r="I48" t="s">
        <v>49</v>
      </c>
      <c r="K48" t="s">
        <v>63</v>
      </c>
      <c r="N48" s="12"/>
      <c r="O48" s="8"/>
      <c r="P48">
        <v>1</v>
      </c>
      <c r="Q48" s="8">
        <v>1</v>
      </c>
      <c r="R48" s="12">
        <v>1</v>
      </c>
      <c r="S48" s="8">
        <v>1</v>
      </c>
      <c r="T48" s="12"/>
      <c r="U48" s="8"/>
      <c r="V48" s="2">
        <v>45658</v>
      </c>
      <c r="W48" s="2">
        <v>1</v>
      </c>
      <c r="X48" s="2">
        <v>45691</v>
      </c>
      <c r="Y48" s="2">
        <v>45688</v>
      </c>
      <c r="Z48" s="2"/>
      <c r="AB48">
        <v>8259</v>
      </c>
      <c r="AC48">
        <v>72906</v>
      </c>
      <c r="AD48" t="s">
        <v>496</v>
      </c>
      <c r="AE48" s="2">
        <v>45708</v>
      </c>
      <c r="AF48">
        <v>2</v>
      </c>
      <c r="AG48" s="17">
        <v>8.3333333333333301E-2</v>
      </c>
      <c r="AH48" s="2">
        <v>45710</v>
      </c>
    </row>
    <row r="49" spans="1:34" hidden="1" x14ac:dyDescent="0.25">
      <c r="A49" s="12">
        <v>8259</v>
      </c>
      <c r="B49" s="12">
        <v>298</v>
      </c>
      <c r="C49" t="s">
        <v>104</v>
      </c>
      <c r="D49">
        <v>247002</v>
      </c>
      <c r="E49" s="8" t="s">
        <v>105</v>
      </c>
      <c r="F49" s="12">
        <v>21</v>
      </c>
      <c r="G49" s="8" t="s">
        <v>44</v>
      </c>
      <c r="H49" s="12">
        <v>3202</v>
      </c>
      <c r="I49" t="s">
        <v>49</v>
      </c>
      <c r="K49" t="s">
        <v>63</v>
      </c>
      <c r="N49" s="12"/>
      <c r="O49" s="8"/>
      <c r="P49">
        <v>1</v>
      </c>
      <c r="Q49" s="8">
        <v>1</v>
      </c>
      <c r="R49" s="12">
        <v>1</v>
      </c>
      <c r="S49" s="8">
        <v>1</v>
      </c>
      <c r="T49" s="12"/>
      <c r="U49" s="8"/>
      <c r="V49" s="2">
        <v>45658</v>
      </c>
      <c r="W49" s="2">
        <v>1</v>
      </c>
      <c r="X49" s="2">
        <v>45691</v>
      </c>
      <c r="Y49" s="2">
        <v>45688</v>
      </c>
      <c r="Z49" s="2"/>
      <c r="AB49">
        <v>8259</v>
      </c>
      <c r="AC49">
        <v>72905</v>
      </c>
      <c r="AD49" t="s">
        <v>497</v>
      </c>
      <c r="AE49" s="2">
        <v>45708</v>
      </c>
      <c r="AF49">
        <v>2.5</v>
      </c>
      <c r="AG49" s="17">
        <v>0.10416666666666601</v>
      </c>
      <c r="AH49" s="2">
        <v>45710</v>
      </c>
    </row>
    <row r="50" spans="1:34" hidden="1" x14ac:dyDescent="0.25">
      <c r="A50" s="12">
        <v>8259</v>
      </c>
      <c r="B50" s="12">
        <v>298</v>
      </c>
      <c r="C50" t="s">
        <v>104</v>
      </c>
      <c r="D50">
        <v>247002</v>
      </c>
      <c r="E50" s="8" t="s">
        <v>105</v>
      </c>
      <c r="F50" s="12">
        <v>21</v>
      </c>
      <c r="G50" s="8" t="s">
        <v>44</v>
      </c>
      <c r="H50" s="12">
        <v>3202</v>
      </c>
      <c r="I50" t="s">
        <v>49</v>
      </c>
      <c r="K50" t="s">
        <v>63</v>
      </c>
      <c r="N50" s="12"/>
      <c r="O50" s="8"/>
      <c r="P50">
        <v>1</v>
      </c>
      <c r="Q50" s="8">
        <v>1</v>
      </c>
      <c r="R50" s="12">
        <v>1</v>
      </c>
      <c r="S50" s="8">
        <v>1</v>
      </c>
      <c r="T50" s="12"/>
      <c r="U50" s="8"/>
      <c r="V50" s="2">
        <v>45658</v>
      </c>
      <c r="W50" s="2">
        <v>1</v>
      </c>
      <c r="X50" s="2">
        <v>45691</v>
      </c>
      <c r="Y50" s="2">
        <v>45688</v>
      </c>
      <c r="Z50" s="2"/>
      <c r="AB50">
        <v>8259</v>
      </c>
      <c r="AC50">
        <v>72075</v>
      </c>
      <c r="AD50" t="s">
        <v>498</v>
      </c>
      <c r="AE50" s="2">
        <v>45708</v>
      </c>
      <c r="AF50">
        <v>2</v>
      </c>
      <c r="AG50" s="17">
        <v>8.3333333333333301E-2</v>
      </c>
      <c r="AH50" s="2">
        <v>45708</v>
      </c>
    </row>
    <row r="51" spans="1:34" hidden="1" x14ac:dyDescent="0.25">
      <c r="A51" s="12">
        <v>8259</v>
      </c>
      <c r="B51" s="12">
        <v>298</v>
      </c>
      <c r="C51" t="s">
        <v>104</v>
      </c>
      <c r="D51">
        <v>247002</v>
      </c>
      <c r="E51" s="8" t="s">
        <v>105</v>
      </c>
      <c r="F51" s="12">
        <v>21</v>
      </c>
      <c r="G51" s="8" t="s">
        <v>44</v>
      </c>
      <c r="H51" s="12">
        <v>3202</v>
      </c>
      <c r="I51" t="s">
        <v>49</v>
      </c>
      <c r="K51" t="s">
        <v>63</v>
      </c>
      <c r="N51" s="12"/>
      <c r="O51" s="8"/>
      <c r="P51">
        <v>1</v>
      </c>
      <c r="Q51" s="8">
        <v>1</v>
      </c>
      <c r="R51" s="12">
        <v>1</v>
      </c>
      <c r="S51" s="8">
        <v>1</v>
      </c>
      <c r="T51" s="12"/>
      <c r="U51" s="8"/>
      <c r="V51" s="2">
        <v>45658</v>
      </c>
      <c r="W51" s="2">
        <v>1</v>
      </c>
      <c r="X51" s="2">
        <v>45691</v>
      </c>
      <c r="Y51" s="2">
        <v>45688</v>
      </c>
      <c r="Z51" s="2"/>
      <c r="AB51">
        <v>8259</v>
      </c>
      <c r="AC51">
        <v>72911</v>
      </c>
      <c r="AD51" t="s">
        <v>499</v>
      </c>
      <c r="AE51" s="2">
        <v>45707</v>
      </c>
      <c r="AF51">
        <v>2</v>
      </c>
      <c r="AG51" s="17">
        <v>8.3333333333333301E-2</v>
      </c>
      <c r="AH51" s="2">
        <v>45710</v>
      </c>
    </row>
    <row r="52" spans="1:34" hidden="1" x14ac:dyDescent="0.25">
      <c r="A52" s="12">
        <v>8259</v>
      </c>
      <c r="B52" s="12">
        <v>298</v>
      </c>
      <c r="C52" t="s">
        <v>104</v>
      </c>
      <c r="D52">
        <v>247002</v>
      </c>
      <c r="E52" s="8" t="s">
        <v>105</v>
      </c>
      <c r="F52" s="12">
        <v>21</v>
      </c>
      <c r="G52" s="8" t="s">
        <v>44</v>
      </c>
      <c r="H52" s="12">
        <v>3202</v>
      </c>
      <c r="I52" t="s">
        <v>49</v>
      </c>
      <c r="K52" t="s">
        <v>63</v>
      </c>
      <c r="N52" s="12"/>
      <c r="O52" s="8"/>
      <c r="P52">
        <v>1</v>
      </c>
      <c r="Q52" s="8">
        <v>1</v>
      </c>
      <c r="R52" s="12">
        <v>1</v>
      </c>
      <c r="S52" s="8">
        <v>1</v>
      </c>
      <c r="T52" s="12"/>
      <c r="U52" s="8"/>
      <c r="V52" s="2">
        <v>45658</v>
      </c>
      <c r="W52" s="2">
        <v>1</v>
      </c>
      <c r="X52" s="2">
        <v>45691</v>
      </c>
      <c r="Y52" s="2">
        <v>45688</v>
      </c>
      <c r="Z52" s="2"/>
      <c r="AB52">
        <v>8259</v>
      </c>
      <c r="AC52">
        <v>72910</v>
      </c>
      <c r="AD52" t="s">
        <v>500</v>
      </c>
      <c r="AE52" s="2">
        <v>45707</v>
      </c>
      <c r="AF52">
        <v>2</v>
      </c>
      <c r="AG52" s="17">
        <v>8.3333333333333301E-2</v>
      </c>
      <c r="AH52" s="2">
        <v>45710</v>
      </c>
    </row>
    <row r="53" spans="1:34" hidden="1" x14ac:dyDescent="0.25">
      <c r="A53" s="12">
        <v>8259</v>
      </c>
      <c r="B53" s="12">
        <v>298</v>
      </c>
      <c r="C53" t="s">
        <v>104</v>
      </c>
      <c r="D53">
        <v>247002</v>
      </c>
      <c r="E53" s="8" t="s">
        <v>105</v>
      </c>
      <c r="F53" s="12">
        <v>21</v>
      </c>
      <c r="G53" s="8" t="s">
        <v>44</v>
      </c>
      <c r="H53" s="12">
        <v>3202</v>
      </c>
      <c r="I53" t="s">
        <v>49</v>
      </c>
      <c r="K53" t="s">
        <v>63</v>
      </c>
      <c r="N53" s="12"/>
      <c r="O53" s="8"/>
      <c r="P53">
        <v>1</v>
      </c>
      <c r="Q53" s="8">
        <v>1</v>
      </c>
      <c r="R53" s="12">
        <v>1</v>
      </c>
      <c r="S53" s="8">
        <v>1</v>
      </c>
      <c r="T53" s="12"/>
      <c r="U53" s="8"/>
      <c r="V53" s="2">
        <v>45658</v>
      </c>
      <c r="W53" s="2">
        <v>1</v>
      </c>
      <c r="X53" s="2">
        <v>45691</v>
      </c>
      <c r="Y53" s="2">
        <v>45688</v>
      </c>
      <c r="Z53" s="2"/>
      <c r="AB53">
        <v>8259</v>
      </c>
      <c r="AC53">
        <v>72060</v>
      </c>
      <c r="AD53" t="s">
        <v>501</v>
      </c>
      <c r="AE53" s="2">
        <v>45707</v>
      </c>
      <c r="AF53">
        <v>2</v>
      </c>
      <c r="AG53" s="17">
        <v>8.3333333333333301E-2</v>
      </c>
      <c r="AH53" s="2">
        <v>45708</v>
      </c>
    </row>
    <row r="54" spans="1:34" hidden="1" x14ac:dyDescent="0.25">
      <c r="A54" s="12">
        <v>8259</v>
      </c>
      <c r="B54" s="12">
        <v>298</v>
      </c>
      <c r="C54" t="s">
        <v>104</v>
      </c>
      <c r="D54">
        <v>247002</v>
      </c>
      <c r="E54" s="8" t="s">
        <v>105</v>
      </c>
      <c r="F54" s="12">
        <v>21</v>
      </c>
      <c r="G54" s="8" t="s">
        <v>44</v>
      </c>
      <c r="H54" s="12">
        <v>3202</v>
      </c>
      <c r="I54" t="s">
        <v>49</v>
      </c>
      <c r="K54" t="s">
        <v>63</v>
      </c>
      <c r="N54" s="12"/>
      <c r="O54" s="8"/>
      <c r="P54">
        <v>1</v>
      </c>
      <c r="Q54" s="8">
        <v>1</v>
      </c>
      <c r="R54" s="12">
        <v>1</v>
      </c>
      <c r="S54" s="8">
        <v>1</v>
      </c>
      <c r="T54" s="12"/>
      <c r="U54" s="8"/>
      <c r="V54" s="2">
        <v>45658</v>
      </c>
      <c r="W54" s="2">
        <v>1</v>
      </c>
      <c r="X54" s="2">
        <v>45691</v>
      </c>
      <c r="Y54" s="2">
        <v>45688</v>
      </c>
      <c r="Z54" s="2"/>
      <c r="AB54">
        <v>8259</v>
      </c>
      <c r="AC54">
        <v>71708</v>
      </c>
      <c r="AD54" t="s">
        <v>502</v>
      </c>
      <c r="AE54" s="2">
        <v>45706</v>
      </c>
      <c r="AF54">
        <v>1</v>
      </c>
      <c r="AG54" s="17">
        <v>4.1666666666666602E-2</v>
      </c>
      <c r="AH54" s="2">
        <v>45707</v>
      </c>
    </row>
    <row r="55" spans="1:34" hidden="1" x14ac:dyDescent="0.25">
      <c r="A55" s="12">
        <v>8259</v>
      </c>
      <c r="B55" s="12">
        <v>298</v>
      </c>
      <c r="C55" t="s">
        <v>104</v>
      </c>
      <c r="D55">
        <v>247002</v>
      </c>
      <c r="E55" s="8" t="s">
        <v>105</v>
      </c>
      <c r="F55" s="12">
        <v>21</v>
      </c>
      <c r="G55" s="8" t="s">
        <v>44</v>
      </c>
      <c r="H55" s="12">
        <v>3202</v>
      </c>
      <c r="I55" t="s">
        <v>49</v>
      </c>
      <c r="K55" t="s">
        <v>63</v>
      </c>
      <c r="N55" s="12"/>
      <c r="O55" s="8"/>
      <c r="P55">
        <v>1</v>
      </c>
      <c r="Q55" s="8">
        <v>1</v>
      </c>
      <c r="R55" s="12">
        <v>1</v>
      </c>
      <c r="S55" s="8">
        <v>1</v>
      </c>
      <c r="T55" s="12"/>
      <c r="U55" s="8"/>
      <c r="V55" s="2">
        <v>45658</v>
      </c>
      <c r="W55" s="2">
        <v>1</v>
      </c>
      <c r="X55" s="2">
        <v>45691</v>
      </c>
      <c r="Y55" s="2">
        <v>45688</v>
      </c>
      <c r="Z55" s="2"/>
      <c r="AB55">
        <v>8259</v>
      </c>
      <c r="AC55">
        <v>71491</v>
      </c>
      <c r="AD55" t="s">
        <v>503</v>
      </c>
      <c r="AE55" s="2">
        <v>45706</v>
      </c>
      <c r="AF55">
        <v>5.5</v>
      </c>
      <c r="AG55" s="17">
        <v>0.22916666666666599</v>
      </c>
      <c r="AH55" s="2">
        <v>45706</v>
      </c>
    </row>
    <row r="56" spans="1:34" hidden="1" x14ac:dyDescent="0.25">
      <c r="A56" s="12">
        <v>8259</v>
      </c>
      <c r="B56" s="12">
        <v>298</v>
      </c>
      <c r="C56" t="s">
        <v>104</v>
      </c>
      <c r="D56">
        <v>247002</v>
      </c>
      <c r="E56" s="8" t="s">
        <v>105</v>
      </c>
      <c r="F56" s="12">
        <v>21</v>
      </c>
      <c r="G56" s="8" t="s">
        <v>44</v>
      </c>
      <c r="H56" s="12">
        <v>3202</v>
      </c>
      <c r="I56" t="s">
        <v>49</v>
      </c>
      <c r="K56" t="s">
        <v>63</v>
      </c>
      <c r="N56" s="12"/>
      <c r="O56" s="8"/>
      <c r="P56">
        <v>1</v>
      </c>
      <c r="Q56" s="8">
        <v>1</v>
      </c>
      <c r="R56" s="12">
        <v>1</v>
      </c>
      <c r="S56" s="8">
        <v>1</v>
      </c>
      <c r="T56" s="12"/>
      <c r="U56" s="8"/>
      <c r="V56" s="2">
        <v>45658</v>
      </c>
      <c r="W56" s="2">
        <v>1</v>
      </c>
      <c r="X56" s="2">
        <v>45691</v>
      </c>
      <c r="Y56" s="2">
        <v>45688</v>
      </c>
      <c r="Z56" s="2"/>
      <c r="AB56">
        <v>8259</v>
      </c>
      <c r="AC56">
        <v>71490</v>
      </c>
      <c r="AD56" t="s">
        <v>503</v>
      </c>
      <c r="AE56" s="2">
        <v>45705</v>
      </c>
      <c r="AF56">
        <v>5.7</v>
      </c>
      <c r="AG56" s="17">
        <v>0.23749999999999999</v>
      </c>
      <c r="AH56" s="2">
        <v>45706</v>
      </c>
    </row>
    <row r="57" spans="1:34" hidden="1" x14ac:dyDescent="0.25">
      <c r="A57" s="12">
        <v>8259</v>
      </c>
      <c r="B57" s="12">
        <v>298</v>
      </c>
      <c r="C57" t="s">
        <v>104</v>
      </c>
      <c r="D57">
        <v>247002</v>
      </c>
      <c r="E57" s="8" t="s">
        <v>105</v>
      </c>
      <c r="F57" s="12">
        <v>21</v>
      </c>
      <c r="G57" s="8" t="s">
        <v>44</v>
      </c>
      <c r="H57" s="12">
        <v>3202</v>
      </c>
      <c r="I57" t="s">
        <v>49</v>
      </c>
      <c r="K57" t="s">
        <v>63</v>
      </c>
      <c r="N57" s="12"/>
      <c r="O57" s="8"/>
      <c r="P57">
        <v>1</v>
      </c>
      <c r="Q57" s="8">
        <v>1</v>
      </c>
      <c r="R57" s="12">
        <v>1</v>
      </c>
      <c r="S57" s="8">
        <v>1</v>
      </c>
      <c r="T57" s="12"/>
      <c r="U57" s="8"/>
      <c r="V57" s="2">
        <v>45658</v>
      </c>
      <c r="W57" s="2">
        <v>1</v>
      </c>
      <c r="X57" s="2">
        <v>45691</v>
      </c>
      <c r="Y57" s="2">
        <v>45688</v>
      </c>
      <c r="Z57" s="2"/>
      <c r="AB57">
        <v>8259</v>
      </c>
      <c r="AC57">
        <v>70860</v>
      </c>
      <c r="AD57" t="s">
        <v>504</v>
      </c>
      <c r="AE57" s="2">
        <v>45702</v>
      </c>
      <c r="AF57">
        <v>1</v>
      </c>
      <c r="AG57" s="17">
        <v>4.1666666666666602E-2</v>
      </c>
      <c r="AH57" s="2">
        <v>45702</v>
      </c>
    </row>
    <row r="58" spans="1:34" hidden="1" x14ac:dyDescent="0.25">
      <c r="A58" s="12">
        <v>8259</v>
      </c>
      <c r="B58" s="12">
        <v>298</v>
      </c>
      <c r="C58" t="s">
        <v>104</v>
      </c>
      <c r="D58">
        <v>247002</v>
      </c>
      <c r="E58" s="8" t="s">
        <v>105</v>
      </c>
      <c r="F58" s="12">
        <v>21</v>
      </c>
      <c r="G58" s="8" t="s">
        <v>44</v>
      </c>
      <c r="H58" s="12">
        <v>3202</v>
      </c>
      <c r="I58" t="s">
        <v>49</v>
      </c>
      <c r="K58" t="s">
        <v>63</v>
      </c>
      <c r="N58" s="12"/>
      <c r="O58" s="8"/>
      <c r="P58">
        <v>1</v>
      </c>
      <c r="Q58" s="8">
        <v>1</v>
      </c>
      <c r="R58" s="12">
        <v>1</v>
      </c>
      <c r="S58" s="8">
        <v>1</v>
      </c>
      <c r="T58" s="12"/>
      <c r="U58" s="8"/>
      <c r="V58" s="2">
        <v>45658</v>
      </c>
      <c r="W58" s="2">
        <v>1</v>
      </c>
      <c r="X58" s="2">
        <v>45691</v>
      </c>
      <c r="Y58" s="2">
        <v>45688</v>
      </c>
      <c r="Z58" s="2"/>
      <c r="AB58">
        <v>8259</v>
      </c>
      <c r="AC58">
        <v>70841</v>
      </c>
      <c r="AD58" t="s">
        <v>505</v>
      </c>
      <c r="AE58" s="2">
        <v>45702</v>
      </c>
      <c r="AF58">
        <v>3</v>
      </c>
      <c r="AG58" s="17">
        <v>0.125</v>
      </c>
      <c r="AH58" s="2">
        <v>45702</v>
      </c>
    </row>
    <row r="59" spans="1:34" hidden="1" x14ac:dyDescent="0.25">
      <c r="A59" s="12">
        <v>8259</v>
      </c>
      <c r="B59" s="12">
        <v>298</v>
      </c>
      <c r="C59" t="s">
        <v>104</v>
      </c>
      <c r="D59">
        <v>247002</v>
      </c>
      <c r="E59" s="8" t="s">
        <v>105</v>
      </c>
      <c r="F59" s="12">
        <v>21</v>
      </c>
      <c r="G59" s="8" t="s">
        <v>44</v>
      </c>
      <c r="H59" s="12">
        <v>3202</v>
      </c>
      <c r="I59" t="s">
        <v>49</v>
      </c>
      <c r="K59" t="s">
        <v>63</v>
      </c>
      <c r="N59" s="12"/>
      <c r="O59" s="8"/>
      <c r="P59">
        <v>1</v>
      </c>
      <c r="Q59" s="8">
        <v>1</v>
      </c>
      <c r="R59" s="12">
        <v>1</v>
      </c>
      <c r="S59" s="8">
        <v>1</v>
      </c>
      <c r="T59" s="12"/>
      <c r="U59" s="8"/>
      <c r="V59" s="2">
        <v>45658</v>
      </c>
      <c r="W59" s="2">
        <v>1</v>
      </c>
      <c r="X59" s="2">
        <v>45691</v>
      </c>
      <c r="Y59" s="2">
        <v>45688</v>
      </c>
      <c r="Z59" s="2"/>
      <c r="AB59">
        <v>8259</v>
      </c>
      <c r="AC59">
        <v>70805</v>
      </c>
      <c r="AD59" t="s">
        <v>506</v>
      </c>
      <c r="AE59" s="2">
        <v>45702</v>
      </c>
      <c r="AF59">
        <v>4</v>
      </c>
      <c r="AG59" s="17">
        <v>0.16666666666666599</v>
      </c>
      <c r="AH59" s="2">
        <v>45702</v>
      </c>
    </row>
    <row r="60" spans="1:34" hidden="1" x14ac:dyDescent="0.25">
      <c r="A60" s="12">
        <v>8259</v>
      </c>
      <c r="B60" s="12">
        <v>298</v>
      </c>
      <c r="C60" t="s">
        <v>104</v>
      </c>
      <c r="D60">
        <v>247002</v>
      </c>
      <c r="E60" s="8" t="s">
        <v>105</v>
      </c>
      <c r="F60" s="12">
        <v>21</v>
      </c>
      <c r="G60" s="8" t="s">
        <v>44</v>
      </c>
      <c r="H60" s="12">
        <v>3202</v>
      </c>
      <c r="I60" t="s">
        <v>49</v>
      </c>
      <c r="K60" t="s">
        <v>63</v>
      </c>
      <c r="N60" s="12"/>
      <c r="O60" s="8"/>
      <c r="P60">
        <v>1</v>
      </c>
      <c r="Q60" s="8">
        <v>1</v>
      </c>
      <c r="R60" s="12">
        <v>1</v>
      </c>
      <c r="S60" s="8">
        <v>1</v>
      </c>
      <c r="T60" s="12"/>
      <c r="U60" s="8"/>
      <c r="V60" s="2">
        <v>45658</v>
      </c>
      <c r="W60" s="2">
        <v>1</v>
      </c>
      <c r="X60" s="2">
        <v>45691</v>
      </c>
      <c r="Y60" s="2">
        <v>45688</v>
      </c>
      <c r="Z60" s="2"/>
      <c r="AB60">
        <v>8259</v>
      </c>
      <c r="AC60">
        <v>70836</v>
      </c>
      <c r="AD60" t="s">
        <v>507</v>
      </c>
      <c r="AE60" s="2">
        <v>45701</v>
      </c>
      <c r="AF60">
        <v>3</v>
      </c>
      <c r="AG60" s="17">
        <v>0.125</v>
      </c>
      <c r="AH60" s="2">
        <v>45702</v>
      </c>
    </row>
    <row r="61" spans="1:34" hidden="1" x14ac:dyDescent="0.25">
      <c r="A61" s="12">
        <v>8259</v>
      </c>
      <c r="B61" s="12">
        <v>298</v>
      </c>
      <c r="C61" t="s">
        <v>104</v>
      </c>
      <c r="D61">
        <v>247002</v>
      </c>
      <c r="E61" s="8" t="s">
        <v>105</v>
      </c>
      <c r="F61" s="12">
        <v>21</v>
      </c>
      <c r="G61" s="8" t="s">
        <v>44</v>
      </c>
      <c r="H61" s="12">
        <v>3202</v>
      </c>
      <c r="I61" t="s">
        <v>49</v>
      </c>
      <c r="K61" t="s">
        <v>63</v>
      </c>
      <c r="N61" s="12"/>
      <c r="O61" s="8"/>
      <c r="P61">
        <v>1</v>
      </c>
      <c r="Q61" s="8">
        <v>1</v>
      </c>
      <c r="R61" s="12">
        <v>1</v>
      </c>
      <c r="S61" s="8">
        <v>1</v>
      </c>
      <c r="T61" s="12"/>
      <c r="U61" s="8"/>
      <c r="V61" s="2">
        <v>45658</v>
      </c>
      <c r="W61" s="2">
        <v>1</v>
      </c>
      <c r="X61" s="2">
        <v>45691</v>
      </c>
      <c r="Y61" s="2">
        <v>45688</v>
      </c>
      <c r="Z61" s="2"/>
      <c r="AB61">
        <v>8259</v>
      </c>
      <c r="AC61">
        <v>69976</v>
      </c>
      <c r="AD61" t="s">
        <v>508</v>
      </c>
      <c r="AE61" s="2">
        <v>45700</v>
      </c>
      <c r="AF61">
        <v>1.2</v>
      </c>
      <c r="AG61" s="17">
        <v>4.9999999999999899E-2</v>
      </c>
      <c r="AH61" s="2">
        <v>45700</v>
      </c>
    </row>
    <row r="62" spans="1:34" hidden="1" x14ac:dyDescent="0.25">
      <c r="A62" s="12">
        <v>8259</v>
      </c>
      <c r="B62" s="12">
        <v>298</v>
      </c>
      <c r="C62" t="s">
        <v>104</v>
      </c>
      <c r="D62">
        <v>247002</v>
      </c>
      <c r="E62" s="8" t="s">
        <v>105</v>
      </c>
      <c r="F62" s="12">
        <v>21</v>
      </c>
      <c r="G62" s="8" t="s">
        <v>44</v>
      </c>
      <c r="H62" s="12">
        <v>3202</v>
      </c>
      <c r="I62" t="s">
        <v>49</v>
      </c>
      <c r="K62" t="s">
        <v>63</v>
      </c>
      <c r="N62" s="12"/>
      <c r="O62" s="8"/>
      <c r="P62">
        <v>1</v>
      </c>
      <c r="Q62" s="8">
        <v>1</v>
      </c>
      <c r="R62" s="12">
        <v>1</v>
      </c>
      <c r="S62" s="8">
        <v>1</v>
      </c>
      <c r="T62" s="12"/>
      <c r="U62" s="8"/>
      <c r="V62" s="2">
        <v>45658</v>
      </c>
      <c r="W62" s="2">
        <v>1</v>
      </c>
      <c r="X62" s="2">
        <v>45691</v>
      </c>
      <c r="Y62" s="2">
        <v>45688</v>
      </c>
      <c r="Z62" s="2"/>
      <c r="AB62">
        <v>8259</v>
      </c>
      <c r="AC62">
        <v>69975</v>
      </c>
      <c r="AD62" t="s">
        <v>509</v>
      </c>
      <c r="AE62" s="2">
        <v>45700</v>
      </c>
      <c r="AF62">
        <v>8</v>
      </c>
      <c r="AG62" s="17">
        <v>0.33333333333333298</v>
      </c>
      <c r="AH62" s="2">
        <v>45700</v>
      </c>
    </row>
    <row r="63" spans="1:34" hidden="1" x14ac:dyDescent="0.25">
      <c r="A63" s="12">
        <v>8259</v>
      </c>
      <c r="B63" s="12">
        <v>298</v>
      </c>
      <c r="C63" t="s">
        <v>104</v>
      </c>
      <c r="D63">
        <v>247002</v>
      </c>
      <c r="E63" s="8" t="s">
        <v>105</v>
      </c>
      <c r="F63" s="12">
        <v>21</v>
      </c>
      <c r="G63" s="8" t="s">
        <v>44</v>
      </c>
      <c r="H63" s="12">
        <v>3202</v>
      </c>
      <c r="I63" t="s">
        <v>49</v>
      </c>
      <c r="K63" t="s">
        <v>63</v>
      </c>
      <c r="N63" s="12"/>
      <c r="O63" s="8"/>
      <c r="P63">
        <v>1</v>
      </c>
      <c r="Q63" s="8">
        <v>1</v>
      </c>
      <c r="R63" s="12">
        <v>1</v>
      </c>
      <c r="S63" s="8">
        <v>1</v>
      </c>
      <c r="T63" s="12"/>
      <c r="U63" s="8"/>
      <c r="V63" s="2">
        <v>45658</v>
      </c>
      <c r="W63" s="2">
        <v>1</v>
      </c>
      <c r="X63" s="2">
        <v>45691</v>
      </c>
      <c r="Y63" s="2">
        <v>45688</v>
      </c>
      <c r="Z63" s="2"/>
      <c r="AB63">
        <v>8259</v>
      </c>
      <c r="AC63">
        <v>69977</v>
      </c>
      <c r="AD63" t="s">
        <v>510</v>
      </c>
      <c r="AE63" s="2">
        <v>45699</v>
      </c>
      <c r="AF63">
        <v>0.68333333333333302</v>
      </c>
      <c r="AG63" s="17">
        <v>2.8472222222222201E-2</v>
      </c>
      <c r="AH63" s="2">
        <v>45700</v>
      </c>
    </row>
    <row r="64" spans="1:34" hidden="1" x14ac:dyDescent="0.25">
      <c r="A64" s="12">
        <v>8259</v>
      </c>
      <c r="B64" s="12">
        <v>298</v>
      </c>
      <c r="C64" t="s">
        <v>104</v>
      </c>
      <c r="D64">
        <v>247002</v>
      </c>
      <c r="E64" s="8" t="s">
        <v>105</v>
      </c>
      <c r="F64" s="12">
        <v>21</v>
      </c>
      <c r="G64" s="8" t="s">
        <v>44</v>
      </c>
      <c r="H64" s="12">
        <v>3202</v>
      </c>
      <c r="I64" t="s">
        <v>49</v>
      </c>
      <c r="K64" t="s">
        <v>63</v>
      </c>
      <c r="N64" s="12"/>
      <c r="O64" s="8"/>
      <c r="P64">
        <v>1</v>
      </c>
      <c r="Q64" s="8">
        <v>1</v>
      </c>
      <c r="R64" s="12">
        <v>1</v>
      </c>
      <c r="S64" s="8">
        <v>1</v>
      </c>
      <c r="T64" s="12"/>
      <c r="U64" s="8"/>
      <c r="V64" s="2">
        <v>45658</v>
      </c>
      <c r="W64" s="2">
        <v>1</v>
      </c>
      <c r="X64" s="2">
        <v>45691</v>
      </c>
      <c r="Y64" s="2">
        <v>45688</v>
      </c>
      <c r="Z64" s="2"/>
      <c r="AB64">
        <v>8259</v>
      </c>
      <c r="AC64">
        <v>69974</v>
      </c>
      <c r="AD64" t="s">
        <v>509</v>
      </c>
      <c r="AE64" s="2">
        <v>45699</v>
      </c>
      <c r="AF64">
        <v>8</v>
      </c>
      <c r="AG64" s="17">
        <v>0.33333333333333298</v>
      </c>
      <c r="AH64" s="2">
        <v>45700</v>
      </c>
    </row>
    <row r="65" spans="1:34" hidden="1" x14ac:dyDescent="0.25">
      <c r="A65" s="12">
        <v>8259</v>
      </c>
      <c r="B65" s="12">
        <v>298</v>
      </c>
      <c r="C65" t="s">
        <v>104</v>
      </c>
      <c r="D65">
        <v>247002</v>
      </c>
      <c r="E65" s="8" t="s">
        <v>105</v>
      </c>
      <c r="F65" s="12">
        <v>21</v>
      </c>
      <c r="G65" s="8" t="s">
        <v>44</v>
      </c>
      <c r="H65" s="12">
        <v>3202</v>
      </c>
      <c r="I65" t="s">
        <v>49</v>
      </c>
      <c r="K65" t="s">
        <v>63</v>
      </c>
      <c r="N65" s="12"/>
      <c r="O65" s="8"/>
      <c r="P65">
        <v>1</v>
      </c>
      <c r="Q65" s="8">
        <v>1</v>
      </c>
      <c r="R65" s="12">
        <v>1</v>
      </c>
      <c r="S65" s="8">
        <v>1</v>
      </c>
      <c r="T65" s="12"/>
      <c r="U65" s="8"/>
      <c r="V65" s="2">
        <v>45658</v>
      </c>
      <c r="W65" s="2">
        <v>1</v>
      </c>
      <c r="X65" s="2">
        <v>45691</v>
      </c>
      <c r="Y65" s="2">
        <v>45688</v>
      </c>
      <c r="Z65" s="2"/>
      <c r="AB65">
        <v>8259</v>
      </c>
      <c r="AC65">
        <v>69098</v>
      </c>
      <c r="AD65" t="s">
        <v>511</v>
      </c>
      <c r="AE65" s="2">
        <v>45694</v>
      </c>
      <c r="AF65">
        <v>3</v>
      </c>
      <c r="AG65" s="17">
        <v>0.125</v>
      </c>
      <c r="AH65" s="2">
        <v>45696</v>
      </c>
    </row>
    <row r="66" spans="1:34" hidden="1" x14ac:dyDescent="0.25">
      <c r="A66" s="12">
        <v>8259</v>
      </c>
      <c r="B66" s="12">
        <v>298</v>
      </c>
      <c r="C66" t="s">
        <v>104</v>
      </c>
      <c r="D66">
        <v>247002</v>
      </c>
      <c r="E66" s="8" t="s">
        <v>105</v>
      </c>
      <c r="F66" s="12">
        <v>21</v>
      </c>
      <c r="G66" s="8" t="s">
        <v>44</v>
      </c>
      <c r="H66" s="12">
        <v>3202</v>
      </c>
      <c r="I66" t="s">
        <v>49</v>
      </c>
      <c r="K66" t="s">
        <v>63</v>
      </c>
      <c r="N66" s="12"/>
      <c r="O66" s="8"/>
      <c r="P66">
        <v>1</v>
      </c>
      <c r="Q66" s="8">
        <v>1</v>
      </c>
      <c r="R66" s="12">
        <v>1</v>
      </c>
      <c r="S66" s="8">
        <v>1</v>
      </c>
      <c r="T66" s="12"/>
      <c r="U66" s="8"/>
      <c r="V66" s="2">
        <v>45658</v>
      </c>
      <c r="W66" s="2">
        <v>1</v>
      </c>
      <c r="X66" s="2">
        <v>45691</v>
      </c>
      <c r="Y66" s="2">
        <v>45688</v>
      </c>
      <c r="Z66" s="2"/>
      <c r="AB66">
        <v>8259</v>
      </c>
      <c r="AC66">
        <v>68013</v>
      </c>
      <c r="AD66" t="s">
        <v>512</v>
      </c>
      <c r="AE66" s="2">
        <v>45693</v>
      </c>
      <c r="AF66">
        <v>2</v>
      </c>
      <c r="AG66" s="17">
        <v>8.3333333333333301E-2</v>
      </c>
      <c r="AH66" s="2">
        <v>45693</v>
      </c>
    </row>
    <row r="67" spans="1:34" hidden="1" x14ac:dyDescent="0.25">
      <c r="A67" s="12">
        <v>8259</v>
      </c>
      <c r="B67" s="12">
        <v>298</v>
      </c>
      <c r="C67" t="s">
        <v>104</v>
      </c>
      <c r="D67">
        <v>247002</v>
      </c>
      <c r="E67" s="8" t="s">
        <v>105</v>
      </c>
      <c r="F67" s="12">
        <v>21</v>
      </c>
      <c r="G67" s="8" t="s">
        <v>44</v>
      </c>
      <c r="H67" s="12">
        <v>3202</v>
      </c>
      <c r="I67" t="s">
        <v>49</v>
      </c>
      <c r="K67" t="s">
        <v>63</v>
      </c>
      <c r="N67" s="12"/>
      <c r="O67" s="8"/>
      <c r="P67">
        <v>1</v>
      </c>
      <c r="Q67" s="8">
        <v>1</v>
      </c>
      <c r="R67" s="12">
        <v>1</v>
      </c>
      <c r="S67" s="8">
        <v>1</v>
      </c>
      <c r="T67" s="12"/>
      <c r="U67" s="8"/>
      <c r="V67" s="2">
        <v>45658</v>
      </c>
      <c r="W67" s="2">
        <v>1</v>
      </c>
      <c r="X67" s="2">
        <v>45691</v>
      </c>
      <c r="Y67" s="2">
        <v>45688</v>
      </c>
      <c r="Z67" s="2"/>
      <c r="AB67">
        <v>8259</v>
      </c>
      <c r="AC67">
        <v>68012</v>
      </c>
      <c r="AD67" t="s">
        <v>513</v>
      </c>
      <c r="AE67" s="2">
        <v>45686</v>
      </c>
      <c r="AF67">
        <v>2</v>
      </c>
      <c r="AG67" s="17">
        <v>8.3333333333333301E-2</v>
      </c>
      <c r="AH67" s="2">
        <v>45693</v>
      </c>
    </row>
    <row r="68" spans="1:34" hidden="1" x14ac:dyDescent="0.25">
      <c r="A68" s="12">
        <v>8259</v>
      </c>
      <c r="B68" s="12">
        <v>298</v>
      </c>
      <c r="C68" t="s">
        <v>104</v>
      </c>
      <c r="D68">
        <v>247002</v>
      </c>
      <c r="E68" s="8" t="s">
        <v>105</v>
      </c>
      <c r="F68" s="12">
        <v>21</v>
      </c>
      <c r="G68" s="8" t="s">
        <v>44</v>
      </c>
      <c r="H68" s="12">
        <v>3202</v>
      </c>
      <c r="I68" t="s">
        <v>49</v>
      </c>
      <c r="K68" t="s">
        <v>63</v>
      </c>
      <c r="N68" s="12"/>
      <c r="O68" s="8"/>
      <c r="P68">
        <v>1</v>
      </c>
      <c r="Q68" s="8">
        <v>1</v>
      </c>
      <c r="R68" s="12">
        <v>1</v>
      </c>
      <c r="S68" s="8">
        <v>1</v>
      </c>
      <c r="T68" s="12"/>
      <c r="U68" s="8"/>
      <c r="V68" s="2">
        <v>45658</v>
      </c>
      <c r="W68" s="2">
        <v>1</v>
      </c>
      <c r="X68" s="2">
        <v>45691</v>
      </c>
      <c r="Y68" s="2">
        <v>45688</v>
      </c>
      <c r="Z68" s="2"/>
      <c r="AB68">
        <v>8259</v>
      </c>
      <c r="AC68">
        <v>68011</v>
      </c>
      <c r="AD68" t="s">
        <v>514</v>
      </c>
      <c r="AE68" s="2">
        <v>45686</v>
      </c>
      <c r="AF68">
        <v>1.5</v>
      </c>
      <c r="AG68" s="17">
        <v>6.25E-2</v>
      </c>
      <c r="AH68" s="2">
        <v>45693</v>
      </c>
    </row>
    <row r="69" spans="1:34" hidden="1" x14ac:dyDescent="0.25">
      <c r="A69" s="12">
        <v>8259</v>
      </c>
      <c r="B69" s="12">
        <v>298</v>
      </c>
      <c r="C69" t="s">
        <v>104</v>
      </c>
      <c r="D69">
        <v>247002</v>
      </c>
      <c r="E69" s="8" t="s">
        <v>105</v>
      </c>
      <c r="F69" s="12">
        <v>21</v>
      </c>
      <c r="G69" s="8" t="s">
        <v>44</v>
      </c>
      <c r="H69" s="12">
        <v>3202</v>
      </c>
      <c r="I69" t="s">
        <v>49</v>
      </c>
      <c r="K69" t="s">
        <v>63</v>
      </c>
      <c r="N69" s="12"/>
      <c r="O69" s="8"/>
      <c r="P69">
        <v>1</v>
      </c>
      <c r="Q69" s="8">
        <v>1</v>
      </c>
      <c r="R69" s="12">
        <v>1</v>
      </c>
      <c r="S69" s="8">
        <v>1</v>
      </c>
      <c r="T69" s="12"/>
      <c r="U69" s="8"/>
      <c r="V69" s="2">
        <v>45658</v>
      </c>
      <c r="W69" s="2">
        <v>1</v>
      </c>
      <c r="X69" s="2">
        <v>45691</v>
      </c>
      <c r="Y69" s="2">
        <v>45688</v>
      </c>
      <c r="Z69" s="2"/>
      <c r="AB69">
        <v>8259</v>
      </c>
      <c r="AC69">
        <v>68010</v>
      </c>
      <c r="AD69" t="s">
        <v>515</v>
      </c>
      <c r="AE69" s="2">
        <v>45686</v>
      </c>
      <c r="AF69">
        <v>1.5</v>
      </c>
      <c r="AG69" s="17">
        <v>6.25E-2</v>
      </c>
      <c r="AH69" s="2">
        <v>45693</v>
      </c>
    </row>
    <row r="70" spans="1:34" hidden="1" x14ac:dyDescent="0.25">
      <c r="A70" s="12">
        <v>8259</v>
      </c>
      <c r="B70" s="12">
        <v>298</v>
      </c>
      <c r="C70" t="s">
        <v>104</v>
      </c>
      <c r="D70">
        <v>247002</v>
      </c>
      <c r="E70" s="8" t="s">
        <v>105</v>
      </c>
      <c r="F70" s="12">
        <v>21</v>
      </c>
      <c r="G70" s="8" t="s">
        <v>44</v>
      </c>
      <c r="H70" s="12">
        <v>3202</v>
      </c>
      <c r="I70" t="s">
        <v>49</v>
      </c>
      <c r="K70" t="s">
        <v>63</v>
      </c>
      <c r="N70" s="12"/>
      <c r="O70" s="8"/>
      <c r="P70">
        <v>1</v>
      </c>
      <c r="Q70" s="8">
        <v>1</v>
      </c>
      <c r="R70" s="12">
        <v>1</v>
      </c>
      <c r="S70" s="8">
        <v>1</v>
      </c>
      <c r="T70" s="12"/>
      <c r="U70" s="8"/>
      <c r="V70" s="2">
        <v>45658</v>
      </c>
      <c r="W70" s="2">
        <v>1</v>
      </c>
      <c r="X70" s="2">
        <v>45691</v>
      </c>
      <c r="Y70" s="2">
        <v>45688</v>
      </c>
      <c r="Z70" s="2"/>
      <c r="AB70">
        <v>8259</v>
      </c>
      <c r="AC70">
        <v>68009</v>
      </c>
      <c r="AD70" t="s">
        <v>516</v>
      </c>
      <c r="AE70" s="2">
        <v>45686</v>
      </c>
      <c r="AF70">
        <v>3</v>
      </c>
      <c r="AG70" s="17">
        <v>0.125</v>
      </c>
      <c r="AH70" s="2">
        <v>45693</v>
      </c>
    </row>
    <row r="71" spans="1:34" hidden="1" x14ac:dyDescent="0.25">
      <c r="A71" s="12">
        <v>8259</v>
      </c>
      <c r="B71" s="12">
        <v>298</v>
      </c>
      <c r="C71" t="s">
        <v>104</v>
      </c>
      <c r="D71">
        <v>247002</v>
      </c>
      <c r="E71" s="8" t="s">
        <v>105</v>
      </c>
      <c r="F71" s="12">
        <v>21</v>
      </c>
      <c r="G71" s="8" t="s">
        <v>44</v>
      </c>
      <c r="H71" s="12">
        <v>3202</v>
      </c>
      <c r="I71" t="s">
        <v>49</v>
      </c>
      <c r="K71" t="s">
        <v>63</v>
      </c>
      <c r="N71" s="12"/>
      <c r="O71" s="8"/>
      <c r="P71">
        <v>1</v>
      </c>
      <c r="Q71" s="8">
        <v>1</v>
      </c>
      <c r="R71" s="12">
        <v>1</v>
      </c>
      <c r="S71" s="8">
        <v>1</v>
      </c>
      <c r="T71" s="12"/>
      <c r="U71" s="8"/>
      <c r="V71" s="2">
        <v>45658</v>
      </c>
      <c r="W71" s="2">
        <v>1</v>
      </c>
      <c r="X71" s="2">
        <v>45691</v>
      </c>
      <c r="Y71" s="2">
        <v>45688</v>
      </c>
      <c r="Z71" s="2"/>
      <c r="AB71">
        <v>8259</v>
      </c>
      <c r="AC71">
        <v>68008</v>
      </c>
      <c r="AD71" t="s">
        <v>517</v>
      </c>
      <c r="AE71" s="2">
        <v>45685</v>
      </c>
      <c r="AF71">
        <v>5</v>
      </c>
      <c r="AG71" s="17">
        <v>0.20833333333333301</v>
      </c>
      <c r="AH71" s="2">
        <v>45693</v>
      </c>
    </row>
    <row r="72" spans="1:34" hidden="1" x14ac:dyDescent="0.25">
      <c r="A72" s="12">
        <v>8259</v>
      </c>
      <c r="B72" s="12">
        <v>298</v>
      </c>
      <c r="C72" t="s">
        <v>104</v>
      </c>
      <c r="D72">
        <v>247002</v>
      </c>
      <c r="E72" s="8" t="s">
        <v>105</v>
      </c>
      <c r="F72" s="12">
        <v>21</v>
      </c>
      <c r="G72" s="8" t="s">
        <v>44</v>
      </c>
      <c r="H72" s="12">
        <v>3202</v>
      </c>
      <c r="I72" t="s">
        <v>49</v>
      </c>
      <c r="K72" t="s">
        <v>63</v>
      </c>
      <c r="N72" s="12"/>
      <c r="O72" s="8"/>
      <c r="P72">
        <v>1</v>
      </c>
      <c r="Q72" s="8">
        <v>1</v>
      </c>
      <c r="R72" s="12">
        <v>1</v>
      </c>
      <c r="S72" s="8">
        <v>1</v>
      </c>
      <c r="T72" s="12"/>
      <c r="U72" s="8"/>
      <c r="V72" s="2">
        <v>45658</v>
      </c>
      <c r="W72" s="2">
        <v>1</v>
      </c>
      <c r="X72" s="2">
        <v>45691</v>
      </c>
      <c r="Y72" s="2">
        <v>45688</v>
      </c>
      <c r="Z72" s="2"/>
      <c r="AB72">
        <v>8259</v>
      </c>
      <c r="AC72">
        <v>68007</v>
      </c>
      <c r="AD72" t="s">
        <v>518</v>
      </c>
      <c r="AE72" s="2">
        <v>45685</v>
      </c>
      <c r="AF72">
        <v>3</v>
      </c>
      <c r="AG72" s="17">
        <v>0.125</v>
      </c>
      <c r="AH72" s="2">
        <v>45693</v>
      </c>
    </row>
    <row r="73" spans="1:34" hidden="1" x14ac:dyDescent="0.25">
      <c r="A73" s="12">
        <v>8259</v>
      </c>
      <c r="B73" s="12">
        <v>298</v>
      </c>
      <c r="C73" t="s">
        <v>104</v>
      </c>
      <c r="D73">
        <v>247002</v>
      </c>
      <c r="E73" s="8" t="s">
        <v>105</v>
      </c>
      <c r="F73" s="12">
        <v>21</v>
      </c>
      <c r="G73" s="8" t="s">
        <v>44</v>
      </c>
      <c r="H73" s="12">
        <v>3202</v>
      </c>
      <c r="I73" t="s">
        <v>49</v>
      </c>
      <c r="K73" t="s">
        <v>63</v>
      </c>
      <c r="N73" s="12"/>
      <c r="O73" s="8"/>
      <c r="P73">
        <v>1</v>
      </c>
      <c r="Q73" s="8">
        <v>1</v>
      </c>
      <c r="R73" s="12">
        <v>1</v>
      </c>
      <c r="S73" s="8">
        <v>1</v>
      </c>
      <c r="T73" s="12"/>
      <c r="U73" s="8"/>
      <c r="V73" s="2">
        <v>45658</v>
      </c>
      <c r="W73" s="2">
        <v>1</v>
      </c>
      <c r="X73" s="2">
        <v>45691</v>
      </c>
      <c r="Y73" s="2">
        <v>45688</v>
      </c>
      <c r="Z73" s="2"/>
      <c r="AB73">
        <v>8259</v>
      </c>
      <c r="AC73">
        <v>68006</v>
      </c>
      <c r="AD73" t="s">
        <v>519</v>
      </c>
      <c r="AE73" s="2">
        <v>45684</v>
      </c>
      <c r="AF73">
        <v>2</v>
      </c>
      <c r="AG73" s="17">
        <v>8.3333333333333301E-2</v>
      </c>
      <c r="AH73" s="2">
        <v>45693</v>
      </c>
    </row>
    <row r="74" spans="1:34" hidden="1" x14ac:dyDescent="0.25">
      <c r="A74" s="12">
        <v>8410</v>
      </c>
      <c r="B74" s="12">
        <v>300</v>
      </c>
      <c r="C74" t="s">
        <v>262</v>
      </c>
      <c r="D74">
        <v>293171</v>
      </c>
      <c r="E74" s="8" t="s">
        <v>100</v>
      </c>
      <c r="F74" s="12">
        <v>21</v>
      </c>
      <c r="G74" s="8" t="s">
        <v>44</v>
      </c>
      <c r="H74" s="12">
        <v>195</v>
      </c>
      <c r="I74" t="s">
        <v>346</v>
      </c>
      <c r="J74" t="s">
        <v>62</v>
      </c>
      <c r="K74" t="s">
        <v>101</v>
      </c>
      <c r="N74" s="12"/>
      <c r="O74" s="8"/>
      <c r="P74">
        <v>1</v>
      </c>
      <c r="Q74" s="8">
        <v>1</v>
      </c>
      <c r="R74" s="12">
        <v>2</v>
      </c>
      <c r="S74" s="8">
        <v>2</v>
      </c>
      <c r="T74" s="12"/>
      <c r="U74" s="8"/>
      <c r="V74" s="2">
        <v>45658</v>
      </c>
      <c r="W74" s="2">
        <v>1</v>
      </c>
      <c r="X74" s="2">
        <v>45726</v>
      </c>
      <c r="Y74" s="2">
        <v>45726</v>
      </c>
      <c r="Z74" s="2"/>
      <c r="AA74" t="s">
        <v>263</v>
      </c>
      <c r="AE74" s="2"/>
      <c r="AG74" s="17"/>
      <c r="AH74" s="2"/>
    </row>
    <row r="75" spans="1:34" hidden="1" x14ac:dyDescent="0.25">
      <c r="A75" s="12">
        <v>8264</v>
      </c>
      <c r="B75" s="12">
        <v>301</v>
      </c>
      <c r="C75" t="s">
        <v>106</v>
      </c>
      <c r="E75" s="8"/>
      <c r="F75" s="12">
        <v>29</v>
      </c>
      <c r="G75" s="8" t="s">
        <v>69</v>
      </c>
      <c r="H75" s="12">
        <v>3202</v>
      </c>
      <c r="I75" t="s">
        <v>49</v>
      </c>
      <c r="J75" t="s">
        <v>62</v>
      </c>
      <c r="K75" t="s">
        <v>63</v>
      </c>
      <c r="N75" s="12"/>
      <c r="O75" s="8"/>
      <c r="P75">
        <v>3</v>
      </c>
      <c r="Q75" s="8">
        <v>3</v>
      </c>
      <c r="R75" s="12">
        <v>3</v>
      </c>
      <c r="S75" s="8">
        <v>3</v>
      </c>
      <c r="T75" s="12"/>
      <c r="U75" s="8"/>
      <c r="V75" s="2">
        <v>45658</v>
      </c>
      <c r="W75" s="2">
        <v>1</v>
      </c>
      <c r="X75" s="2">
        <v>45744</v>
      </c>
      <c r="Y75" s="2">
        <v>45791</v>
      </c>
      <c r="Z75" s="2"/>
      <c r="AE75" s="2"/>
      <c r="AG75" s="17"/>
      <c r="AH75" s="2"/>
    </row>
    <row r="76" spans="1:34" hidden="1" x14ac:dyDescent="0.25">
      <c r="A76" s="12">
        <v>8262</v>
      </c>
      <c r="B76" s="12">
        <v>302</v>
      </c>
      <c r="C76" t="s">
        <v>107</v>
      </c>
      <c r="E76" s="8"/>
      <c r="F76" s="12">
        <v>28</v>
      </c>
      <c r="G76" s="8" t="s">
        <v>42</v>
      </c>
      <c r="H76" s="12">
        <v>3202</v>
      </c>
      <c r="I76" t="s">
        <v>49</v>
      </c>
      <c r="J76" t="s">
        <v>62</v>
      </c>
      <c r="K76" t="s">
        <v>63</v>
      </c>
      <c r="N76" s="12"/>
      <c r="O76" s="8"/>
      <c r="P76">
        <v>3</v>
      </c>
      <c r="Q76" s="8">
        <v>3</v>
      </c>
      <c r="R76" s="12">
        <v>1</v>
      </c>
      <c r="S76" s="8">
        <v>1</v>
      </c>
      <c r="T76" s="12"/>
      <c r="U76" s="8"/>
      <c r="V76" s="2">
        <v>45658</v>
      </c>
      <c r="W76" s="2">
        <v>1</v>
      </c>
      <c r="X76" s="2">
        <v>45716</v>
      </c>
      <c r="Y76" s="2">
        <v>45726</v>
      </c>
      <c r="Z76" s="2"/>
      <c r="AE76" s="2"/>
      <c r="AG76" s="17"/>
      <c r="AH76" s="2"/>
    </row>
    <row r="77" spans="1:34" hidden="1" x14ac:dyDescent="0.25">
      <c r="A77" s="12">
        <v>8412</v>
      </c>
      <c r="B77" s="12">
        <v>309</v>
      </c>
      <c r="C77" t="s">
        <v>337</v>
      </c>
      <c r="D77">
        <v>247795</v>
      </c>
      <c r="E77" s="8" t="s">
        <v>75</v>
      </c>
      <c r="F77" s="12">
        <v>21</v>
      </c>
      <c r="G77" s="8" t="s">
        <v>44</v>
      </c>
      <c r="H77" s="12"/>
      <c r="J77" t="s">
        <v>62</v>
      </c>
      <c r="K77" t="s">
        <v>63</v>
      </c>
      <c r="N77" s="12"/>
      <c r="O77" s="8"/>
      <c r="P77">
        <v>1</v>
      </c>
      <c r="Q77" s="8">
        <v>1</v>
      </c>
      <c r="R77" s="12">
        <v>1</v>
      </c>
      <c r="S77" s="8">
        <v>1</v>
      </c>
      <c r="T77" s="12"/>
      <c r="U77" s="8"/>
      <c r="V77" s="2">
        <v>45658</v>
      </c>
      <c r="W77" s="2">
        <v>1</v>
      </c>
      <c r="X77" s="2">
        <v>45688</v>
      </c>
      <c r="Y77" s="2">
        <v>45688</v>
      </c>
      <c r="Z77" s="2"/>
      <c r="AA77" t="s">
        <v>108</v>
      </c>
      <c r="AE77" s="2"/>
      <c r="AG77" s="17"/>
      <c r="AH77" s="2"/>
    </row>
    <row r="78" spans="1:34" hidden="1" x14ac:dyDescent="0.25">
      <c r="A78" s="12">
        <v>8253</v>
      </c>
      <c r="B78" s="12">
        <v>310</v>
      </c>
      <c r="C78" t="s">
        <v>109</v>
      </c>
      <c r="E78" s="8"/>
      <c r="F78" s="12">
        <v>21</v>
      </c>
      <c r="G78" s="8" t="s">
        <v>44</v>
      </c>
      <c r="H78" s="12">
        <v>3200</v>
      </c>
      <c r="I78" t="s">
        <v>50</v>
      </c>
      <c r="J78" t="s">
        <v>62</v>
      </c>
      <c r="K78" t="s">
        <v>63</v>
      </c>
      <c r="N78" s="12"/>
      <c r="O78" s="8"/>
      <c r="P78">
        <v>1</v>
      </c>
      <c r="Q78" s="8">
        <v>1</v>
      </c>
      <c r="R78" s="12">
        <v>2</v>
      </c>
      <c r="S78" s="8">
        <v>2</v>
      </c>
      <c r="T78" s="12"/>
      <c r="U78" s="8"/>
      <c r="V78" s="2">
        <v>45658</v>
      </c>
      <c r="W78" s="2">
        <v>1</v>
      </c>
      <c r="X78" s="2">
        <v>45712</v>
      </c>
      <c r="Y78" s="2">
        <v>45712</v>
      </c>
      <c r="Z78" s="2"/>
      <c r="AA78" t="s">
        <v>110</v>
      </c>
      <c r="AB78">
        <v>8253</v>
      </c>
      <c r="AC78">
        <v>72076</v>
      </c>
      <c r="AD78" t="s">
        <v>347</v>
      </c>
      <c r="AE78" s="2">
        <v>45708</v>
      </c>
      <c r="AF78">
        <v>4</v>
      </c>
      <c r="AG78" s="17">
        <v>0.16666666666666599</v>
      </c>
      <c r="AH78" s="2">
        <v>45708</v>
      </c>
    </row>
    <row r="79" spans="1:34" hidden="1" x14ac:dyDescent="0.25">
      <c r="A79" s="12">
        <v>8253</v>
      </c>
      <c r="B79" s="12">
        <v>310</v>
      </c>
      <c r="C79" t="s">
        <v>109</v>
      </c>
      <c r="E79" s="8"/>
      <c r="F79" s="12">
        <v>21</v>
      </c>
      <c r="G79" s="8" t="s">
        <v>44</v>
      </c>
      <c r="H79" s="12">
        <v>3200</v>
      </c>
      <c r="I79" t="s">
        <v>50</v>
      </c>
      <c r="K79" t="s">
        <v>63</v>
      </c>
      <c r="N79" s="12"/>
      <c r="O79" s="8"/>
      <c r="P79">
        <v>1</v>
      </c>
      <c r="Q79" s="8">
        <v>1</v>
      </c>
      <c r="R79" s="12">
        <v>2</v>
      </c>
      <c r="S79" s="8">
        <v>2</v>
      </c>
      <c r="T79" s="12"/>
      <c r="U79" s="8"/>
      <c r="V79" s="2">
        <v>45658</v>
      </c>
      <c r="W79" s="2">
        <v>1</v>
      </c>
      <c r="X79" s="2">
        <v>45712</v>
      </c>
      <c r="Y79" s="2">
        <v>45712</v>
      </c>
      <c r="Z79" s="2"/>
      <c r="AA79" t="s">
        <v>110</v>
      </c>
      <c r="AB79">
        <v>8253</v>
      </c>
      <c r="AC79">
        <v>72074</v>
      </c>
      <c r="AD79" t="s">
        <v>520</v>
      </c>
      <c r="AE79" s="2">
        <v>45707</v>
      </c>
      <c r="AF79">
        <v>5.5</v>
      </c>
      <c r="AG79" s="17">
        <v>0.22916666666666599</v>
      </c>
      <c r="AH79" s="2">
        <v>45708</v>
      </c>
    </row>
    <row r="80" spans="1:34" hidden="1" x14ac:dyDescent="0.25">
      <c r="A80" s="12">
        <v>8253</v>
      </c>
      <c r="B80" s="12">
        <v>310</v>
      </c>
      <c r="C80" t="s">
        <v>109</v>
      </c>
      <c r="E80" s="8"/>
      <c r="F80" s="12">
        <v>21</v>
      </c>
      <c r="G80" s="8" t="s">
        <v>44</v>
      </c>
      <c r="H80" s="12">
        <v>3200</v>
      </c>
      <c r="I80" t="s">
        <v>50</v>
      </c>
      <c r="K80" t="s">
        <v>63</v>
      </c>
      <c r="N80" s="12"/>
      <c r="O80" s="8"/>
      <c r="P80">
        <v>1</v>
      </c>
      <c r="Q80" s="8">
        <v>1</v>
      </c>
      <c r="R80" s="12">
        <v>2</v>
      </c>
      <c r="S80" s="8">
        <v>2</v>
      </c>
      <c r="T80" s="12"/>
      <c r="U80" s="8"/>
      <c r="V80" s="2">
        <v>45658</v>
      </c>
      <c r="W80" s="2">
        <v>1</v>
      </c>
      <c r="X80" s="2">
        <v>45712</v>
      </c>
      <c r="Y80" s="2">
        <v>45712</v>
      </c>
      <c r="Z80" s="2"/>
      <c r="AA80" t="s">
        <v>110</v>
      </c>
      <c r="AB80">
        <v>8253</v>
      </c>
      <c r="AC80">
        <v>72069</v>
      </c>
      <c r="AD80" t="s">
        <v>521</v>
      </c>
      <c r="AE80" s="2">
        <v>45706</v>
      </c>
      <c r="AF80">
        <v>3</v>
      </c>
      <c r="AG80" s="17">
        <v>0.125</v>
      </c>
      <c r="AH80" s="2">
        <v>45708</v>
      </c>
    </row>
    <row r="81" spans="1:34" hidden="1" x14ac:dyDescent="0.25">
      <c r="A81" s="12">
        <v>8253</v>
      </c>
      <c r="B81" s="12">
        <v>310</v>
      </c>
      <c r="C81" t="s">
        <v>109</v>
      </c>
      <c r="E81" s="8"/>
      <c r="F81" s="12">
        <v>21</v>
      </c>
      <c r="G81" s="8" t="s">
        <v>44</v>
      </c>
      <c r="H81" s="12">
        <v>3200</v>
      </c>
      <c r="I81" t="s">
        <v>50</v>
      </c>
      <c r="K81" t="s">
        <v>63</v>
      </c>
      <c r="N81" s="12"/>
      <c r="O81" s="8"/>
      <c r="P81">
        <v>1</v>
      </c>
      <c r="Q81" s="8">
        <v>1</v>
      </c>
      <c r="R81" s="12">
        <v>2</v>
      </c>
      <c r="S81" s="8">
        <v>2</v>
      </c>
      <c r="T81" s="12"/>
      <c r="U81" s="8"/>
      <c r="V81" s="2">
        <v>45658</v>
      </c>
      <c r="W81" s="2">
        <v>1</v>
      </c>
      <c r="X81" s="2">
        <v>45712</v>
      </c>
      <c r="Y81" s="2">
        <v>45712</v>
      </c>
      <c r="Z81" s="2"/>
      <c r="AA81" t="s">
        <v>110</v>
      </c>
      <c r="AB81">
        <v>8253</v>
      </c>
      <c r="AC81">
        <v>71277</v>
      </c>
      <c r="AD81" t="s">
        <v>522</v>
      </c>
      <c r="AE81" s="2">
        <v>45705</v>
      </c>
      <c r="AF81">
        <v>2</v>
      </c>
      <c r="AG81" s="17">
        <v>8.3333333333333301E-2</v>
      </c>
      <c r="AH81" s="2">
        <v>45705</v>
      </c>
    </row>
    <row r="82" spans="1:34" hidden="1" x14ac:dyDescent="0.25">
      <c r="A82" s="12">
        <v>8253</v>
      </c>
      <c r="B82" s="12">
        <v>310</v>
      </c>
      <c r="C82" t="s">
        <v>109</v>
      </c>
      <c r="E82" s="8"/>
      <c r="F82" s="12">
        <v>21</v>
      </c>
      <c r="G82" s="8" t="s">
        <v>44</v>
      </c>
      <c r="H82" s="12">
        <v>3200</v>
      </c>
      <c r="I82" t="s">
        <v>50</v>
      </c>
      <c r="K82" t="s">
        <v>63</v>
      </c>
      <c r="N82" s="12"/>
      <c r="O82" s="8"/>
      <c r="P82">
        <v>1</v>
      </c>
      <c r="Q82" s="8">
        <v>1</v>
      </c>
      <c r="R82" s="12">
        <v>2</v>
      </c>
      <c r="S82" s="8">
        <v>2</v>
      </c>
      <c r="T82" s="12"/>
      <c r="U82" s="8"/>
      <c r="V82" s="2">
        <v>45658</v>
      </c>
      <c r="W82" s="2">
        <v>1</v>
      </c>
      <c r="X82" s="2">
        <v>45712</v>
      </c>
      <c r="Y82" s="2">
        <v>45712</v>
      </c>
      <c r="Z82" s="2"/>
      <c r="AA82" t="s">
        <v>110</v>
      </c>
      <c r="AB82">
        <v>8253</v>
      </c>
      <c r="AC82">
        <v>71121</v>
      </c>
      <c r="AD82" t="s">
        <v>523</v>
      </c>
      <c r="AE82" s="2">
        <v>45705</v>
      </c>
      <c r="AF82">
        <v>2</v>
      </c>
      <c r="AG82" s="17">
        <v>8.3333333333333301E-2</v>
      </c>
      <c r="AH82" s="2">
        <v>45705</v>
      </c>
    </row>
    <row r="83" spans="1:34" hidden="1" x14ac:dyDescent="0.25">
      <c r="A83" s="12">
        <v>8253</v>
      </c>
      <c r="B83" s="12">
        <v>310</v>
      </c>
      <c r="C83" t="s">
        <v>109</v>
      </c>
      <c r="E83" s="8"/>
      <c r="F83" s="12">
        <v>21</v>
      </c>
      <c r="G83" s="8" t="s">
        <v>44</v>
      </c>
      <c r="H83" s="12">
        <v>3200</v>
      </c>
      <c r="I83" t="s">
        <v>50</v>
      </c>
      <c r="K83" t="s">
        <v>63</v>
      </c>
      <c r="N83" s="12"/>
      <c r="O83" s="8"/>
      <c r="P83">
        <v>1</v>
      </c>
      <c r="Q83" s="8">
        <v>1</v>
      </c>
      <c r="R83" s="12">
        <v>2</v>
      </c>
      <c r="S83" s="8">
        <v>2</v>
      </c>
      <c r="T83" s="12"/>
      <c r="U83" s="8"/>
      <c r="V83" s="2">
        <v>45658</v>
      </c>
      <c r="W83" s="2">
        <v>1</v>
      </c>
      <c r="X83" s="2">
        <v>45712</v>
      </c>
      <c r="Y83" s="2">
        <v>45712</v>
      </c>
      <c r="Z83" s="2"/>
      <c r="AA83" t="s">
        <v>110</v>
      </c>
      <c r="AB83">
        <v>8253</v>
      </c>
      <c r="AC83">
        <v>68152</v>
      </c>
      <c r="AD83" t="s">
        <v>524</v>
      </c>
      <c r="AE83" s="2">
        <v>45693</v>
      </c>
      <c r="AF83">
        <v>0.5</v>
      </c>
      <c r="AG83" s="17">
        <v>2.0833333333333301E-2</v>
      </c>
      <c r="AH83" s="2">
        <v>45694</v>
      </c>
    </row>
    <row r="84" spans="1:34" hidden="1" x14ac:dyDescent="0.25">
      <c r="A84" s="12">
        <v>8413</v>
      </c>
      <c r="B84" s="12">
        <v>312</v>
      </c>
      <c r="C84" t="s">
        <v>111</v>
      </c>
      <c r="D84">
        <v>247807</v>
      </c>
      <c r="E84" s="8" t="s">
        <v>112</v>
      </c>
      <c r="F84" s="12">
        <v>28</v>
      </c>
      <c r="G84" s="8" t="s">
        <v>42</v>
      </c>
      <c r="H84" s="12"/>
      <c r="J84" t="s">
        <v>62</v>
      </c>
      <c r="K84" t="s">
        <v>101</v>
      </c>
      <c r="N84" s="12"/>
      <c r="O84" s="8"/>
      <c r="P84">
        <v>2</v>
      </c>
      <c r="Q84" s="8">
        <v>2</v>
      </c>
      <c r="R84" s="12">
        <v>2</v>
      </c>
      <c r="S84" s="8">
        <v>2</v>
      </c>
      <c r="T84" s="12"/>
      <c r="U84" s="8"/>
      <c r="V84" s="2">
        <v>45658</v>
      </c>
      <c r="W84" s="2">
        <v>1</v>
      </c>
      <c r="X84" s="2">
        <v>45688</v>
      </c>
      <c r="Y84" s="2">
        <v>45791</v>
      </c>
      <c r="Z84" s="2"/>
      <c r="AA84" t="s">
        <v>113</v>
      </c>
      <c r="AE84" s="2"/>
      <c r="AG84" s="17"/>
      <c r="AH84" s="2"/>
    </row>
    <row r="85" spans="1:34" hidden="1" x14ac:dyDescent="0.25">
      <c r="A85" s="12">
        <v>8451</v>
      </c>
      <c r="B85" s="12">
        <v>313</v>
      </c>
      <c r="C85" t="s">
        <v>114</v>
      </c>
      <c r="E85" s="8"/>
      <c r="F85" s="12">
        <v>28</v>
      </c>
      <c r="G85" s="8" t="s">
        <v>42</v>
      </c>
      <c r="H85" s="12">
        <v>3199</v>
      </c>
      <c r="I85" t="s">
        <v>46</v>
      </c>
      <c r="J85" t="s">
        <v>62</v>
      </c>
      <c r="K85" t="s">
        <v>63</v>
      </c>
      <c r="N85" s="12"/>
      <c r="O85" s="8"/>
      <c r="P85">
        <v>1</v>
      </c>
      <c r="Q85" s="8">
        <v>1</v>
      </c>
      <c r="R85" s="12">
        <v>1</v>
      </c>
      <c r="S85" s="8">
        <v>1</v>
      </c>
      <c r="T85" s="12"/>
      <c r="U85" s="8"/>
      <c r="V85" s="2">
        <v>45658</v>
      </c>
      <c r="W85" s="2">
        <v>1</v>
      </c>
      <c r="X85" s="2">
        <v>45709</v>
      </c>
      <c r="Y85" s="2">
        <v>45757</v>
      </c>
      <c r="Z85" s="2"/>
      <c r="AE85" s="2"/>
      <c r="AG85" s="17"/>
      <c r="AH85" s="2"/>
    </row>
    <row r="86" spans="1:34" hidden="1" x14ac:dyDescent="0.25">
      <c r="A86" s="12">
        <v>8414</v>
      </c>
      <c r="B86" s="12">
        <v>314</v>
      </c>
      <c r="C86" t="s">
        <v>115</v>
      </c>
      <c r="D86">
        <v>247857</v>
      </c>
      <c r="E86" s="8" t="s">
        <v>66</v>
      </c>
      <c r="F86" s="12">
        <v>29</v>
      </c>
      <c r="G86" s="8" t="s">
        <v>69</v>
      </c>
      <c r="H86" s="12"/>
      <c r="J86" t="s">
        <v>62</v>
      </c>
      <c r="K86" t="s">
        <v>63</v>
      </c>
      <c r="N86" s="12"/>
      <c r="O86" s="8"/>
      <c r="P86">
        <v>2</v>
      </c>
      <c r="Q86" s="8">
        <v>2</v>
      </c>
      <c r="R86" s="12">
        <v>2</v>
      </c>
      <c r="S86" s="8">
        <v>2</v>
      </c>
      <c r="T86" s="12"/>
      <c r="U86" s="8"/>
      <c r="V86" s="2">
        <v>45658</v>
      </c>
      <c r="W86" s="2">
        <v>1</v>
      </c>
      <c r="X86" s="2">
        <v>45702</v>
      </c>
      <c r="Y86" s="2">
        <v>45726</v>
      </c>
      <c r="Z86" s="2"/>
      <c r="AA86" t="s">
        <v>116</v>
      </c>
      <c r="AE86" s="2"/>
      <c r="AG86" s="17"/>
      <c r="AH86" s="2"/>
    </row>
    <row r="87" spans="1:34" hidden="1" x14ac:dyDescent="0.25">
      <c r="A87" s="12">
        <v>8415</v>
      </c>
      <c r="B87" s="12">
        <v>315</v>
      </c>
      <c r="C87" t="s">
        <v>117</v>
      </c>
      <c r="D87">
        <v>247651</v>
      </c>
      <c r="E87" s="8" t="s">
        <v>118</v>
      </c>
      <c r="F87" s="12">
        <v>21</v>
      </c>
      <c r="G87" s="8" t="s">
        <v>44</v>
      </c>
      <c r="H87" s="12">
        <v>3199</v>
      </c>
      <c r="I87" t="s">
        <v>46</v>
      </c>
      <c r="J87" t="s">
        <v>62</v>
      </c>
      <c r="K87" t="s">
        <v>63</v>
      </c>
      <c r="N87" s="12"/>
      <c r="O87" s="8"/>
      <c r="P87">
        <v>1</v>
      </c>
      <c r="Q87" s="8">
        <v>1</v>
      </c>
      <c r="R87" s="12">
        <v>3</v>
      </c>
      <c r="S87" s="8">
        <v>3</v>
      </c>
      <c r="T87" s="12"/>
      <c r="U87" s="8"/>
      <c r="V87" s="2">
        <v>45658</v>
      </c>
      <c r="W87" s="2">
        <v>1</v>
      </c>
      <c r="X87" s="2">
        <v>45716</v>
      </c>
      <c r="Y87" s="2">
        <v>45726</v>
      </c>
      <c r="Z87" s="2"/>
      <c r="AA87" t="s">
        <v>119</v>
      </c>
      <c r="AE87" s="2"/>
      <c r="AG87" s="17"/>
      <c r="AH87" s="2"/>
    </row>
    <row r="88" spans="1:34" hidden="1" x14ac:dyDescent="0.25">
      <c r="A88" s="12">
        <v>8416</v>
      </c>
      <c r="B88" s="12">
        <v>316</v>
      </c>
      <c r="C88" t="s">
        <v>120</v>
      </c>
      <c r="D88">
        <v>247770</v>
      </c>
      <c r="E88" s="8" t="s">
        <v>121</v>
      </c>
      <c r="F88" s="12">
        <v>29</v>
      </c>
      <c r="G88" s="8" t="s">
        <v>69</v>
      </c>
      <c r="H88" s="12"/>
      <c r="J88" t="s">
        <v>62</v>
      </c>
      <c r="K88" t="s">
        <v>63</v>
      </c>
      <c r="N88" s="12"/>
      <c r="O88" s="8"/>
      <c r="P88">
        <v>2</v>
      </c>
      <c r="Q88" s="8">
        <v>2</v>
      </c>
      <c r="R88" s="12">
        <v>2</v>
      </c>
      <c r="S88" s="8">
        <v>2</v>
      </c>
      <c r="T88" s="12"/>
      <c r="U88" s="8"/>
      <c r="V88" s="2">
        <v>45658</v>
      </c>
      <c r="W88" s="2">
        <v>1</v>
      </c>
      <c r="X88" s="2">
        <v>45702</v>
      </c>
      <c r="Y88" s="2">
        <v>45726</v>
      </c>
      <c r="Z88" s="2"/>
      <c r="AA88" t="s">
        <v>122</v>
      </c>
      <c r="AE88" s="2"/>
      <c r="AG88" s="17"/>
      <c r="AH88" s="2"/>
    </row>
    <row r="89" spans="1:34" hidden="1" x14ac:dyDescent="0.25">
      <c r="A89" s="12">
        <v>8418</v>
      </c>
      <c r="B89" s="12">
        <v>318</v>
      </c>
      <c r="C89" t="s">
        <v>338</v>
      </c>
      <c r="D89">
        <v>247068</v>
      </c>
      <c r="E89" s="8" t="s">
        <v>123</v>
      </c>
      <c r="F89" s="12">
        <v>28</v>
      </c>
      <c r="G89" s="8" t="s">
        <v>42</v>
      </c>
      <c r="H89" s="12"/>
      <c r="J89" t="s">
        <v>62</v>
      </c>
      <c r="K89" t="s">
        <v>63</v>
      </c>
      <c r="N89" s="12"/>
      <c r="O89" s="8"/>
      <c r="P89">
        <v>2</v>
      </c>
      <c r="Q89" s="8">
        <v>2</v>
      </c>
      <c r="R89" s="12">
        <v>2</v>
      </c>
      <c r="S89" s="8">
        <v>2</v>
      </c>
      <c r="T89" s="12"/>
      <c r="U89" s="8"/>
      <c r="V89" s="2">
        <v>45659</v>
      </c>
      <c r="W89" s="2">
        <v>1</v>
      </c>
      <c r="X89" s="2">
        <v>45712</v>
      </c>
      <c r="Y89" s="2">
        <v>45712</v>
      </c>
      <c r="Z89" s="2"/>
      <c r="AA89" t="s">
        <v>124</v>
      </c>
      <c r="AE89" s="2"/>
      <c r="AG89" s="17"/>
      <c r="AH89" s="2"/>
    </row>
    <row r="90" spans="1:34" hidden="1" x14ac:dyDescent="0.25">
      <c r="A90" s="12">
        <v>8331</v>
      </c>
      <c r="B90" s="12">
        <v>319</v>
      </c>
      <c r="C90" t="s">
        <v>125</v>
      </c>
      <c r="D90">
        <v>247857</v>
      </c>
      <c r="E90" s="8" t="s">
        <v>66</v>
      </c>
      <c r="F90" s="12">
        <v>28</v>
      </c>
      <c r="G90" s="8" t="s">
        <v>42</v>
      </c>
      <c r="H90" s="12">
        <v>2767</v>
      </c>
      <c r="I90" t="s">
        <v>348</v>
      </c>
      <c r="J90" t="s">
        <v>62</v>
      </c>
      <c r="K90" t="s">
        <v>63</v>
      </c>
      <c r="N90" s="12"/>
      <c r="O90" s="8"/>
      <c r="P90">
        <v>1</v>
      </c>
      <c r="Q90" s="8">
        <v>1</v>
      </c>
      <c r="R90" s="12">
        <v>1</v>
      </c>
      <c r="S90" s="8">
        <v>1</v>
      </c>
      <c r="T90" s="12"/>
      <c r="U90" s="8"/>
      <c r="V90" s="2">
        <v>45658</v>
      </c>
      <c r="W90" s="2">
        <v>1</v>
      </c>
      <c r="X90" s="2">
        <v>45744</v>
      </c>
      <c r="Y90" s="2">
        <v>45775</v>
      </c>
      <c r="Z90" s="2"/>
      <c r="AA90" t="s">
        <v>126</v>
      </c>
      <c r="AE90" s="2"/>
      <c r="AG90" s="17"/>
      <c r="AH90" s="2"/>
    </row>
    <row r="91" spans="1:34" hidden="1" x14ac:dyDescent="0.25">
      <c r="A91" s="12">
        <v>8419</v>
      </c>
      <c r="B91" s="12">
        <v>320</v>
      </c>
      <c r="C91" t="s">
        <v>127</v>
      </c>
      <c r="D91">
        <v>247556</v>
      </c>
      <c r="E91" s="8" t="s">
        <v>78</v>
      </c>
      <c r="F91" s="12">
        <v>28</v>
      </c>
      <c r="G91" s="8" t="s">
        <v>42</v>
      </c>
      <c r="H91" s="12"/>
      <c r="J91" t="s">
        <v>62</v>
      </c>
      <c r="K91" t="s">
        <v>63</v>
      </c>
      <c r="N91" s="12"/>
      <c r="O91" s="8"/>
      <c r="P91">
        <v>3</v>
      </c>
      <c r="Q91" s="8">
        <v>3</v>
      </c>
      <c r="R91" s="12">
        <v>3</v>
      </c>
      <c r="S91" s="8">
        <v>3</v>
      </c>
      <c r="T91" s="12"/>
      <c r="U91" s="8"/>
      <c r="V91" s="2">
        <v>45658</v>
      </c>
      <c r="W91" s="2">
        <v>1</v>
      </c>
      <c r="X91" s="2">
        <v>45761</v>
      </c>
      <c r="Y91" s="2">
        <v>45761</v>
      </c>
      <c r="Z91" s="2"/>
      <c r="AA91" t="s">
        <v>128</v>
      </c>
      <c r="AE91" s="2"/>
      <c r="AG91" s="17"/>
      <c r="AH91" s="2"/>
    </row>
    <row r="92" spans="1:34" hidden="1" x14ac:dyDescent="0.25">
      <c r="A92" s="12">
        <v>8270</v>
      </c>
      <c r="B92" s="12">
        <v>321</v>
      </c>
      <c r="C92" t="s">
        <v>129</v>
      </c>
      <c r="E92" s="8"/>
      <c r="F92" s="12">
        <v>21</v>
      </c>
      <c r="G92" s="8" t="s">
        <v>44</v>
      </c>
      <c r="H92" s="12">
        <v>2767</v>
      </c>
      <c r="I92" t="s">
        <v>348</v>
      </c>
      <c r="J92" t="s">
        <v>62</v>
      </c>
      <c r="K92" t="s">
        <v>63</v>
      </c>
      <c r="N92" s="12"/>
      <c r="O92" s="8"/>
      <c r="P92">
        <v>1</v>
      </c>
      <c r="Q92" s="8">
        <v>1</v>
      </c>
      <c r="R92" s="12">
        <v>1</v>
      </c>
      <c r="S92" s="8">
        <v>1</v>
      </c>
      <c r="T92" s="12"/>
      <c r="U92" s="8"/>
      <c r="V92" s="2">
        <v>45658</v>
      </c>
      <c r="W92" s="2">
        <v>1</v>
      </c>
      <c r="X92" s="2">
        <v>45688</v>
      </c>
      <c r="Y92" s="2">
        <v>45688</v>
      </c>
      <c r="Z92" s="2"/>
      <c r="AA92" t="s">
        <v>130</v>
      </c>
      <c r="AB92">
        <v>8270</v>
      </c>
      <c r="AC92">
        <v>74175</v>
      </c>
      <c r="AD92" t="s">
        <v>349</v>
      </c>
      <c r="AE92" s="2">
        <v>45716</v>
      </c>
      <c r="AF92">
        <v>6</v>
      </c>
      <c r="AG92" s="17">
        <v>0.25</v>
      </c>
      <c r="AH92" s="2">
        <v>45716</v>
      </c>
    </row>
    <row r="93" spans="1:34" hidden="1" x14ac:dyDescent="0.25">
      <c r="A93" s="12">
        <v>8270</v>
      </c>
      <c r="B93" s="12">
        <v>321</v>
      </c>
      <c r="C93" t="s">
        <v>129</v>
      </c>
      <c r="E93" s="8"/>
      <c r="F93" s="12">
        <v>21</v>
      </c>
      <c r="G93" s="8" t="s">
        <v>44</v>
      </c>
      <c r="H93" s="12">
        <v>2767</v>
      </c>
      <c r="I93" t="s">
        <v>348</v>
      </c>
      <c r="K93" t="s">
        <v>63</v>
      </c>
      <c r="N93" s="12"/>
      <c r="O93" s="8"/>
      <c r="P93">
        <v>1</v>
      </c>
      <c r="Q93" s="8">
        <v>1</v>
      </c>
      <c r="R93" s="12">
        <v>1</v>
      </c>
      <c r="S93" s="8">
        <v>1</v>
      </c>
      <c r="T93" s="12"/>
      <c r="U93" s="8"/>
      <c r="V93" s="2">
        <v>45658</v>
      </c>
      <c r="W93" s="2">
        <v>1</v>
      </c>
      <c r="X93" s="2">
        <v>45688</v>
      </c>
      <c r="Y93" s="2">
        <v>45688</v>
      </c>
      <c r="Z93" s="2"/>
      <c r="AA93" t="s">
        <v>130</v>
      </c>
      <c r="AB93">
        <v>8270</v>
      </c>
      <c r="AC93">
        <v>73940</v>
      </c>
      <c r="AD93" t="s">
        <v>525</v>
      </c>
      <c r="AE93" s="2">
        <v>45715</v>
      </c>
      <c r="AF93">
        <v>6.5</v>
      </c>
      <c r="AG93" s="17">
        <v>0.27083333333333298</v>
      </c>
      <c r="AH93" s="2">
        <v>45715</v>
      </c>
    </row>
    <row r="94" spans="1:34" hidden="1" x14ac:dyDescent="0.25">
      <c r="A94" s="12">
        <v>8270</v>
      </c>
      <c r="B94" s="12">
        <v>321</v>
      </c>
      <c r="C94" t="s">
        <v>129</v>
      </c>
      <c r="E94" s="8"/>
      <c r="F94" s="12">
        <v>21</v>
      </c>
      <c r="G94" s="8" t="s">
        <v>44</v>
      </c>
      <c r="H94" s="12">
        <v>2767</v>
      </c>
      <c r="I94" t="s">
        <v>348</v>
      </c>
      <c r="K94" t="s">
        <v>63</v>
      </c>
      <c r="N94" s="12"/>
      <c r="O94" s="8"/>
      <c r="P94">
        <v>1</v>
      </c>
      <c r="Q94" s="8">
        <v>1</v>
      </c>
      <c r="R94" s="12">
        <v>1</v>
      </c>
      <c r="S94" s="8">
        <v>1</v>
      </c>
      <c r="T94" s="12"/>
      <c r="U94" s="8"/>
      <c r="V94" s="2">
        <v>45658</v>
      </c>
      <c r="W94" s="2">
        <v>1</v>
      </c>
      <c r="X94" s="2">
        <v>45688</v>
      </c>
      <c r="Y94" s="2">
        <v>45688</v>
      </c>
      <c r="Z94" s="2"/>
      <c r="AA94" t="s">
        <v>130</v>
      </c>
      <c r="AB94">
        <v>8270</v>
      </c>
      <c r="AC94">
        <v>73320</v>
      </c>
      <c r="AD94" t="s">
        <v>525</v>
      </c>
      <c r="AE94" s="2">
        <v>45713</v>
      </c>
      <c r="AF94">
        <v>4</v>
      </c>
      <c r="AG94" s="17">
        <v>0.16666666666666599</v>
      </c>
      <c r="AH94" s="2">
        <v>45713</v>
      </c>
    </row>
    <row r="95" spans="1:34" hidden="1" x14ac:dyDescent="0.25">
      <c r="A95" s="12">
        <v>8270</v>
      </c>
      <c r="B95" s="12">
        <v>321</v>
      </c>
      <c r="C95" t="s">
        <v>129</v>
      </c>
      <c r="E95" s="8"/>
      <c r="F95" s="12">
        <v>21</v>
      </c>
      <c r="G95" s="8" t="s">
        <v>44</v>
      </c>
      <c r="H95" s="12">
        <v>2767</v>
      </c>
      <c r="I95" t="s">
        <v>348</v>
      </c>
      <c r="K95" t="s">
        <v>63</v>
      </c>
      <c r="N95" s="12"/>
      <c r="O95" s="8"/>
      <c r="P95">
        <v>1</v>
      </c>
      <c r="Q95" s="8">
        <v>1</v>
      </c>
      <c r="R95" s="12">
        <v>1</v>
      </c>
      <c r="S95" s="8">
        <v>1</v>
      </c>
      <c r="T95" s="12"/>
      <c r="U95" s="8"/>
      <c r="V95" s="2">
        <v>45658</v>
      </c>
      <c r="W95" s="2">
        <v>1</v>
      </c>
      <c r="X95" s="2">
        <v>45688</v>
      </c>
      <c r="Y95" s="2">
        <v>45688</v>
      </c>
      <c r="Z95" s="2"/>
      <c r="AA95" t="s">
        <v>130</v>
      </c>
      <c r="AB95">
        <v>8270</v>
      </c>
      <c r="AC95">
        <v>73120</v>
      </c>
      <c r="AD95" t="s">
        <v>526</v>
      </c>
      <c r="AE95" s="2">
        <v>45712</v>
      </c>
      <c r="AF95">
        <v>0.66666666666666596</v>
      </c>
      <c r="AG95" s="17">
        <v>2.77777777777777E-2</v>
      </c>
      <c r="AH95" s="2">
        <v>45712</v>
      </c>
    </row>
    <row r="96" spans="1:34" hidden="1" x14ac:dyDescent="0.25">
      <c r="A96" s="12">
        <v>8270</v>
      </c>
      <c r="B96" s="12">
        <v>321</v>
      </c>
      <c r="C96" t="s">
        <v>129</v>
      </c>
      <c r="E96" s="8"/>
      <c r="F96" s="12">
        <v>21</v>
      </c>
      <c r="G96" s="8" t="s">
        <v>44</v>
      </c>
      <c r="H96" s="12">
        <v>2767</v>
      </c>
      <c r="I96" t="s">
        <v>348</v>
      </c>
      <c r="K96" t="s">
        <v>63</v>
      </c>
      <c r="N96" s="12"/>
      <c r="O96" s="8"/>
      <c r="P96">
        <v>1</v>
      </c>
      <c r="Q96" s="8">
        <v>1</v>
      </c>
      <c r="R96" s="12">
        <v>1</v>
      </c>
      <c r="S96" s="8">
        <v>1</v>
      </c>
      <c r="T96" s="12"/>
      <c r="U96" s="8"/>
      <c r="V96" s="2">
        <v>45658</v>
      </c>
      <c r="W96" s="2">
        <v>1</v>
      </c>
      <c r="X96" s="2">
        <v>45688</v>
      </c>
      <c r="Y96" s="2">
        <v>45688</v>
      </c>
      <c r="Z96" s="2"/>
      <c r="AA96" t="s">
        <v>130</v>
      </c>
      <c r="AB96">
        <v>8270</v>
      </c>
      <c r="AC96">
        <v>72907</v>
      </c>
      <c r="AD96" t="s">
        <v>527</v>
      </c>
      <c r="AE96" s="2">
        <v>45710</v>
      </c>
      <c r="AF96">
        <v>2</v>
      </c>
      <c r="AG96" s="17">
        <v>8.3333333333333301E-2</v>
      </c>
      <c r="AH96" s="2">
        <v>45710</v>
      </c>
    </row>
    <row r="97" spans="1:34" hidden="1" x14ac:dyDescent="0.25">
      <c r="A97" s="12">
        <v>8270</v>
      </c>
      <c r="B97" s="12">
        <v>321</v>
      </c>
      <c r="C97" t="s">
        <v>129</v>
      </c>
      <c r="E97" s="8"/>
      <c r="F97" s="12">
        <v>21</v>
      </c>
      <c r="G97" s="8" t="s">
        <v>44</v>
      </c>
      <c r="H97" s="12">
        <v>2767</v>
      </c>
      <c r="I97" t="s">
        <v>348</v>
      </c>
      <c r="K97" t="s">
        <v>63</v>
      </c>
      <c r="N97" s="12"/>
      <c r="O97" s="8"/>
      <c r="P97">
        <v>1</v>
      </c>
      <c r="Q97" s="8">
        <v>1</v>
      </c>
      <c r="R97" s="12">
        <v>1</v>
      </c>
      <c r="S97" s="8">
        <v>1</v>
      </c>
      <c r="T97" s="12"/>
      <c r="U97" s="8"/>
      <c r="V97" s="2">
        <v>45658</v>
      </c>
      <c r="W97" s="2">
        <v>1</v>
      </c>
      <c r="X97" s="2">
        <v>45688</v>
      </c>
      <c r="Y97" s="2">
        <v>45688</v>
      </c>
      <c r="Z97" s="2"/>
      <c r="AA97" t="s">
        <v>130</v>
      </c>
      <c r="AB97">
        <v>8270</v>
      </c>
      <c r="AC97">
        <v>72706</v>
      </c>
      <c r="AD97" t="s">
        <v>528</v>
      </c>
      <c r="AE97" s="2">
        <v>45709</v>
      </c>
      <c r="AF97">
        <v>2.5</v>
      </c>
      <c r="AG97" s="17">
        <v>0.10416666666666601</v>
      </c>
      <c r="AH97" s="2">
        <v>45709</v>
      </c>
    </row>
    <row r="98" spans="1:34" hidden="1" x14ac:dyDescent="0.25">
      <c r="A98" s="12">
        <v>8270</v>
      </c>
      <c r="B98" s="12">
        <v>321</v>
      </c>
      <c r="C98" t="s">
        <v>129</v>
      </c>
      <c r="E98" s="8"/>
      <c r="F98" s="12">
        <v>21</v>
      </c>
      <c r="G98" s="8" t="s">
        <v>44</v>
      </c>
      <c r="H98" s="12">
        <v>2767</v>
      </c>
      <c r="I98" t="s">
        <v>348</v>
      </c>
      <c r="K98" t="s">
        <v>63</v>
      </c>
      <c r="N98" s="12"/>
      <c r="O98" s="8"/>
      <c r="P98">
        <v>1</v>
      </c>
      <c r="Q98" s="8">
        <v>1</v>
      </c>
      <c r="R98" s="12">
        <v>1</v>
      </c>
      <c r="S98" s="8">
        <v>1</v>
      </c>
      <c r="T98" s="12"/>
      <c r="U98" s="8"/>
      <c r="V98" s="2">
        <v>45658</v>
      </c>
      <c r="W98" s="2">
        <v>1</v>
      </c>
      <c r="X98" s="2">
        <v>45688</v>
      </c>
      <c r="Y98" s="2">
        <v>45688</v>
      </c>
      <c r="Z98" s="2"/>
      <c r="AA98" t="s">
        <v>130</v>
      </c>
      <c r="AB98">
        <v>8270</v>
      </c>
      <c r="AC98">
        <v>72264</v>
      </c>
      <c r="AD98" t="s">
        <v>528</v>
      </c>
      <c r="AE98" s="2">
        <v>45708</v>
      </c>
      <c r="AF98">
        <v>2.5</v>
      </c>
      <c r="AG98" s="17">
        <v>0.10416666666666601</v>
      </c>
      <c r="AH98" s="2">
        <v>45709</v>
      </c>
    </row>
    <row r="99" spans="1:34" hidden="1" x14ac:dyDescent="0.25">
      <c r="A99" s="12">
        <v>8270</v>
      </c>
      <c r="B99" s="12">
        <v>321</v>
      </c>
      <c r="C99" t="s">
        <v>129</v>
      </c>
      <c r="E99" s="8"/>
      <c r="F99" s="12">
        <v>21</v>
      </c>
      <c r="G99" s="8" t="s">
        <v>44</v>
      </c>
      <c r="H99" s="12">
        <v>2767</v>
      </c>
      <c r="I99" t="s">
        <v>348</v>
      </c>
      <c r="K99" t="s">
        <v>63</v>
      </c>
      <c r="N99" s="12"/>
      <c r="O99" s="8"/>
      <c r="P99">
        <v>1</v>
      </c>
      <c r="Q99" s="8">
        <v>1</v>
      </c>
      <c r="R99" s="12">
        <v>1</v>
      </c>
      <c r="S99" s="8">
        <v>1</v>
      </c>
      <c r="T99" s="12"/>
      <c r="U99" s="8"/>
      <c r="V99" s="2">
        <v>45658</v>
      </c>
      <c r="W99" s="2">
        <v>1</v>
      </c>
      <c r="X99" s="2">
        <v>45688</v>
      </c>
      <c r="Y99" s="2">
        <v>45688</v>
      </c>
      <c r="Z99" s="2"/>
      <c r="AA99" t="s">
        <v>130</v>
      </c>
      <c r="AB99">
        <v>8270</v>
      </c>
      <c r="AC99">
        <v>72052</v>
      </c>
      <c r="AD99" t="s">
        <v>529</v>
      </c>
      <c r="AE99" s="2">
        <v>45707</v>
      </c>
      <c r="AF99">
        <v>0.75</v>
      </c>
      <c r="AG99" s="17">
        <v>3.125E-2</v>
      </c>
      <c r="AH99" s="2">
        <v>45708</v>
      </c>
    </row>
    <row r="100" spans="1:34" hidden="1" x14ac:dyDescent="0.25">
      <c r="A100" s="12">
        <v>8270</v>
      </c>
      <c r="B100" s="12">
        <v>321</v>
      </c>
      <c r="C100" t="s">
        <v>129</v>
      </c>
      <c r="E100" s="8"/>
      <c r="F100" s="12">
        <v>21</v>
      </c>
      <c r="G100" s="8" t="s">
        <v>44</v>
      </c>
      <c r="H100" s="12">
        <v>2767</v>
      </c>
      <c r="I100" t="s">
        <v>348</v>
      </c>
      <c r="K100" t="s">
        <v>63</v>
      </c>
      <c r="N100" s="12"/>
      <c r="O100" s="8"/>
      <c r="P100">
        <v>1</v>
      </c>
      <c r="Q100" s="8">
        <v>1</v>
      </c>
      <c r="R100" s="12">
        <v>1</v>
      </c>
      <c r="S100" s="8">
        <v>1</v>
      </c>
      <c r="T100" s="12"/>
      <c r="U100" s="8"/>
      <c r="V100" s="2">
        <v>45658</v>
      </c>
      <c r="W100" s="2">
        <v>1</v>
      </c>
      <c r="X100" s="2">
        <v>45688</v>
      </c>
      <c r="Y100" s="2">
        <v>45688</v>
      </c>
      <c r="Z100" s="2"/>
      <c r="AA100" t="s">
        <v>130</v>
      </c>
      <c r="AB100">
        <v>8270</v>
      </c>
      <c r="AC100">
        <v>72051</v>
      </c>
      <c r="AD100" t="s">
        <v>530</v>
      </c>
      <c r="AE100" s="2">
        <v>45705</v>
      </c>
      <c r="AF100">
        <v>0.75</v>
      </c>
      <c r="AG100" s="17">
        <v>3.125E-2</v>
      </c>
      <c r="AH100" s="2">
        <v>45708</v>
      </c>
    </row>
    <row r="101" spans="1:34" hidden="1" x14ac:dyDescent="0.25">
      <c r="A101" s="12">
        <v>8270</v>
      </c>
      <c r="B101" s="12">
        <v>321</v>
      </c>
      <c r="C101" t="s">
        <v>129</v>
      </c>
      <c r="E101" s="8"/>
      <c r="F101" s="12">
        <v>21</v>
      </c>
      <c r="G101" s="8" t="s">
        <v>44</v>
      </c>
      <c r="H101" s="12">
        <v>2767</v>
      </c>
      <c r="I101" t="s">
        <v>348</v>
      </c>
      <c r="K101" t="s">
        <v>63</v>
      </c>
      <c r="N101" s="12"/>
      <c r="O101" s="8"/>
      <c r="P101">
        <v>1</v>
      </c>
      <c r="Q101" s="8">
        <v>1</v>
      </c>
      <c r="R101" s="12">
        <v>1</v>
      </c>
      <c r="S101" s="8">
        <v>1</v>
      </c>
      <c r="T101" s="12"/>
      <c r="U101" s="8"/>
      <c r="V101" s="2">
        <v>45658</v>
      </c>
      <c r="W101" s="2">
        <v>1</v>
      </c>
      <c r="X101" s="2">
        <v>45688</v>
      </c>
      <c r="Y101" s="2">
        <v>45688</v>
      </c>
      <c r="Z101" s="2"/>
      <c r="AA101" t="s">
        <v>130</v>
      </c>
      <c r="AB101">
        <v>8270</v>
      </c>
      <c r="AC101">
        <v>70979</v>
      </c>
      <c r="AD101" t="s">
        <v>531</v>
      </c>
      <c r="AE101" s="2">
        <v>45703</v>
      </c>
      <c r="AF101">
        <v>3</v>
      </c>
      <c r="AG101" s="17">
        <v>0.125</v>
      </c>
      <c r="AH101" s="2">
        <v>45703</v>
      </c>
    </row>
    <row r="102" spans="1:34" hidden="1" x14ac:dyDescent="0.25">
      <c r="A102" s="12">
        <v>8270</v>
      </c>
      <c r="B102" s="12">
        <v>321</v>
      </c>
      <c r="C102" t="s">
        <v>129</v>
      </c>
      <c r="E102" s="8"/>
      <c r="F102" s="12">
        <v>21</v>
      </c>
      <c r="G102" s="8" t="s">
        <v>44</v>
      </c>
      <c r="H102" s="12">
        <v>2767</v>
      </c>
      <c r="I102" t="s">
        <v>348</v>
      </c>
      <c r="K102" t="s">
        <v>63</v>
      </c>
      <c r="N102" s="12"/>
      <c r="O102" s="8"/>
      <c r="P102">
        <v>1</v>
      </c>
      <c r="Q102" s="8">
        <v>1</v>
      </c>
      <c r="R102" s="12">
        <v>1</v>
      </c>
      <c r="S102" s="8">
        <v>1</v>
      </c>
      <c r="T102" s="12"/>
      <c r="U102" s="8"/>
      <c r="V102" s="2">
        <v>45658</v>
      </c>
      <c r="W102" s="2">
        <v>1</v>
      </c>
      <c r="X102" s="2">
        <v>45688</v>
      </c>
      <c r="Y102" s="2">
        <v>45688</v>
      </c>
      <c r="Z102" s="2"/>
      <c r="AA102" t="s">
        <v>130</v>
      </c>
      <c r="AB102">
        <v>8270</v>
      </c>
      <c r="AC102">
        <v>70201</v>
      </c>
      <c r="AD102" t="s">
        <v>532</v>
      </c>
      <c r="AE102" s="2">
        <v>45700</v>
      </c>
      <c r="AF102">
        <v>1</v>
      </c>
      <c r="AG102" s="17">
        <v>4.1666666666666602E-2</v>
      </c>
      <c r="AH102" s="2">
        <v>45701</v>
      </c>
    </row>
    <row r="103" spans="1:34" hidden="1" x14ac:dyDescent="0.25">
      <c r="A103" s="12">
        <v>8270</v>
      </c>
      <c r="B103" s="12">
        <v>321</v>
      </c>
      <c r="C103" t="s">
        <v>129</v>
      </c>
      <c r="E103" s="8"/>
      <c r="F103" s="12">
        <v>21</v>
      </c>
      <c r="G103" s="8" t="s">
        <v>44</v>
      </c>
      <c r="H103" s="12">
        <v>2767</v>
      </c>
      <c r="I103" t="s">
        <v>348</v>
      </c>
      <c r="K103" t="s">
        <v>63</v>
      </c>
      <c r="N103" s="12"/>
      <c r="O103" s="8"/>
      <c r="P103">
        <v>1</v>
      </c>
      <c r="Q103" s="8">
        <v>1</v>
      </c>
      <c r="R103" s="12">
        <v>1</v>
      </c>
      <c r="S103" s="8">
        <v>1</v>
      </c>
      <c r="T103" s="12"/>
      <c r="U103" s="8"/>
      <c r="V103" s="2">
        <v>45658</v>
      </c>
      <c r="W103" s="2">
        <v>1</v>
      </c>
      <c r="X103" s="2">
        <v>45688</v>
      </c>
      <c r="Y103" s="2">
        <v>45688</v>
      </c>
      <c r="Z103" s="2"/>
      <c r="AA103" t="s">
        <v>130</v>
      </c>
      <c r="AB103">
        <v>8270</v>
      </c>
      <c r="AC103">
        <v>68400</v>
      </c>
      <c r="AD103" t="s">
        <v>533</v>
      </c>
      <c r="AE103" s="2">
        <v>45694</v>
      </c>
      <c r="AF103">
        <v>6</v>
      </c>
      <c r="AG103" s="17">
        <v>0.25</v>
      </c>
      <c r="AH103" s="2">
        <v>45695</v>
      </c>
    </row>
    <row r="104" spans="1:34" hidden="1" x14ac:dyDescent="0.25">
      <c r="A104" s="12">
        <v>8270</v>
      </c>
      <c r="B104" s="12">
        <v>321</v>
      </c>
      <c r="C104" t="s">
        <v>129</v>
      </c>
      <c r="E104" s="8"/>
      <c r="F104" s="12">
        <v>21</v>
      </c>
      <c r="G104" s="8" t="s">
        <v>44</v>
      </c>
      <c r="H104" s="12">
        <v>2767</v>
      </c>
      <c r="I104" t="s">
        <v>348</v>
      </c>
      <c r="K104" t="s">
        <v>63</v>
      </c>
      <c r="N104" s="12"/>
      <c r="O104" s="8"/>
      <c r="P104">
        <v>1</v>
      </c>
      <c r="Q104" s="8">
        <v>1</v>
      </c>
      <c r="R104" s="12">
        <v>1</v>
      </c>
      <c r="S104" s="8">
        <v>1</v>
      </c>
      <c r="T104" s="12"/>
      <c r="U104" s="8"/>
      <c r="V104" s="2">
        <v>45658</v>
      </c>
      <c r="W104" s="2">
        <v>1</v>
      </c>
      <c r="X104" s="2">
        <v>45688</v>
      </c>
      <c r="Y104" s="2">
        <v>45688</v>
      </c>
      <c r="Z104" s="2"/>
      <c r="AA104" t="s">
        <v>130</v>
      </c>
      <c r="AB104">
        <v>8270</v>
      </c>
      <c r="AC104">
        <v>68401</v>
      </c>
      <c r="AD104" t="s">
        <v>533</v>
      </c>
      <c r="AE104" s="2">
        <v>45692</v>
      </c>
      <c r="AF104">
        <v>4</v>
      </c>
      <c r="AG104" s="17">
        <v>0.16666666666666599</v>
      </c>
      <c r="AH104" s="2">
        <v>45695</v>
      </c>
    </row>
    <row r="105" spans="1:34" hidden="1" x14ac:dyDescent="0.25">
      <c r="A105" s="12">
        <v>8270</v>
      </c>
      <c r="B105" s="12">
        <v>321</v>
      </c>
      <c r="C105" t="s">
        <v>129</v>
      </c>
      <c r="E105" s="8"/>
      <c r="F105" s="12">
        <v>21</v>
      </c>
      <c r="G105" s="8" t="s">
        <v>44</v>
      </c>
      <c r="H105" s="12">
        <v>2767</v>
      </c>
      <c r="I105" t="s">
        <v>348</v>
      </c>
      <c r="K105" t="s">
        <v>63</v>
      </c>
      <c r="N105" s="12"/>
      <c r="O105" s="8"/>
      <c r="P105">
        <v>1</v>
      </c>
      <c r="Q105" s="8">
        <v>1</v>
      </c>
      <c r="R105" s="12">
        <v>1</v>
      </c>
      <c r="S105" s="8">
        <v>1</v>
      </c>
      <c r="T105" s="12"/>
      <c r="U105" s="8"/>
      <c r="V105" s="2">
        <v>45658</v>
      </c>
      <c r="W105" s="2">
        <v>1</v>
      </c>
      <c r="X105" s="2">
        <v>45688</v>
      </c>
      <c r="Y105" s="2">
        <v>45688</v>
      </c>
      <c r="Z105" s="2"/>
      <c r="AA105" t="s">
        <v>130</v>
      </c>
      <c r="AB105">
        <v>8270</v>
      </c>
      <c r="AC105">
        <v>68398</v>
      </c>
      <c r="AD105" t="s">
        <v>533</v>
      </c>
      <c r="AE105" s="2">
        <v>45691</v>
      </c>
      <c r="AF105">
        <v>4</v>
      </c>
      <c r="AG105" s="17">
        <v>0.16666666666666599</v>
      </c>
      <c r="AH105" s="2">
        <v>45695</v>
      </c>
    </row>
    <row r="106" spans="1:34" hidden="1" x14ac:dyDescent="0.25">
      <c r="A106" s="12">
        <v>8420</v>
      </c>
      <c r="B106" s="12">
        <v>322</v>
      </c>
      <c r="C106" t="s">
        <v>131</v>
      </c>
      <c r="D106">
        <v>247857</v>
      </c>
      <c r="E106" s="8" t="s">
        <v>66</v>
      </c>
      <c r="F106" s="12">
        <v>28</v>
      </c>
      <c r="G106" s="8" t="s">
        <v>42</v>
      </c>
      <c r="H106" s="12"/>
      <c r="J106" t="s">
        <v>62</v>
      </c>
      <c r="K106" t="s">
        <v>63</v>
      </c>
      <c r="N106" s="12"/>
      <c r="O106" s="8"/>
      <c r="P106">
        <v>3</v>
      </c>
      <c r="Q106" s="8">
        <v>3</v>
      </c>
      <c r="R106" s="12">
        <v>1</v>
      </c>
      <c r="S106" s="8">
        <v>1</v>
      </c>
      <c r="T106" s="12"/>
      <c r="U106" s="8"/>
      <c r="V106" s="2">
        <v>45658</v>
      </c>
      <c r="W106" s="2">
        <v>1</v>
      </c>
      <c r="X106" s="2">
        <v>45761</v>
      </c>
      <c r="Y106" s="2">
        <v>45761</v>
      </c>
      <c r="Z106" s="2"/>
      <c r="AA106" t="s">
        <v>132</v>
      </c>
      <c r="AE106" s="2"/>
      <c r="AG106" s="17"/>
      <c r="AH106" s="2"/>
    </row>
    <row r="107" spans="1:34" hidden="1" x14ac:dyDescent="0.25">
      <c r="A107" s="12">
        <v>8421</v>
      </c>
      <c r="B107" s="12">
        <v>323</v>
      </c>
      <c r="C107" t="s">
        <v>133</v>
      </c>
      <c r="D107">
        <v>247722</v>
      </c>
      <c r="E107" s="8" t="s">
        <v>134</v>
      </c>
      <c r="F107" s="12">
        <v>28</v>
      </c>
      <c r="G107" s="8" t="s">
        <v>42</v>
      </c>
      <c r="H107" s="12">
        <v>2767</v>
      </c>
      <c r="I107" t="s">
        <v>348</v>
      </c>
      <c r="J107" t="s">
        <v>62</v>
      </c>
      <c r="K107" t="s">
        <v>63</v>
      </c>
      <c r="N107" s="12"/>
      <c r="O107" s="8"/>
      <c r="P107">
        <v>1</v>
      </c>
      <c r="Q107" s="8">
        <v>1</v>
      </c>
      <c r="R107" s="12">
        <v>3</v>
      </c>
      <c r="S107" s="8">
        <v>3</v>
      </c>
      <c r="T107" s="12"/>
      <c r="U107" s="8"/>
      <c r="V107" s="2">
        <v>45658</v>
      </c>
      <c r="W107" s="2">
        <v>1</v>
      </c>
      <c r="X107" s="2">
        <v>45744</v>
      </c>
      <c r="Y107" s="2">
        <v>45775</v>
      </c>
      <c r="Z107" s="2"/>
      <c r="AA107" t="s">
        <v>135</v>
      </c>
      <c r="AE107" s="2"/>
      <c r="AG107" s="17"/>
      <c r="AH107" s="2"/>
    </row>
    <row r="108" spans="1:34" hidden="1" x14ac:dyDescent="0.25">
      <c r="A108" s="12">
        <v>8422</v>
      </c>
      <c r="B108" s="12">
        <v>324</v>
      </c>
      <c r="C108" t="s">
        <v>136</v>
      </c>
      <c r="D108">
        <v>247374</v>
      </c>
      <c r="E108" s="8" t="s">
        <v>137</v>
      </c>
      <c r="F108" s="12">
        <v>28</v>
      </c>
      <c r="G108" s="8" t="s">
        <v>42</v>
      </c>
      <c r="H108" s="12"/>
      <c r="J108" t="s">
        <v>62</v>
      </c>
      <c r="K108" t="s">
        <v>63</v>
      </c>
      <c r="N108" s="12"/>
      <c r="O108" s="8"/>
      <c r="P108">
        <v>2</v>
      </c>
      <c r="Q108" s="8">
        <v>2</v>
      </c>
      <c r="R108" s="12">
        <v>2</v>
      </c>
      <c r="S108" s="8">
        <v>2</v>
      </c>
      <c r="T108" s="12"/>
      <c r="U108" s="8"/>
      <c r="V108" s="2">
        <v>45658</v>
      </c>
      <c r="W108" s="2">
        <v>1</v>
      </c>
      <c r="X108" s="2">
        <v>45744</v>
      </c>
      <c r="Y108" s="2">
        <v>45791</v>
      </c>
      <c r="Z108" s="2"/>
      <c r="AA108" t="s">
        <v>138</v>
      </c>
      <c r="AE108" s="2"/>
      <c r="AG108" s="17"/>
      <c r="AH108" s="2"/>
    </row>
    <row r="109" spans="1:34" hidden="1" x14ac:dyDescent="0.25">
      <c r="A109" s="12">
        <v>8423</v>
      </c>
      <c r="B109" s="12">
        <v>326</v>
      </c>
      <c r="C109" t="s">
        <v>139</v>
      </c>
      <c r="D109">
        <v>247828</v>
      </c>
      <c r="E109" s="8" t="s">
        <v>61</v>
      </c>
      <c r="F109" s="12">
        <v>28</v>
      </c>
      <c r="G109" s="8" t="s">
        <v>42</v>
      </c>
      <c r="H109" s="12"/>
      <c r="J109" t="s">
        <v>62</v>
      </c>
      <c r="K109" t="s">
        <v>63</v>
      </c>
      <c r="N109" s="12"/>
      <c r="O109" s="8"/>
      <c r="P109">
        <v>2</v>
      </c>
      <c r="Q109" s="8">
        <v>2</v>
      </c>
      <c r="R109" s="12">
        <v>2</v>
      </c>
      <c r="S109" s="8">
        <v>2</v>
      </c>
      <c r="T109" s="12"/>
      <c r="U109" s="8"/>
      <c r="V109" s="2">
        <v>45658</v>
      </c>
      <c r="W109" s="2">
        <v>1</v>
      </c>
      <c r="X109" s="2">
        <v>45744</v>
      </c>
      <c r="Y109" s="2">
        <v>45761</v>
      </c>
      <c r="Z109" s="2"/>
      <c r="AA109" t="s">
        <v>140</v>
      </c>
      <c r="AE109" s="2"/>
      <c r="AG109" s="17"/>
      <c r="AH109" s="2"/>
    </row>
    <row r="110" spans="1:34" hidden="1" x14ac:dyDescent="0.25">
      <c r="A110" s="12">
        <v>8328</v>
      </c>
      <c r="B110" s="12">
        <v>330</v>
      </c>
      <c r="C110" t="s">
        <v>142</v>
      </c>
      <c r="D110">
        <v>246933</v>
      </c>
      <c r="E110" s="8" t="s">
        <v>143</v>
      </c>
      <c r="F110" s="12">
        <v>30</v>
      </c>
      <c r="G110" s="8" t="s">
        <v>41</v>
      </c>
      <c r="H110" s="12">
        <v>2767</v>
      </c>
      <c r="I110" t="s">
        <v>348</v>
      </c>
      <c r="J110" t="s">
        <v>62</v>
      </c>
      <c r="K110" t="s">
        <v>63</v>
      </c>
      <c r="N110" s="12"/>
      <c r="O110" s="8"/>
      <c r="P110">
        <v>1</v>
      </c>
      <c r="Q110" s="8">
        <v>1</v>
      </c>
      <c r="R110" s="12">
        <v>2</v>
      </c>
      <c r="S110" s="8">
        <v>2</v>
      </c>
      <c r="T110" s="12"/>
      <c r="U110" s="8"/>
      <c r="V110" s="2">
        <v>45658</v>
      </c>
      <c r="W110" s="2">
        <v>1</v>
      </c>
      <c r="X110" s="2">
        <v>45744</v>
      </c>
      <c r="Y110" s="2">
        <v>45744</v>
      </c>
      <c r="Z110" s="2"/>
      <c r="AB110">
        <v>8328</v>
      </c>
      <c r="AC110">
        <v>77064</v>
      </c>
      <c r="AD110" t="s">
        <v>968</v>
      </c>
      <c r="AE110" s="2">
        <v>45727</v>
      </c>
      <c r="AF110">
        <v>0</v>
      </c>
      <c r="AG110" s="17">
        <v>0</v>
      </c>
      <c r="AH110" s="2">
        <v>45727</v>
      </c>
    </row>
    <row r="111" spans="1:34" hidden="1" x14ac:dyDescent="0.25">
      <c r="A111" s="12">
        <v>8328</v>
      </c>
      <c r="B111" s="12">
        <v>330</v>
      </c>
      <c r="C111" t="s">
        <v>142</v>
      </c>
      <c r="D111">
        <v>246933</v>
      </c>
      <c r="E111" s="8" t="s">
        <v>143</v>
      </c>
      <c r="F111" s="12">
        <v>30</v>
      </c>
      <c r="G111" s="8" t="s">
        <v>41</v>
      </c>
      <c r="H111" s="12">
        <v>2767</v>
      </c>
      <c r="I111" t="s">
        <v>348</v>
      </c>
      <c r="K111" t="s">
        <v>63</v>
      </c>
      <c r="N111" s="12"/>
      <c r="O111" s="8"/>
      <c r="P111">
        <v>1</v>
      </c>
      <c r="Q111" s="8">
        <v>1</v>
      </c>
      <c r="R111" s="12">
        <v>2</v>
      </c>
      <c r="S111" s="8">
        <v>2</v>
      </c>
      <c r="T111" s="12"/>
      <c r="U111" s="8"/>
      <c r="V111" s="2">
        <v>45658</v>
      </c>
      <c r="W111" s="2">
        <v>1</v>
      </c>
      <c r="X111" s="2">
        <v>45744</v>
      </c>
      <c r="Y111" s="2">
        <v>45744</v>
      </c>
      <c r="Z111" s="2"/>
      <c r="AB111">
        <v>8328</v>
      </c>
      <c r="AC111">
        <v>77062</v>
      </c>
      <c r="AD111" t="s">
        <v>969</v>
      </c>
      <c r="AE111" s="2">
        <v>45726</v>
      </c>
      <c r="AF111">
        <v>4</v>
      </c>
      <c r="AG111" s="17">
        <v>0.16666666666666599</v>
      </c>
      <c r="AH111" s="2">
        <v>45727</v>
      </c>
    </row>
    <row r="112" spans="1:34" hidden="1" x14ac:dyDescent="0.25">
      <c r="A112" s="12">
        <v>8328</v>
      </c>
      <c r="B112" s="12">
        <v>330</v>
      </c>
      <c r="C112" t="s">
        <v>142</v>
      </c>
      <c r="D112">
        <v>246933</v>
      </c>
      <c r="E112" s="8" t="s">
        <v>143</v>
      </c>
      <c r="F112" s="12">
        <v>30</v>
      </c>
      <c r="G112" s="8" t="s">
        <v>41</v>
      </c>
      <c r="H112" s="12">
        <v>2767</v>
      </c>
      <c r="I112" t="s">
        <v>348</v>
      </c>
      <c r="K112" t="s">
        <v>63</v>
      </c>
      <c r="N112" s="12"/>
      <c r="O112" s="8"/>
      <c r="P112">
        <v>1</v>
      </c>
      <c r="Q112" s="8">
        <v>1</v>
      </c>
      <c r="R112" s="12">
        <v>2</v>
      </c>
      <c r="S112" s="8">
        <v>2</v>
      </c>
      <c r="T112" s="12"/>
      <c r="U112" s="8"/>
      <c r="V112" s="2">
        <v>45658</v>
      </c>
      <c r="W112" s="2">
        <v>1</v>
      </c>
      <c r="X112" s="2">
        <v>45744</v>
      </c>
      <c r="Y112" s="2">
        <v>45744</v>
      </c>
      <c r="Z112" s="2"/>
      <c r="AB112">
        <v>8328</v>
      </c>
      <c r="AC112">
        <v>76251</v>
      </c>
      <c r="AD112" t="s">
        <v>350</v>
      </c>
      <c r="AE112" s="2">
        <v>45719</v>
      </c>
      <c r="AF112">
        <v>0.5</v>
      </c>
      <c r="AG112" s="17">
        <v>2.0833333333333301E-2</v>
      </c>
      <c r="AH112" s="2">
        <v>45723</v>
      </c>
    </row>
    <row r="113" spans="1:34" hidden="1" x14ac:dyDescent="0.25">
      <c r="A113" s="12">
        <v>8328</v>
      </c>
      <c r="B113" s="12">
        <v>330</v>
      </c>
      <c r="C113" t="s">
        <v>142</v>
      </c>
      <c r="D113">
        <v>246933</v>
      </c>
      <c r="E113" s="8" t="s">
        <v>143</v>
      </c>
      <c r="F113" s="12">
        <v>30</v>
      </c>
      <c r="G113" s="8" t="s">
        <v>41</v>
      </c>
      <c r="H113" s="12">
        <v>2767</v>
      </c>
      <c r="I113" t="s">
        <v>348</v>
      </c>
      <c r="K113" t="s">
        <v>63</v>
      </c>
      <c r="N113" s="12"/>
      <c r="O113" s="8"/>
      <c r="P113">
        <v>1</v>
      </c>
      <c r="Q113" s="8">
        <v>1</v>
      </c>
      <c r="R113" s="12">
        <v>2</v>
      </c>
      <c r="S113" s="8">
        <v>2</v>
      </c>
      <c r="T113" s="12"/>
      <c r="U113" s="8"/>
      <c r="V113" s="2">
        <v>45658</v>
      </c>
      <c r="W113" s="2">
        <v>1</v>
      </c>
      <c r="X113" s="2">
        <v>45744</v>
      </c>
      <c r="Y113" s="2">
        <v>45744</v>
      </c>
      <c r="Z113" s="2"/>
      <c r="AB113">
        <v>8328</v>
      </c>
      <c r="AC113">
        <v>76250</v>
      </c>
      <c r="AD113" t="s">
        <v>534</v>
      </c>
      <c r="AE113" s="2">
        <v>45719</v>
      </c>
      <c r="AF113">
        <v>2</v>
      </c>
      <c r="AG113" s="17">
        <v>8.3333333333333301E-2</v>
      </c>
      <c r="AH113" s="2">
        <v>45723</v>
      </c>
    </row>
    <row r="114" spans="1:34" hidden="1" x14ac:dyDescent="0.25">
      <c r="A114" s="12">
        <v>8426</v>
      </c>
      <c r="B114" s="12">
        <v>331</v>
      </c>
      <c r="C114" t="s">
        <v>144</v>
      </c>
      <c r="D114">
        <v>289092</v>
      </c>
      <c r="E114" s="8" t="s">
        <v>145</v>
      </c>
      <c r="F114" s="12">
        <v>21</v>
      </c>
      <c r="G114" s="8" t="s">
        <v>44</v>
      </c>
      <c r="H114" s="12">
        <v>3203</v>
      </c>
      <c r="I114" t="s">
        <v>47</v>
      </c>
      <c r="J114" t="s">
        <v>62</v>
      </c>
      <c r="K114" t="s">
        <v>101</v>
      </c>
      <c r="N114" s="12"/>
      <c r="O114" s="8"/>
      <c r="P114">
        <v>1</v>
      </c>
      <c r="Q114" s="8">
        <v>1</v>
      </c>
      <c r="R114" s="12">
        <v>1</v>
      </c>
      <c r="S114" s="8">
        <v>1</v>
      </c>
      <c r="T114" s="12"/>
      <c r="U114" s="8"/>
      <c r="V114" s="2">
        <v>45658</v>
      </c>
      <c r="W114" s="2">
        <v>1</v>
      </c>
      <c r="X114" s="2">
        <v>45688</v>
      </c>
      <c r="Y114" s="2">
        <v>45761</v>
      </c>
      <c r="Z114" s="2"/>
      <c r="AA114" t="s">
        <v>146</v>
      </c>
      <c r="AE114" s="2"/>
      <c r="AG114" s="17"/>
      <c r="AH114" s="2"/>
    </row>
    <row r="115" spans="1:34" hidden="1" x14ac:dyDescent="0.25">
      <c r="A115" s="12">
        <v>8428</v>
      </c>
      <c r="B115" s="12">
        <v>337</v>
      </c>
      <c r="C115" t="s">
        <v>147</v>
      </c>
      <c r="D115">
        <v>289092</v>
      </c>
      <c r="E115" s="8" t="s">
        <v>145</v>
      </c>
      <c r="F115" s="12">
        <v>21</v>
      </c>
      <c r="G115" s="8" t="s">
        <v>44</v>
      </c>
      <c r="H115" s="12">
        <v>3203</v>
      </c>
      <c r="I115" t="s">
        <v>47</v>
      </c>
      <c r="J115" t="s">
        <v>62</v>
      </c>
      <c r="K115" t="s">
        <v>101</v>
      </c>
      <c r="N115" s="12"/>
      <c r="O115" s="8"/>
      <c r="P115">
        <v>1</v>
      </c>
      <c r="Q115" s="8">
        <v>1</v>
      </c>
      <c r="R115" s="12">
        <v>1</v>
      </c>
      <c r="S115" s="8">
        <v>1</v>
      </c>
      <c r="T115" s="12"/>
      <c r="U115" s="8"/>
      <c r="V115" s="2">
        <v>45658</v>
      </c>
      <c r="W115" s="2">
        <v>1</v>
      </c>
      <c r="X115" s="2">
        <v>45681</v>
      </c>
      <c r="Y115" s="2">
        <v>45740</v>
      </c>
      <c r="Z115" s="2"/>
      <c r="AA115" t="s">
        <v>148</v>
      </c>
      <c r="AE115" s="2"/>
      <c r="AG115" s="17"/>
      <c r="AH115" s="2"/>
    </row>
    <row r="116" spans="1:34" hidden="1" x14ac:dyDescent="0.25">
      <c r="A116" s="12">
        <v>8429</v>
      </c>
      <c r="B116" s="12">
        <v>341</v>
      </c>
      <c r="C116" t="s">
        <v>149</v>
      </c>
      <c r="D116">
        <v>247904</v>
      </c>
      <c r="E116" s="8" t="s">
        <v>150</v>
      </c>
      <c r="F116" s="12">
        <v>28</v>
      </c>
      <c r="G116" s="8" t="s">
        <v>42</v>
      </c>
      <c r="H116" s="12">
        <v>312</v>
      </c>
      <c r="I116" t="s">
        <v>351</v>
      </c>
      <c r="J116" t="s">
        <v>62</v>
      </c>
      <c r="K116" t="s">
        <v>63</v>
      </c>
      <c r="N116" s="12"/>
      <c r="O116" s="8"/>
      <c r="P116">
        <v>1</v>
      </c>
      <c r="Q116" s="8">
        <v>1</v>
      </c>
      <c r="R116" s="12">
        <v>1</v>
      </c>
      <c r="S116" s="8">
        <v>1</v>
      </c>
      <c r="T116" s="12"/>
      <c r="U116" s="8"/>
      <c r="V116" s="2">
        <v>45658</v>
      </c>
      <c r="W116" s="2">
        <v>1</v>
      </c>
      <c r="X116" s="2">
        <v>45869</v>
      </c>
      <c r="Y116" s="2">
        <v>45869</v>
      </c>
      <c r="Z116" s="2"/>
      <c r="AA116" t="s">
        <v>151</v>
      </c>
      <c r="AE116" s="2"/>
      <c r="AG116" s="17"/>
      <c r="AH116" s="2"/>
    </row>
    <row r="117" spans="1:34" hidden="1" x14ac:dyDescent="0.25">
      <c r="A117" s="12">
        <v>8306</v>
      </c>
      <c r="B117" s="12">
        <v>342</v>
      </c>
      <c r="C117" t="s">
        <v>152</v>
      </c>
      <c r="E117" s="8"/>
      <c r="F117" s="12">
        <v>28</v>
      </c>
      <c r="G117" s="8" t="s">
        <v>42</v>
      </c>
      <c r="H117" s="12">
        <v>3204</v>
      </c>
      <c r="I117" t="s">
        <v>52</v>
      </c>
      <c r="J117" t="s">
        <v>62</v>
      </c>
      <c r="K117" t="s">
        <v>63</v>
      </c>
      <c r="N117" s="12"/>
      <c r="O117" s="8"/>
      <c r="P117">
        <v>1</v>
      </c>
      <c r="Q117" s="8">
        <v>1</v>
      </c>
      <c r="R117" s="12">
        <v>3</v>
      </c>
      <c r="S117" s="8">
        <v>3</v>
      </c>
      <c r="T117" s="12"/>
      <c r="U117" s="8"/>
      <c r="V117" s="2">
        <v>45658</v>
      </c>
      <c r="W117" s="2">
        <v>1</v>
      </c>
      <c r="X117" s="2">
        <v>45744</v>
      </c>
      <c r="Y117" s="2">
        <v>45744</v>
      </c>
      <c r="Z117" s="2"/>
      <c r="AE117" s="2"/>
      <c r="AG117" s="17"/>
      <c r="AH117" s="2"/>
    </row>
    <row r="118" spans="1:34" hidden="1" x14ac:dyDescent="0.25">
      <c r="A118" s="12">
        <v>8430</v>
      </c>
      <c r="B118" s="12">
        <v>343</v>
      </c>
      <c r="C118" t="s">
        <v>153</v>
      </c>
      <c r="D118">
        <v>247885</v>
      </c>
      <c r="E118" s="8" t="s">
        <v>82</v>
      </c>
      <c r="F118" s="12">
        <v>28</v>
      </c>
      <c r="G118" s="8" t="s">
        <v>42</v>
      </c>
      <c r="H118" s="12">
        <v>312</v>
      </c>
      <c r="I118" t="s">
        <v>351</v>
      </c>
      <c r="J118" t="s">
        <v>62</v>
      </c>
      <c r="K118" t="s">
        <v>63</v>
      </c>
      <c r="N118" s="12"/>
      <c r="O118" s="8"/>
      <c r="P118">
        <v>1</v>
      </c>
      <c r="Q118" s="8">
        <v>1</v>
      </c>
      <c r="R118" s="12">
        <v>1</v>
      </c>
      <c r="S118" s="8">
        <v>1</v>
      </c>
      <c r="T118" s="12"/>
      <c r="U118" s="8"/>
      <c r="V118" s="2">
        <v>45658</v>
      </c>
      <c r="W118" s="2">
        <v>1</v>
      </c>
      <c r="X118" s="2">
        <v>45760</v>
      </c>
      <c r="Y118" s="2">
        <v>45760</v>
      </c>
      <c r="Z118" s="2"/>
      <c r="AA118" t="s">
        <v>154</v>
      </c>
      <c r="AE118" s="2"/>
      <c r="AG118" s="17"/>
      <c r="AH118" s="2"/>
    </row>
    <row r="119" spans="1:34" hidden="1" x14ac:dyDescent="0.25">
      <c r="A119" s="12">
        <v>8431</v>
      </c>
      <c r="B119" s="12">
        <v>345</v>
      </c>
      <c r="C119" t="s">
        <v>159</v>
      </c>
      <c r="D119">
        <v>247885</v>
      </c>
      <c r="E119" s="8" t="s">
        <v>82</v>
      </c>
      <c r="F119" s="12">
        <v>28</v>
      </c>
      <c r="G119" s="8" t="s">
        <v>42</v>
      </c>
      <c r="H119" s="12">
        <v>312</v>
      </c>
      <c r="I119" t="s">
        <v>351</v>
      </c>
      <c r="J119" t="s">
        <v>62</v>
      </c>
      <c r="K119" t="s">
        <v>63</v>
      </c>
      <c r="N119" s="12"/>
      <c r="O119" s="8"/>
      <c r="P119">
        <v>1</v>
      </c>
      <c r="Q119" s="8">
        <v>1</v>
      </c>
      <c r="R119" s="12">
        <v>1</v>
      </c>
      <c r="S119" s="8">
        <v>1</v>
      </c>
      <c r="T119" s="12"/>
      <c r="U119" s="8"/>
      <c r="V119" s="2">
        <v>45658</v>
      </c>
      <c r="W119" s="2">
        <v>1</v>
      </c>
      <c r="X119" s="2">
        <v>45760</v>
      </c>
      <c r="Y119" s="2">
        <v>45790</v>
      </c>
      <c r="Z119" s="2"/>
      <c r="AA119" t="s">
        <v>160</v>
      </c>
      <c r="AE119" s="2"/>
      <c r="AG119" s="17"/>
      <c r="AH119" s="2"/>
    </row>
    <row r="120" spans="1:34" hidden="1" x14ac:dyDescent="0.25">
      <c r="A120" s="12">
        <v>8432</v>
      </c>
      <c r="B120" s="12">
        <v>346</v>
      </c>
      <c r="C120" t="s">
        <v>161</v>
      </c>
      <c r="D120">
        <v>247828</v>
      </c>
      <c r="E120" s="8" t="s">
        <v>61</v>
      </c>
      <c r="F120" s="12">
        <v>21</v>
      </c>
      <c r="G120" s="8" t="s">
        <v>44</v>
      </c>
      <c r="H120" s="12">
        <v>3234</v>
      </c>
      <c r="I120" t="s">
        <v>48</v>
      </c>
      <c r="J120" t="s">
        <v>62</v>
      </c>
      <c r="K120" t="s">
        <v>63</v>
      </c>
      <c r="N120" s="12"/>
      <c r="O120" s="8"/>
      <c r="P120">
        <v>1</v>
      </c>
      <c r="Q120" s="8">
        <v>1</v>
      </c>
      <c r="R120" s="12">
        <v>1</v>
      </c>
      <c r="S120" s="8">
        <v>1</v>
      </c>
      <c r="T120" s="12"/>
      <c r="U120" s="8"/>
      <c r="V120" s="2">
        <v>45658</v>
      </c>
      <c r="W120" s="2">
        <v>1</v>
      </c>
      <c r="X120" s="2">
        <v>45688</v>
      </c>
      <c r="Y120" s="2">
        <v>45688</v>
      </c>
      <c r="Z120" s="2"/>
      <c r="AA120" t="s">
        <v>162</v>
      </c>
      <c r="AE120" s="2"/>
      <c r="AG120" s="17"/>
      <c r="AH120" s="2"/>
    </row>
    <row r="121" spans="1:34" hidden="1" x14ac:dyDescent="0.25">
      <c r="A121" s="12">
        <v>8433</v>
      </c>
      <c r="B121" s="12">
        <v>347</v>
      </c>
      <c r="C121" t="s">
        <v>163</v>
      </c>
      <c r="D121">
        <v>247857</v>
      </c>
      <c r="E121" s="8" t="s">
        <v>66</v>
      </c>
      <c r="F121" s="12">
        <v>22</v>
      </c>
      <c r="G121" s="8" t="s">
        <v>45</v>
      </c>
      <c r="H121" s="12">
        <v>3234</v>
      </c>
      <c r="I121" t="s">
        <v>48</v>
      </c>
      <c r="J121" t="s">
        <v>62</v>
      </c>
      <c r="K121" t="s">
        <v>63</v>
      </c>
      <c r="N121" s="12"/>
      <c r="O121" s="8"/>
      <c r="P121">
        <v>3</v>
      </c>
      <c r="Q121" s="8">
        <v>3</v>
      </c>
      <c r="R121" s="12">
        <v>1</v>
      </c>
      <c r="S121" s="8">
        <v>1</v>
      </c>
      <c r="T121" s="12"/>
      <c r="U121" s="8"/>
      <c r="V121" s="2">
        <v>45658</v>
      </c>
      <c r="W121" s="2">
        <v>1</v>
      </c>
      <c r="X121" s="2">
        <v>45716</v>
      </c>
      <c r="Y121" s="2">
        <v>45761</v>
      </c>
      <c r="Z121" s="2"/>
      <c r="AA121" t="s">
        <v>164</v>
      </c>
      <c r="AB121">
        <v>8433</v>
      </c>
      <c r="AC121">
        <v>72119</v>
      </c>
      <c r="AD121" t="s">
        <v>352</v>
      </c>
      <c r="AE121" s="2">
        <v>45700</v>
      </c>
      <c r="AF121">
        <v>4</v>
      </c>
      <c r="AG121" s="17">
        <v>0.16666666666666599</v>
      </c>
      <c r="AH121" s="2">
        <v>45708</v>
      </c>
    </row>
    <row r="122" spans="1:34" hidden="1" x14ac:dyDescent="0.25">
      <c r="A122" s="12">
        <v>8433</v>
      </c>
      <c r="B122" s="12">
        <v>347</v>
      </c>
      <c r="C122" t="s">
        <v>163</v>
      </c>
      <c r="D122">
        <v>247857</v>
      </c>
      <c r="E122" s="8" t="s">
        <v>66</v>
      </c>
      <c r="F122" s="12">
        <v>22</v>
      </c>
      <c r="G122" s="8" t="s">
        <v>45</v>
      </c>
      <c r="H122" s="12">
        <v>3234</v>
      </c>
      <c r="I122" t="s">
        <v>48</v>
      </c>
      <c r="K122" t="s">
        <v>63</v>
      </c>
      <c r="N122" s="12"/>
      <c r="O122" s="8"/>
      <c r="P122">
        <v>3</v>
      </c>
      <c r="Q122" s="8">
        <v>3</v>
      </c>
      <c r="R122" s="12">
        <v>1</v>
      </c>
      <c r="S122" s="8">
        <v>1</v>
      </c>
      <c r="T122" s="12"/>
      <c r="U122" s="8"/>
      <c r="V122" s="2">
        <v>45658</v>
      </c>
      <c r="W122" s="2">
        <v>1</v>
      </c>
      <c r="X122" s="2">
        <v>45716</v>
      </c>
      <c r="Y122" s="2">
        <v>45761</v>
      </c>
      <c r="Z122" s="2"/>
      <c r="AA122" t="s">
        <v>164</v>
      </c>
      <c r="AB122">
        <v>8433</v>
      </c>
      <c r="AC122">
        <v>72118</v>
      </c>
      <c r="AD122" t="s">
        <v>535</v>
      </c>
      <c r="AE122" s="2">
        <v>45699</v>
      </c>
      <c r="AF122">
        <v>4</v>
      </c>
      <c r="AG122" s="17">
        <v>0.16666666666666599</v>
      </c>
      <c r="AH122" s="2">
        <v>45708</v>
      </c>
    </row>
    <row r="123" spans="1:34" hidden="1" x14ac:dyDescent="0.25">
      <c r="A123" s="12">
        <v>8433</v>
      </c>
      <c r="B123" s="12">
        <v>347</v>
      </c>
      <c r="C123" t="s">
        <v>163</v>
      </c>
      <c r="D123">
        <v>247857</v>
      </c>
      <c r="E123" s="8" t="s">
        <v>66</v>
      </c>
      <c r="F123" s="12">
        <v>22</v>
      </c>
      <c r="G123" s="8" t="s">
        <v>45</v>
      </c>
      <c r="H123" s="12">
        <v>3234</v>
      </c>
      <c r="I123" t="s">
        <v>48</v>
      </c>
      <c r="K123" t="s">
        <v>63</v>
      </c>
      <c r="N123" s="12"/>
      <c r="O123" s="8"/>
      <c r="P123">
        <v>3</v>
      </c>
      <c r="Q123" s="8">
        <v>3</v>
      </c>
      <c r="R123" s="12">
        <v>1</v>
      </c>
      <c r="S123" s="8">
        <v>1</v>
      </c>
      <c r="T123" s="12"/>
      <c r="U123" s="8"/>
      <c r="V123" s="2">
        <v>45658</v>
      </c>
      <c r="W123" s="2">
        <v>1</v>
      </c>
      <c r="X123" s="2">
        <v>45716</v>
      </c>
      <c r="Y123" s="2">
        <v>45761</v>
      </c>
      <c r="Z123" s="2"/>
      <c r="AA123" t="s">
        <v>164</v>
      </c>
      <c r="AB123">
        <v>8433</v>
      </c>
      <c r="AC123">
        <v>72117</v>
      </c>
      <c r="AD123" t="s">
        <v>536</v>
      </c>
      <c r="AE123" s="2">
        <v>45698</v>
      </c>
      <c r="AF123">
        <v>3</v>
      </c>
      <c r="AG123" s="17">
        <v>0.125</v>
      </c>
      <c r="AH123" s="2">
        <v>45708</v>
      </c>
    </row>
    <row r="124" spans="1:34" hidden="1" x14ac:dyDescent="0.25">
      <c r="A124" s="12">
        <v>8434</v>
      </c>
      <c r="B124" s="12">
        <v>348</v>
      </c>
      <c r="C124" t="s">
        <v>165</v>
      </c>
      <c r="D124">
        <v>247722</v>
      </c>
      <c r="E124" s="8" t="s">
        <v>134</v>
      </c>
      <c r="F124" s="12">
        <v>21</v>
      </c>
      <c r="G124" s="8" t="s">
        <v>44</v>
      </c>
      <c r="H124" s="12">
        <v>3234</v>
      </c>
      <c r="I124" t="s">
        <v>48</v>
      </c>
      <c r="J124" t="s">
        <v>62</v>
      </c>
      <c r="K124" t="s">
        <v>63</v>
      </c>
      <c r="N124" s="12"/>
      <c r="O124" s="8"/>
      <c r="P124">
        <v>1</v>
      </c>
      <c r="Q124" s="8">
        <v>1</v>
      </c>
      <c r="R124" s="12">
        <v>1</v>
      </c>
      <c r="S124" s="8">
        <v>1</v>
      </c>
      <c r="T124" s="12"/>
      <c r="U124" s="8"/>
      <c r="V124" s="2">
        <v>45658</v>
      </c>
      <c r="W124" s="2">
        <v>1</v>
      </c>
      <c r="X124" s="2">
        <v>45688</v>
      </c>
      <c r="Y124" s="2">
        <v>45688</v>
      </c>
      <c r="Z124" s="2"/>
      <c r="AA124" t="s">
        <v>166</v>
      </c>
      <c r="AE124" s="2"/>
      <c r="AG124" s="17"/>
      <c r="AH124" s="2"/>
    </row>
    <row r="125" spans="1:34" hidden="1" x14ac:dyDescent="0.25">
      <c r="A125" s="12">
        <v>8435</v>
      </c>
      <c r="B125" s="12">
        <v>349</v>
      </c>
      <c r="C125" t="s">
        <v>167</v>
      </c>
      <c r="D125">
        <v>247828</v>
      </c>
      <c r="E125" s="8" t="s">
        <v>61</v>
      </c>
      <c r="F125" s="12">
        <v>27</v>
      </c>
      <c r="G125" s="8" t="s">
        <v>168</v>
      </c>
      <c r="H125" s="12">
        <v>3234</v>
      </c>
      <c r="I125" t="s">
        <v>48</v>
      </c>
      <c r="J125" t="s">
        <v>62</v>
      </c>
      <c r="K125" t="s">
        <v>63</v>
      </c>
      <c r="N125" s="12"/>
      <c r="O125" s="8"/>
      <c r="P125">
        <v>3</v>
      </c>
      <c r="Q125" s="8">
        <v>3</v>
      </c>
      <c r="R125" s="12">
        <v>3</v>
      </c>
      <c r="S125" s="8">
        <v>3</v>
      </c>
      <c r="T125" s="12"/>
      <c r="U125" s="8"/>
      <c r="V125" s="2">
        <v>45658</v>
      </c>
      <c r="W125" s="2">
        <v>1</v>
      </c>
      <c r="X125" s="2">
        <v>45726</v>
      </c>
      <c r="Y125" s="2">
        <v>45726</v>
      </c>
      <c r="Z125" s="2"/>
      <c r="AA125" t="s">
        <v>169</v>
      </c>
      <c r="AE125" s="2"/>
      <c r="AG125" s="17"/>
      <c r="AH125" s="2"/>
    </row>
    <row r="126" spans="1:34" hidden="1" x14ac:dyDescent="0.25">
      <c r="A126" s="12">
        <v>8436</v>
      </c>
      <c r="B126" s="12">
        <v>350</v>
      </c>
      <c r="C126" t="s">
        <v>170</v>
      </c>
      <c r="D126">
        <v>247857</v>
      </c>
      <c r="E126" s="8" t="s">
        <v>66</v>
      </c>
      <c r="F126" s="12">
        <v>21</v>
      </c>
      <c r="G126" s="8" t="s">
        <v>44</v>
      </c>
      <c r="H126" s="12">
        <v>3234</v>
      </c>
      <c r="I126" t="s">
        <v>48</v>
      </c>
      <c r="J126" t="s">
        <v>62</v>
      </c>
      <c r="K126" t="s">
        <v>63</v>
      </c>
      <c r="N126" s="12"/>
      <c r="O126" s="8"/>
      <c r="P126">
        <v>1</v>
      </c>
      <c r="Q126" s="8">
        <v>1</v>
      </c>
      <c r="R126" s="12">
        <v>1</v>
      </c>
      <c r="S126" s="8">
        <v>1</v>
      </c>
      <c r="T126" s="12"/>
      <c r="U126" s="8"/>
      <c r="V126" s="2">
        <v>45658</v>
      </c>
      <c r="W126" s="2">
        <v>1</v>
      </c>
      <c r="X126" s="2">
        <v>45702</v>
      </c>
      <c r="Y126" s="2">
        <v>45702</v>
      </c>
      <c r="Z126" s="2"/>
      <c r="AA126" t="s">
        <v>171</v>
      </c>
      <c r="AE126" s="2"/>
      <c r="AG126" s="17"/>
      <c r="AH126" s="2"/>
    </row>
    <row r="127" spans="1:34" hidden="1" x14ac:dyDescent="0.25">
      <c r="A127" s="12">
        <v>8437</v>
      </c>
      <c r="B127" s="12">
        <v>351</v>
      </c>
      <c r="C127" t="s">
        <v>172</v>
      </c>
      <c r="D127">
        <v>247828</v>
      </c>
      <c r="E127" s="8" t="s">
        <v>61</v>
      </c>
      <c r="F127" s="12">
        <v>27</v>
      </c>
      <c r="G127" s="8" t="s">
        <v>168</v>
      </c>
      <c r="H127" s="12">
        <v>3234</v>
      </c>
      <c r="I127" t="s">
        <v>48</v>
      </c>
      <c r="J127" t="s">
        <v>62</v>
      </c>
      <c r="K127" t="s">
        <v>63</v>
      </c>
      <c r="N127" s="12"/>
      <c r="O127" s="8"/>
      <c r="P127">
        <v>3</v>
      </c>
      <c r="Q127" s="8">
        <v>3</v>
      </c>
      <c r="R127" s="12">
        <v>1</v>
      </c>
      <c r="S127" s="8">
        <v>1</v>
      </c>
      <c r="T127" s="12"/>
      <c r="U127" s="8"/>
      <c r="V127" s="2">
        <v>45658</v>
      </c>
      <c r="W127" s="2">
        <v>1</v>
      </c>
      <c r="X127" s="2">
        <v>45716</v>
      </c>
      <c r="Y127" s="2">
        <v>45757</v>
      </c>
      <c r="Z127" s="2"/>
      <c r="AA127" t="s">
        <v>173</v>
      </c>
      <c r="AE127" s="2"/>
      <c r="AG127" s="17"/>
      <c r="AH127" s="2"/>
    </row>
    <row r="128" spans="1:34" hidden="1" x14ac:dyDescent="0.25">
      <c r="A128" s="12">
        <v>8255</v>
      </c>
      <c r="B128" s="12">
        <v>359</v>
      </c>
      <c r="C128" t="s">
        <v>176</v>
      </c>
      <c r="E128" s="8"/>
      <c r="F128" s="12">
        <v>21</v>
      </c>
      <c r="G128" s="8" t="s">
        <v>44</v>
      </c>
      <c r="H128" s="12">
        <v>3201</v>
      </c>
      <c r="I128" t="s">
        <v>51</v>
      </c>
      <c r="J128" t="s">
        <v>62</v>
      </c>
      <c r="K128" t="s">
        <v>101</v>
      </c>
      <c r="N128" s="12"/>
      <c r="O128" s="8"/>
      <c r="P128">
        <v>1</v>
      </c>
      <c r="Q128" s="8">
        <v>1</v>
      </c>
      <c r="R128" s="12">
        <v>1</v>
      </c>
      <c r="S128" s="8">
        <v>1</v>
      </c>
      <c r="T128" s="12"/>
      <c r="U128" s="8"/>
      <c r="V128" s="2">
        <v>45677</v>
      </c>
      <c r="W128" s="2">
        <v>1</v>
      </c>
      <c r="X128" s="2">
        <v>45688</v>
      </c>
      <c r="Y128" s="2">
        <v>45688</v>
      </c>
      <c r="Z128" s="2"/>
      <c r="AB128">
        <v>8255</v>
      </c>
      <c r="AC128">
        <v>67456</v>
      </c>
      <c r="AD128" t="s">
        <v>353</v>
      </c>
      <c r="AE128" s="2">
        <v>45687</v>
      </c>
      <c r="AF128">
        <v>2</v>
      </c>
      <c r="AG128" s="17">
        <v>8.3333333333333301E-2</v>
      </c>
      <c r="AH128" s="2">
        <v>45691</v>
      </c>
    </row>
    <row r="129" spans="1:34" hidden="1" x14ac:dyDescent="0.25">
      <c r="A129" s="12">
        <v>8255</v>
      </c>
      <c r="B129" s="12">
        <v>359</v>
      </c>
      <c r="C129" t="s">
        <v>176</v>
      </c>
      <c r="E129" s="8"/>
      <c r="F129" s="12">
        <v>21</v>
      </c>
      <c r="G129" s="8" t="s">
        <v>44</v>
      </c>
      <c r="H129" s="12">
        <v>3201</v>
      </c>
      <c r="I129" t="s">
        <v>51</v>
      </c>
      <c r="K129" t="s">
        <v>101</v>
      </c>
      <c r="N129" s="12"/>
      <c r="O129" s="8"/>
      <c r="P129">
        <v>1</v>
      </c>
      <c r="Q129" s="8">
        <v>1</v>
      </c>
      <c r="R129" s="12">
        <v>1</v>
      </c>
      <c r="S129" s="8">
        <v>1</v>
      </c>
      <c r="T129" s="12"/>
      <c r="U129" s="8"/>
      <c r="V129" s="2">
        <v>45677</v>
      </c>
      <c r="W129" s="2">
        <v>1</v>
      </c>
      <c r="X129" s="2">
        <v>45688</v>
      </c>
      <c r="Y129" s="2">
        <v>45688</v>
      </c>
      <c r="Z129" s="2"/>
      <c r="AB129">
        <v>8255</v>
      </c>
      <c r="AC129">
        <v>67445</v>
      </c>
      <c r="AD129" t="s">
        <v>537</v>
      </c>
      <c r="AE129" s="2">
        <v>45687</v>
      </c>
      <c r="AF129">
        <v>2</v>
      </c>
      <c r="AG129" s="17">
        <v>8.3333333333333301E-2</v>
      </c>
      <c r="AH129" s="2">
        <v>45691</v>
      </c>
    </row>
    <row r="130" spans="1:34" hidden="1" x14ac:dyDescent="0.25">
      <c r="A130" s="12">
        <v>8255</v>
      </c>
      <c r="B130" s="12">
        <v>359</v>
      </c>
      <c r="C130" t="s">
        <v>176</v>
      </c>
      <c r="E130" s="8"/>
      <c r="F130" s="12">
        <v>21</v>
      </c>
      <c r="G130" s="8" t="s">
        <v>44</v>
      </c>
      <c r="H130" s="12">
        <v>3201</v>
      </c>
      <c r="I130" t="s">
        <v>51</v>
      </c>
      <c r="K130" t="s">
        <v>101</v>
      </c>
      <c r="N130" s="12"/>
      <c r="O130" s="8"/>
      <c r="P130">
        <v>1</v>
      </c>
      <c r="Q130" s="8">
        <v>1</v>
      </c>
      <c r="R130" s="12">
        <v>1</v>
      </c>
      <c r="S130" s="8">
        <v>1</v>
      </c>
      <c r="T130" s="12"/>
      <c r="U130" s="8"/>
      <c r="V130" s="2">
        <v>45677</v>
      </c>
      <c r="W130" s="2">
        <v>1</v>
      </c>
      <c r="X130" s="2">
        <v>45688</v>
      </c>
      <c r="Y130" s="2">
        <v>45688</v>
      </c>
      <c r="Z130" s="2"/>
      <c r="AB130">
        <v>8255</v>
      </c>
      <c r="AC130">
        <v>67444</v>
      </c>
      <c r="AD130" t="s">
        <v>538</v>
      </c>
      <c r="AE130" s="2">
        <v>45687</v>
      </c>
      <c r="AF130">
        <v>3</v>
      </c>
      <c r="AG130" s="17">
        <v>0.125</v>
      </c>
      <c r="AH130" s="2">
        <v>45691</v>
      </c>
    </row>
    <row r="131" spans="1:34" hidden="1" x14ac:dyDescent="0.25">
      <c r="A131" s="12">
        <v>8255</v>
      </c>
      <c r="B131" s="12">
        <v>359</v>
      </c>
      <c r="C131" t="s">
        <v>176</v>
      </c>
      <c r="E131" s="8"/>
      <c r="F131" s="12">
        <v>21</v>
      </c>
      <c r="G131" s="8" t="s">
        <v>44</v>
      </c>
      <c r="H131" s="12">
        <v>3201</v>
      </c>
      <c r="I131" t="s">
        <v>51</v>
      </c>
      <c r="K131" t="s">
        <v>101</v>
      </c>
      <c r="N131" s="12"/>
      <c r="O131" s="8"/>
      <c r="P131">
        <v>1</v>
      </c>
      <c r="Q131" s="8">
        <v>1</v>
      </c>
      <c r="R131" s="12">
        <v>1</v>
      </c>
      <c r="S131" s="8">
        <v>1</v>
      </c>
      <c r="T131" s="12"/>
      <c r="U131" s="8"/>
      <c r="V131" s="2">
        <v>45677</v>
      </c>
      <c r="W131" s="2">
        <v>1</v>
      </c>
      <c r="X131" s="2">
        <v>45688</v>
      </c>
      <c r="Y131" s="2">
        <v>45688</v>
      </c>
      <c r="Z131" s="2"/>
      <c r="AB131">
        <v>8255</v>
      </c>
      <c r="AC131">
        <v>67443</v>
      </c>
      <c r="AD131" t="s">
        <v>539</v>
      </c>
      <c r="AE131" s="2">
        <v>45686</v>
      </c>
      <c r="AF131">
        <v>1</v>
      </c>
      <c r="AG131" s="17">
        <v>4.1666666666666602E-2</v>
      </c>
      <c r="AH131" s="2">
        <v>45691</v>
      </c>
    </row>
    <row r="132" spans="1:34" hidden="1" x14ac:dyDescent="0.25">
      <c r="A132" s="12">
        <v>8255</v>
      </c>
      <c r="B132" s="12">
        <v>359</v>
      </c>
      <c r="C132" t="s">
        <v>176</v>
      </c>
      <c r="E132" s="8"/>
      <c r="F132" s="12">
        <v>21</v>
      </c>
      <c r="G132" s="8" t="s">
        <v>44</v>
      </c>
      <c r="H132" s="12">
        <v>3201</v>
      </c>
      <c r="I132" t="s">
        <v>51</v>
      </c>
      <c r="K132" t="s">
        <v>101</v>
      </c>
      <c r="N132" s="12"/>
      <c r="O132" s="8"/>
      <c r="P132">
        <v>1</v>
      </c>
      <c r="Q132" s="8">
        <v>1</v>
      </c>
      <c r="R132" s="12">
        <v>1</v>
      </c>
      <c r="S132" s="8">
        <v>1</v>
      </c>
      <c r="T132" s="12"/>
      <c r="U132" s="8"/>
      <c r="V132" s="2">
        <v>45677</v>
      </c>
      <c r="W132" s="2">
        <v>1</v>
      </c>
      <c r="X132" s="2">
        <v>45688</v>
      </c>
      <c r="Y132" s="2">
        <v>45688</v>
      </c>
      <c r="Z132" s="2"/>
      <c r="AB132">
        <v>8255</v>
      </c>
      <c r="AC132">
        <v>66002</v>
      </c>
      <c r="AD132" t="s">
        <v>540</v>
      </c>
      <c r="AE132" s="2">
        <v>45686</v>
      </c>
      <c r="AF132">
        <v>2</v>
      </c>
      <c r="AG132" s="17">
        <v>8.3333333333333301E-2</v>
      </c>
      <c r="AH132" s="2">
        <v>45686</v>
      </c>
    </row>
    <row r="133" spans="1:34" hidden="1" x14ac:dyDescent="0.25">
      <c r="A133" s="12">
        <v>8255</v>
      </c>
      <c r="B133" s="12">
        <v>359</v>
      </c>
      <c r="C133" t="s">
        <v>176</v>
      </c>
      <c r="E133" s="8"/>
      <c r="F133" s="12">
        <v>21</v>
      </c>
      <c r="G133" s="8" t="s">
        <v>44</v>
      </c>
      <c r="H133" s="12">
        <v>3201</v>
      </c>
      <c r="I133" t="s">
        <v>51</v>
      </c>
      <c r="K133" t="s">
        <v>101</v>
      </c>
      <c r="N133" s="12"/>
      <c r="O133" s="8"/>
      <c r="P133">
        <v>1</v>
      </c>
      <c r="Q133" s="8">
        <v>1</v>
      </c>
      <c r="R133" s="12">
        <v>1</v>
      </c>
      <c r="S133" s="8">
        <v>1</v>
      </c>
      <c r="T133" s="12"/>
      <c r="U133" s="8"/>
      <c r="V133" s="2">
        <v>45677</v>
      </c>
      <c r="W133" s="2">
        <v>1</v>
      </c>
      <c r="X133" s="2">
        <v>45688</v>
      </c>
      <c r="Y133" s="2">
        <v>45688</v>
      </c>
      <c r="Z133" s="2"/>
      <c r="AB133">
        <v>8255</v>
      </c>
      <c r="AC133">
        <v>66000</v>
      </c>
      <c r="AD133" t="s">
        <v>541</v>
      </c>
      <c r="AE133" s="2">
        <v>45684</v>
      </c>
      <c r="AF133">
        <v>0.75</v>
      </c>
      <c r="AG133" s="17">
        <v>3.125E-2</v>
      </c>
      <c r="AH133" s="2">
        <v>45686</v>
      </c>
    </row>
    <row r="134" spans="1:34" hidden="1" x14ac:dyDescent="0.25">
      <c r="A134" s="12">
        <v>8255</v>
      </c>
      <c r="B134" s="12">
        <v>359</v>
      </c>
      <c r="C134" t="s">
        <v>176</v>
      </c>
      <c r="E134" s="8"/>
      <c r="F134" s="12">
        <v>21</v>
      </c>
      <c r="G134" s="8" t="s">
        <v>44</v>
      </c>
      <c r="H134" s="12">
        <v>3201</v>
      </c>
      <c r="I134" t="s">
        <v>51</v>
      </c>
      <c r="K134" t="s">
        <v>101</v>
      </c>
      <c r="N134" s="12"/>
      <c r="O134" s="8"/>
      <c r="P134">
        <v>1</v>
      </c>
      <c r="Q134" s="8">
        <v>1</v>
      </c>
      <c r="R134" s="12">
        <v>1</v>
      </c>
      <c r="S134" s="8">
        <v>1</v>
      </c>
      <c r="T134" s="12"/>
      <c r="U134" s="8"/>
      <c r="V134" s="2">
        <v>45677</v>
      </c>
      <c r="W134" s="2">
        <v>1</v>
      </c>
      <c r="X134" s="2">
        <v>45688</v>
      </c>
      <c r="Y134" s="2">
        <v>45688</v>
      </c>
      <c r="Z134" s="2"/>
      <c r="AB134">
        <v>8255</v>
      </c>
      <c r="AC134">
        <v>65999</v>
      </c>
      <c r="AD134" t="s">
        <v>542</v>
      </c>
      <c r="AE134" s="2">
        <v>45684</v>
      </c>
      <c r="AF134">
        <v>1.5</v>
      </c>
      <c r="AG134" s="17">
        <v>6.25E-2</v>
      </c>
      <c r="AH134" s="2">
        <v>45686</v>
      </c>
    </row>
    <row r="135" spans="1:34" hidden="1" x14ac:dyDescent="0.25">
      <c r="A135" s="12">
        <v>8255</v>
      </c>
      <c r="B135" s="12">
        <v>359</v>
      </c>
      <c r="C135" t="s">
        <v>176</v>
      </c>
      <c r="E135" s="8"/>
      <c r="F135" s="12">
        <v>21</v>
      </c>
      <c r="G135" s="8" t="s">
        <v>44</v>
      </c>
      <c r="H135" s="12">
        <v>3201</v>
      </c>
      <c r="I135" t="s">
        <v>51</v>
      </c>
      <c r="K135" t="s">
        <v>101</v>
      </c>
      <c r="N135" s="12"/>
      <c r="O135" s="8"/>
      <c r="P135">
        <v>1</v>
      </c>
      <c r="Q135" s="8">
        <v>1</v>
      </c>
      <c r="R135" s="12">
        <v>1</v>
      </c>
      <c r="S135" s="8">
        <v>1</v>
      </c>
      <c r="T135" s="12"/>
      <c r="U135" s="8"/>
      <c r="V135" s="2">
        <v>45677</v>
      </c>
      <c r="W135" s="2">
        <v>1</v>
      </c>
      <c r="X135" s="2">
        <v>45688</v>
      </c>
      <c r="Y135" s="2">
        <v>45688</v>
      </c>
      <c r="Z135" s="2"/>
      <c r="AB135">
        <v>8255</v>
      </c>
      <c r="AC135">
        <v>65998</v>
      </c>
      <c r="AD135" t="s">
        <v>543</v>
      </c>
      <c r="AE135" s="2">
        <v>45684</v>
      </c>
      <c r="AF135">
        <v>0.5</v>
      </c>
      <c r="AG135" s="17">
        <v>2.0833333333333301E-2</v>
      </c>
      <c r="AH135" s="2">
        <v>45686</v>
      </c>
    </row>
    <row r="136" spans="1:34" hidden="1" x14ac:dyDescent="0.25">
      <c r="A136" s="12">
        <v>8255</v>
      </c>
      <c r="B136" s="12">
        <v>359</v>
      </c>
      <c r="C136" t="s">
        <v>176</v>
      </c>
      <c r="E136" s="8"/>
      <c r="F136" s="12">
        <v>21</v>
      </c>
      <c r="G136" s="8" t="s">
        <v>44</v>
      </c>
      <c r="H136" s="12">
        <v>3201</v>
      </c>
      <c r="I136" t="s">
        <v>51</v>
      </c>
      <c r="K136" t="s">
        <v>101</v>
      </c>
      <c r="N136" s="12"/>
      <c r="O136" s="8"/>
      <c r="P136">
        <v>1</v>
      </c>
      <c r="Q136" s="8">
        <v>1</v>
      </c>
      <c r="R136" s="12">
        <v>1</v>
      </c>
      <c r="S136" s="8">
        <v>1</v>
      </c>
      <c r="T136" s="12"/>
      <c r="U136" s="8"/>
      <c r="V136" s="2">
        <v>45677</v>
      </c>
      <c r="W136" s="2">
        <v>1</v>
      </c>
      <c r="X136" s="2">
        <v>45688</v>
      </c>
      <c r="Y136" s="2">
        <v>45688</v>
      </c>
      <c r="Z136" s="2"/>
      <c r="AB136">
        <v>8255</v>
      </c>
      <c r="AC136">
        <v>65997</v>
      </c>
      <c r="AD136" t="s">
        <v>544</v>
      </c>
      <c r="AE136" s="2">
        <v>45684</v>
      </c>
      <c r="AF136">
        <v>1</v>
      </c>
      <c r="AG136" s="17">
        <v>4.1666666666666602E-2</v>
      </c>
      <c r="AH136" s="2">
        <v>45686</v>
      </c>
    </row>
    <row r="137" spans="1:34" hidden="1" x14ac:dyDescent="0.25">
      <c r="A137" s="12">
        <v>8255</v>
      </c>
      <c r="B137" s="12">
        <v>359</v>
      </c>
      <c r="C137" t="s">
        <v>176</v>
      </c>
      <c r="E137" s="8"/>
      <c r="F137" s="12">
        <v>21</v>
      </c>
      <c r="G137" s="8" t="s">
        <v>44</v>
      </c>
      <c r="H137" s="12">
        <v>3201</v>
      </c>
      <c r="I137" t="s">
        <v>51</v>
      </c>
      <c r="K137" t="s">
        <v>101</v>
      </c>
      <c r="N137" s="12"/>
      <c r="O137" s="8"/>
      <c r="P137">
        <v>1</v>
      </c>
      <c r="Q137" s="8">
        <v>1</v>
      </c>
      <c r="R137" s="12">
        <v>1</v>
      </c>
      <c r="S137" s="8">
        <v>1</v>
      </c>
      <c r="T137" s="12"/>
      <c r="U137" s="8"/>
      <c r="V137" s="2">
        <v>45677</v>
      </c>
      <c r="W137" s="2">
        <v>1</v>
      </c>
      <c r="X137" s="2">
        <v>45688</v>
      </c>
      <c r="Y137" s="2">
        <v>45688</v>
      </c>
      <c r="Z137" s="2"/>
      <c r="AB137">
        <v>8255</v>
      </c>
      <c r="AC137">
        <v>65996</v>
      </c>
      <c r="AD137" t="s">
        <v>545</v>
      </c>
      <c r="AE137" s="2">
        <v>45684</v>
      </c>
      <c r="AF137">
        <v>0.5</v>
      </c>
      <c r="AG137" s="17">
        <v>2.0833333333333301E-2</v>
      </c>
      <c r="AH137" s="2">
        <v>45686</v>
      </c>
    </row>
    <row r="138" spans="1:34" hidden="1" x14ac:dyDescent="0.25">
      <c r="A138" s="12">
        <v>8255</v>
      </c>
      <c r="B138" s="12">
        <v>359</v>
      </c>
      <c r="C138" t="s">
        <v>176</v>
      </c>
      <c r="E138" s="8"/>
      <c r="F138" s="12">
        <v>21</v>
      </c>
      <c r="G138" s="8" t="s">
        <v>44</v>
      </c>
      <c r="H138" s="12">
        <v>3201</v>
      </c>
      <c r="I138" t="s">
        <v>51</v>
      </c>
      <c r="K138" t="s">
        <v>101</v>
      </c>
      <c r="N138" s="12"/>
      <c r="O138" s="8"/>
      <c r="P138">
        <v>1</v>
      </c>
      <c r="Q138" s="8">
        <v>1</v>
      </c>
      <c r="R138" s="12">
        <v>1</v>
      </c>
      <c r="S138" s="8">
        <v>1</v>
      </c>
      <c r="T138" s="12"/>
      <c r="U138" s="8"/>
      <c r="V138" s="2">
        <v>45677</v>
      </c>
      <c r="W138" s="2">
        <v>1</v>
      </c>
      <c r="X138" s="2">
        <v>45688</v>
      </c>
      <c r="Y138" s="2">
        <v>45688</v>
      </c>
      <c r="Z138" s="2"/>
      <c r="AB138">
        <v>8255</v>
      </c>
      <c r="AC138">
        <v>65995</v>
      </c>
      <c r="AD138" t="s">
        <v>546</v>
      </c>
      <c r="AE138" s="2">
        <v>45684</v>
      </c>
      <c r="AF138">
        <v>0.5</v>
      </c>
      <c r="AG138" s="17">
        <v>2.0833333333333301E-2</v>
      </c>
      <c r="AH138" s="2">
        <v>45686</v>
      </c>
    </row>
    <row r="139" spans="1:34" hidden="1" x14ac:dyDescent="0.25">
      <c r="A139" s="12">
        <v>8255</v>
      </c>
      <c r="B139" s="12">
        <v>359</v>
      </c>
      <c r="C139" t="s">
        <v>176</v>
      </c>
      <c r="E139" s="8"/>
      <c r="F139" s="12">
        <v>21</v>
      </c>
      <c r="G139" s="8" t="s">
        <v>44</v>
      </c>
      <c r="H139" s="12">
        <v>3201</v>
      </c>
      <c r="I139" t="s">
        <v>51</v>
      </c>
      <c r="K139" t="s">
        <v>101</v>
      </c>
      <c r="N139" s="12"/>
      <c r="O139" s="8"/>
      <c r="P139">
        <v>1</v>
      </c>
      <c r="Q139" s="8">
        <v>1</v>
      </c>
      <c r="R139" s="12">
        <v>1</v>
      </c>
      <c r="S139" s="8">
        <v>1</v>
      </c>
      <c r="T139" s="12"/>
      <c r="U139" s="8"/>
      <c r="V139" s="2">
        <v>45677</v>
      </c>
      <c r="W139" s="2">
        <v>1</v>
      </c>
      <c r="X139" s="2">
        <v>45688</v>
      </c>
      <c r="Y139" s="2">
        <v>45688</v>
      </c>
      <c r="Z139" s="2"/>
      <c r="AB139">
        <v>8255</v>
      </c>
      <c r="AC139">
        <v>65980</v>
      </c>
      <c r="AD139" t="s">
        <v>547</v>
      </c>
      <c r="AE139" s="2">
        <v>45684</v>
      </c>
      <c r="AF139">
        <v>0.75</v>
      </c>
      <c r="AG139" s="17">
        <v>3.125E-2</v>
      </c>
      <c r="AH139" s="2">
        <v>45686</v>
      </c>
    </row>
    <row r="140" spans="1:34" hidden="1" x14ac:dyDescent="0.25">
      <c r="A140" s="12">
        <v>8255</v>
      </c>
      <c r="B140" s="12">
        <v>359</v>
      </c>
      <c r="C140" t="s">
        <v>176</v>
      </c>
      <c r="E140" s="8"/>
      <c r="F140" s="12">
        <v>21</v>
      </c>
      <c r="G140" s="8" t="s">
        <v>44</v>
      </c>
      <c r="H140" s="12">
        <v>3201</v>
      </c>
      <c r="I140" t="s">
        <v>51</v>
      </c>
      <c r="K140" t="s">
        <v>101</v>
      </c>
      <c r="N140" s="12"/>
      <c r="O140" s="8"/>
      <c r="P140">
        <v>1</v>
      </c>
      <c r="Q140" s="8">
        <v>1</v>
      </c>
      <c r="R140" s="12">
        <v>1</v>
      </c>
      <c r="S140" s="8">
        <v>1</v>
      </c>
      <c r="T140" s="12"/>
      <c r="U140" s="8"/>
      <c r="V140" s="2">
        <v>45677</v>
      </c>
      <c r="W140" s="2">
        <v>1</v>
      </c>
      <c r="X140" s="2">
        <v>45688</v>
      </c>
      <c r="Y140" s="2">
        <v>45688</v>
      </c>
      <c r="Z140" s="2"/>
      <c r="AB140">
        <v>8255</v>
      </c>
      <c r="AC140">
        <v>65814</v>
      </c>
      <c r="AD140" t="s">
        <v>548</v>
      </c>
      <c r="AE140" s="2">
        <v>45684</v>
      </c>
      <c r="AF140">
        <v>0.5</v>
      </c>
      <c r="AG140" s="17">
        <v>2.0833333333333301E-2</v>
      </c>
      <c r="AH140" s="2">
        <v>45685</v>
      </c>
    </row>
    <row r="141" spans="1:34" hidden="1" x14ac:dyDescent="0.25">
      <c r="A141" s="12">
        <v>8255</v>
      </c>
      <c r="B141" s="12">
        <v>359</v>
      </c>
      <c r="C141" t="s">
        <v>176</v>
      </c>
      <c r="E141" s="8"/>
      <c r="F141" s="12">
        <v>21</v>
      </c>
      <c r="G141" s="8" t="s">
        <v>44</v>
      </c>
      <c r="H141" s="12">
        <v>3201</v>
      </c>
      <c r="I141" t="s">
        <v>51</v>
      </c>
      <c r="K141" t="s">
        <v>101</v>
      </c>
      <c r="N141" s="12"/>
      <c r="O141" s="8"/>
      <c r="P141">
        <v>1</v>
      </c>
      <c r="Q141" s="8">
        <v>1</v>
      </c>
      <c r="R141" s="12">
        <v>1</v>
      </c>
      <c r="S141" s="8">
        <v>1</v>
      </c>
      <c r="T141" s="12"/>
      <c r="U141" s="8"/>
      <c r="V141" s="2">
        <v>45677</v>
      </c>
      <c r="W141" s="2">
        <v>1</v>
      </c>
      <c r="X141" s="2">
        <v>45688</v>
      </c>
      <c r="Y141" s="2">
        <v>45688</v>
      </c>
      <c r="Z141" s="2"/>
      <c r="AB141">
        <v>8255</v>
      </c>
      <c r="AC141">
        <v>65813</v>
      </c>
      <c r="AD141" t="s">
        <v>549</v>
      </c>
      <c r="AE141" s="2">
        <v>45684</v>
      </c>
      <c r="AF141">
        <v>0.5</v>
      </c>
      <c r="AG141" s="17">
        <v>2.0833333333333301E-2</v>
      </c>
      <c r="AH141" s="2">
        <v>45685</v>
      </c>
    </row>
    <row r="142" spans="1:34" hidden="1" x14ac:dyDescent="0.25">
      <c r="A142" s="12">
        <v>8255</v>
      </c>
      <c r="B142" s="12">
        <v>359</v>
      </c>
      <c r="C142" t="s">
        <v>176</v>
      </c>
      <c r="E142" s="8"/>
      <c r="F142" s="12">
        <v>21</v>
      </c>
      <c r="G142" s="8" t="s">
        <v>44</v>
      </c>
      <c r="H142" s="12">
        <v>3201</v>
      </c>
      <c r="I142" t="s">
        <v>51</v>
      </c>
      <c r="K142" t="s">
        <v>101</v>
      </c>
      <c r="N142" s="12"/>
      <c r="O142" s="8"/>
      <c r="P142">
        <v>1</v>
      </c>
      <c r="Q142" s="8">
        <v>1</v>
      </c>
      <c r="R142" s="12">
        <v>1</v>
      </c>
      <c r="S142" s="8">
        <v>1</v>
      </c>
      <c r="T142" s="12"/>
      <c r="U142" s="8"/>
      <c r="V142" s="2">
        <v>45677</v>
      </c>
      <c r="W142" s="2">
        <v>1</v>
      </c>
      <c r="X142" s="2">
        <v>45688</v>
      </c>
      <c r="Y142" s="2">
        <v>45688</v>
      </c>
      <c r="Z142" s="2"/>
      <c r="AB142">
        <v>8255</v>
      </c>
      <c r="AC142">
        <v>65988</v>
      </c>
      <c r="AD142" t="s">
        <v>550</v>
      </c>
      <c r="AE142" s="2">
        <v>45680</v>
      </c>
      <c r="AF142">
        <v>0.5</v>
      </c>
      <c r="AG142" s="17">
        <v>2.0833333333333301E-2</v>
      </c>
      <c r="AH142" s="2">
        <v>45686</v>
      </c>
    </row>
    <row r="143" spans="1:34" hidden="1" x14ac:dyDescent="0.25">
      <c r="A143" s="12">
        <v>8255</v>
      </c>
      <c r="B143" s="12">
        <v>359</v>
      </c>
      <c r="C143" t="s">
        <v>176</v>
      </c>
      <c r="E143" s="8"/>
      <c r="F143" s="12">
        <v>21</v>
      </c>
      <c r="G143" s="8" t="s">
        <v>44</v>
      </c>
      <c r="H143" s="12">
        <v>3201</v>
      </c>
      <c r="I143" t="s">
        <v>51</v>
      </c>
      <c r="K143" t="s">
        <v>101</v>
      </c>
      <c r="N143" s="12"/>
      <c r="O143" s="8"/>
      <c r="P143">
        <v>1</v>
      </c>
      <c r="Q143" s="8">
        <v>1</v>
      </c>
      <c r="R143" s="12">
        <v>1</v>
      </c>
      <c r="S143" s="8">
        <v>1</v>
      </c>
      <c r="T143" s="12"/>
      <c r="U143" s="8"/>
      <c r="V143" s="2">
        <v>45677</v>
      </c>
      <c r="W143" s="2">
        <v>1</v>
      </c>
      <c r="X143" s="2">
        <v>45688</v>
      </c>
      <c r="Y143" s="2">
        <v>45688</v>
      </c>
      <c r="Z143" s="2"/>
      <c r="AB143">
        <v>8255</v>
      </c>
      <c r="AC143">
        <v>65986</v>
      </c>
      <c r="AD143" t="s">
        <v>551</v>
      </c>
      <c r="AE143" s="2">
        <v>45680</v>
      </c>
      <c r="AF143">
        <v>2</v>
      </c>
      <c r="AG143" s="17">
        <v>8.3333333333333301E-2</v>
      </c>
      <c r="AH143" s="2">
        <v>45686</v>
      </c>
    </row>
    <row r="144" spans="1:34" hidden="1" x14ac:dyDescent="0.25">
      <c r="A144" s="12">
        <v>8255</v>
      </c>
      <c r="B144" s="12">
        <v>359</v>
      </c>
      <c r="C144" t="s">
        <v>176</v>
      </c>
      <c r="E144" s="8"/>
      <c r="F144" s="12">
        <v>21</v>
      </c>
      <c r="G144" s="8" t="s">
        <v>44</v>
      </c>
      <c r="H144" s="12">
        <v>3201</v>
      </c>
      <c r="I144" t="s">
        <v>51</v>
      </c>
      <c r="K144" t="s">
        <v>101</v>
      </c>
      <c r="N144" s="12"/>
      <c r="O144" s="8"/>
      <c r="P144">
        <v>1</v>
      </c>
      <c r="Q144" s="8">
        <v>1</v>
      </c>
      <c r="R144" s="12">
        <v>1</v>
      </c>
      <c r="S144" s="8">
        <v>1</v>
      </c>
      <c r="T144" s="12"/>
      <c r="U144" s="8"/>
      <c r="V144" s="2">
        <v>45677</v>
      </c>
      <c r="W144" s="2">
        <v>1</v>
      </c>
      <c r="X144" s="2">
        <v>45688</v>
      </c>
      <c r="Y144" s="2">
        <v>45688</v>
      </c>
      <c r="Z144" s="2"/>
      <c r="AB144">
        <v>8255</v>
      </c>
      <c r="AC144">
        <v>65985</v>
      </c>
      <c r="AD144" t="s">
        <v>552</v>
      </c>
      <c r="AE144" s="2">
        <v>45680</v>
      </c>
      <c r="AF144">
        <v>4</v>
      </c>
      <c r="AG144" s="17">
        <v>0.16666666666666599</v>
      </c>
      <c r="AH144" s="2">
        <v>45686</v>
      </c>
    </row>
    <row r="145" spans="1:34" hidden="1" x14ac:dyDescent="0.25">
      <c r="A145" s="12">
        <v>8255</v>
      </c>
      <c r="B145" s="12">
        <v>359</v>
      </c>
      <c r="C145" t="s">
        <v>176</v>
      </c>
      <c r="E145" s="8"/>
      <c r="F145" s="12">
        <v>21</v>
      </c>
      <c r="G145" s="8" t="s">
        <v>44</v>
      </c>
      <c r="H145" s="12">
        <v>3201</v>
      </c>
      <c r="I145" t="s">
        <v>51</v>
      </c>
      <c r="K145" t="s">
        <v>101</v>
      </c>
      <c r="N145" s="12"/>
      <c r="O145" s="8"/>
      <c r="P145">
        <v>1</v>
      </c>
      <c r="Q145" s="8">
        <v>1</v>
      </c>
      <c r="R145" s="12">
        <v>1</v>
      </c>
      <c r="S145" s="8">
        <v>1</v>
      </c>
      <c r="T145" s="12"/>
      <c r="U145" s="8"/>
      <c r="V145" s="2">
        <v>45677</v>
      </c>
      <c r="W145" s="2">
        <v>1</v>
      </c>
      <c r="X145" s="2">
        <v>45688</v>
      </c>
      <c r="Y145" s="2">
        <v>45688</v>
      </c>
      <c r="Z145" s="2"/>
      <c r="AB145">
        <v>8255</v>
      </c>
      <c r="AC145">
        <v>65987</v>
      </c>
      <c r="AD145" t="s">
        <v>553</v>
      </c>
      <c r="AE145" s="2">
        <v>45679</v>
      </c>
      <c r="AF145">
        <v>0.5</v>
      </c>
      <c r="AG145" s="17">
        <v>2.0833333333333301E-2</v>
      </c>
      <c r="AH145" s="2">
        <v>45686</v>
      </c>
    </row>
    <row r="146" spans="1:34" hidden="1" x14ac:dyDescent="0.25">
      <c r="A146" s="12">
        <v>8255</v>
      </c>
      <c r="B146" s="12">
        <v>359</v>
      </c>
      <c r="C146" t="s">
        <v>176</v>
      </c>
      <c r="E146" s="8"/>
      <c r="F146" s="12">
        <v>21</v>
      </c>
      <c r="G146" s="8" t="s">
        <v>44</v>
      </c>
      <c r="H146" s="12">
        <v>3201</v>
      </c>
      <c r="I146" t="s">
        <v>51</v>
      </c>
      <c r="K146" t="s">
        <v>101</v>
      </c>
      <c r="N146" s="12"/>
      <c r="O146" s="8"/>
      <c r="P146">
        <v>1</v>
      </c>
      <c r="Q146" s="8">
        <v>1</v>
      </c>
      <c r="R146" s="12">
        <v>1</v>
      </c>
      <c r="S146" s="8">
        <v>1</v>
      </c>
      <c r="T146" s="12"/>
      <c r="U146" s="8"/>
      <c r="V146" s="2">
        <v>45677</v>
      </c>
      <c r="W146" s="2">
        <v>1</v>
      </c>
      <c r="X146" s="2">
        <v>45688</v>
      </c>
      <c r="Y146" s="2">
        <v>45688</v>
      </c>
      <c r="Z146" s="2"/>
      <c r="AB146">
        <v>8255</v>
      </c>
      <c r="AC146">
        <v>65984</v>
      </c>
      <c r="AD146" t="s">
        <v>554</v>
      </c>
      <c r="AE146" s="2">
        <v>45679</v>
      </c>
      <c r="AF146">
        <v>0.5</v>
      </c>
      <c r="AG146" s="17">
        <v>2.0833333333333301E-2</v>
      </c>
      <c r="AH146" s="2">
        <v>45686</v>
      </c>
    </row>
    <row r="147" spans="1:34" hidden="1" x14ac:dyDescent="0.25">
      <c r="A147" s="12">
        <v>8255</v>
      </c>
      <c r="B147" s="12">
        <v>359</v>
      </c>
      <c r="C147" t="s">
        <v>176</v>
      </c>
      <c r="E147" s="8"/>
      <c r="F147" s="12">
        <v>21</v>
      </c>
      <c r="G147" s="8" t="s">
        <v>44</v>
      </c>
      <c r="H147" s="12">
        <v>3201</v>
      </c>
      <c r="I147" t="s">
        <v>51</v>
      </c>
      <c r="K147" t="s">
        <v>101</v>
      </c>
      <c r="N147" s="12"/>
      <c r="O147" s="8"/>
      <c r="P147">
        <v>1</v>
      </c>
      <c r="Q147" s="8">
        <v>1</v>
      </c>
      <c r="R147" s="12">
        <v>1</v>
      </c>
      <c r="S147" s="8">
        <v>1</v>
      </c>
      <c r="T147" s="12"/>
      <c r="U147" s="8"/>
      <c r="V147" s="2">
        <v>45677</v>
      </c>
      <c r="W147" s="2">
        <v>1</v>
      </c>
      <c r="X147" s="2">
        <v>45688</v>
      </c>
      <c r="Y147" s="2">
        <v>45688</v>
      </c>
      <c r="Z147" s="2"/>
      <c r="AB147">
        <v>8255</v>
      </c>
      <c r="AC147">
        <v>65983</v>
      </c>
      <c r="AD147" t="s">
        <v>555</v>
      </c>
      <c r="AE147" s="2">
        <v>45679</v>
      </c>
      <c r="AF147">
        <v>1.25</v>
      </c>
      <c r="AG147" s="17">
        <v>5.2083333333333301E-2</v>
      </c>
      <c r="AH147" s="2">
        <v>45686</v>
      </c>
    </row>
    <row r="148" spans="1:34" hidden="1" x14ac:dyDescent="0.25">
      <c r="A148" s="12">
        <v>8255</v>
      </c>
      <c r="B148" s="12">
        <v>359</v>
      </c>
      <c r="C148" t="s">
        <v>176</v>
      </c>
      <c r="E148" s="8"/>
      <c r="F148" s="12">
        <v>21</v>
      </c>
      <c r="G148" s="8" t="s">
        <v>44</v>
      </c>
      <c r="H148" s="12">
        <v>3201</v>
      </c>
      <c r="I148" t="s">
        <v>51</v>
      </c>
      <c r="K148" t="s">
        <v>101</v>
      </c>
      <c r="N148" s="12"/>
      <c r="O148" s="8"/>
      <c r="P148">
        <v>1</v>
      </c>
      <c r="Q148" s="8">
        <v>1</v>
      </c>
      <c r="R148" s="12">
        <v>1</v>
      </c>
      <c r="S148" s="8">
        <v>1</v>
      </c>
      <c r="T148" s="12"/>
      <c r="U148" s="8"/>
      <c r="V148" s="2">
        <v>45677</v>
      </c>
      <c r="W148" s="2">
        <v>1</v>
      </c>
      <c r="X148" s="2">
        <v>45688</v>
      </c>
      <c r="Y148" s="2">
        <v>45688</v>
      </c>
      <c r="Z148" s="2"/>
      <c r="AB148">
        <v>8255</v>
      </c>
      <c r="AC148">
        <v>65982</v>
      </c>
      <c r="AD148" t="s">
        <v>556</v>
      </c>
      <c r="AE148" s="2">
        <v>45679</v>
      </c>
      <c r="AF148">
        <v>0.75</v>
      </c>
      <c r="AG148" s="17">
        <v>3.125E-2</v>
      </c>
      <c r="AH148" s="2">
        <v>45686</v>
      </c>
    </row>
    <row r="149" spans="1:34" hidden="1" x14ac:dyDescent="0.25">
      <c r="A149" s="12">
        <v>8247</v>
      </c>
      <c r="B149" s="12">
        <v>363</v>
      </c>
      <c r="C149" t="s">
        <v>331</v>
      </c>
      <c r="D149">
        <v>247651</v>
      </c>
      <c r="E149" s="8" t="s">
        <v>118</v>
      </c>
      <c r="F149" s="12">
        <v>21</v>
      </c>
      <c r="G149" s="8" t="s">
        <v>44</v>
      </c>
      <c r="H149" s="12">
        <v>3199</v>
      </c>
      <c r="I149" t="s">
        <v>46</v>
      </c>
      <c r="J149" t="s">
        <v>62</v>
      </c>
      <c r="K149" t="s">
        <v>63</v>
      </c>
      <c r="N149" s="12"/>
      <c r="O149" s="8"/>
      <c r="P149">
        <v>2</v>
      </c>
      <c r="Q149" s="8">
        <v>2</v>
      </c>
      <c r="R149" s="12">
        <v>2</v>
      </c>
      <c r="S149" s="8">
        <v>2</v>
      </c>
      <c r="T149" s="12"/>
      <c r="U149" s="8"/>
      <c r="V149" s="2">
        <v>45679</v>
      </c>
      <c r="W149" s="2">
        <v>1</v>
      </c>
      <c r="X149" s="2">
        <v>45693</v>
      </c>
      <c r="Y149" s="2">
        <v>45716</v>
      </c>
      <c r="Z149" s="2"/>
      <c r="AA149" t="s">
        <v>179</v>
      </c>
      <c r="AB149">
        <v>8247</v>
      </c>
      <c r="AC149">
        <v>74574</v>
      </c>
      <c r="AD149" t="s">
        <v>354</v>
      </c>
      <c r="AE149" s="2">
        <v>45715</v>
      </c>
      <c r="AF149">
        <v>4</v>
      </c>
      <c r="AG149" s="17">
        <v>0.16666666666666599</v>
      </c>
      <c r="AH149" s="2">
        <v>45716</v>
      </c>
    </row>
    <row r="150" spans="1:34" hidden="1" x14ac:dyDescent="0.25">
      <c r="A150" s="12">
        <v>8247</v>
      </c>
      <c r="B150" s="12">
        <v>363</v>
      </c>
      <c r="C150" t="s">
        <v>331</v>
      </c>
      <c r="D150">
        <v>247651</v>
      </c>
      <c r="E150" s="8" t="s">
        <v>118</v>
      </c>
      <c r="F150" s="12">
        <v>21</v>
      </c>
      <c r="G150" s="8" t="s">
        <v>44</v>
      </c>
      <c r="H150" s="12">
        <v>3199</v>
      </c>
      <c r="I150" t="s">
        <v>46</v>
      </c>
      <c r="K150" t="s">
        <v>63</v>
      </c>
      <c r="N150" s="12"/>
      <c r="O150" s="8"/>
      <c r="P150">
        <v>2</v>
      </c>
      <c r="Q150" s="8">
        <v>2</v>
      </c>
      <c r="R150" s="12">
        <v>2</v>
      </c>
      <c r="S150" s="8">
        <v>2</v>
      </c>
      <c r="T150" s="12"/>
      <c r="U150" s="8"/>
      <c r="V150" s="2">
        <v>45679</v>
      </c>
      <c r="W150" s="2">
        <v>1</v>
      </c>
      <c r="X150" s="2">
        <v>45693</v>
      </c>
      <c r="Y150" s="2">
        <v>45716</v>
      </c>
      <c r="Z150" s="2"/>
      <c r="AA150" t="s">
        <v>179</v>
      </c>
      <c r="AB150">
        <v>8247</v>
      </c>
      <c r="AC150">
        <v>74573</v>
      </c>
      <c r="AD150" t="s">
        <v>557</v>
      </c>
      <c r="AE150" s="2">
        <v>45715</v>
      </c>
      <c r="AF150">
        <v>4</v>
      </c>
      <c r="AG150" s="17">
        <v>0.16666666666666599</v>
      </c>
      <c r="AH150" s="2">
        <v>45716</v>
      </c>
    </row>
    <row r="151" spans="1:34" hidden="1" x14ac:dyDescent="0.25">
      <c r="A151" s="12">
        <v>8247</v>
      </c>
      <c r="B151" s="12">
        <v>363</v>
      </c>
      <c r="C151" t="s">
        <v>331</v>
      </c>
      <c r="D151">
        <v>247651</v>
      </c>
      <c r="E151" s="8" t="s">
        <v>118</v>
      </c>
      <c r="F151" s="12">
        <v>21</v>
      </c>
      <c r="G151" s="8" t="s">
        <v>44</v>
      </c>
      <c r="H151" s="12">
        <v>3199</v>
      </c>
      <c r="I151" t="s">
        <v>46</v>
      </c>
      <c r="K151" t="s">
        <v>63</v>
      </c>
      <c r="N151" s="12"/>
      <c r="O151" s="8"/>
      <c r="P151">
        <v>2</v>
      </c>
      <c r="Q151" s="8">
        <v>2</v>
      </c>
      <c r="R151" s="12">
        <v>2</v>
      </c>
      <c r="S151" s="8">
        <v>2</v>
      </c>
      <c r="T151" s="12"/>
      <c r="U151" s="8"/>
      <c r="V151" s="2">
        <v>45679</v>
      </c>
      <c r="W151" s="2">
        <v>1</v>
      </c>
      <c r="X151" s="2">
        <v>45693</v>
      </c>
      <c r="Y151" s="2">
        <v>45716</v>
      </c>
      <c r="Z151" s="2"/>
      <c r="AA151" t="s">
        <v>179</v>
      </c>
      <c r="AB151">
        <v>8247</v>
      </c>
      <c r="AC151">
        <v>73652</v>
      </c>
      <c r="AD151" t="s">
        <v>557</v>
      </c>
      <c r="AE151" s="2">
        <v>45714</v>
      </c>
      <c r="AF151">
        <v>4.5</v>
      </c>
      <c r="AG151" s="17">
        <v>0.1875</v>
      </c>
      <c r="AH151" s="2">
        <v>45714</v>
      </c>
    </row>
    <row r="152" spans="1:34" hidden="1" x14ac:dyDescent="0.25">
      <c r="A152" s="12">
        <v>8247</v>
      </c>
      <c r="B152" s="12">
        <v>363</v>
      </c>
      <c r="C152" t="s">
        <v>331</v>
      </c>
      <c r="D152">
        <v>247651</v>
      </c>
      <c r="E152" s="8" t="s">
        <v>118</v>
      </c>
      <c r="F152" s="12">
        <v>21</v>
      </c>
      <c r="G152" s="8" t="s">
        <v>44</v>
      </c>
      <c r="H152" s="12">
        <v>3199</v>
      </c>
      <c r="I152" t="s">
        <v>46</v>
      </c>
      <c r="K152" t="s">
        <v>63</v>
      </c>
      <c r="N152" s="12"/>
      <c r="O152" s="8"/>
      <c r="P152">
        <v>2</v>
      </c>
      <c r="Q152" s="8">
        <v>2</v>
      </c>
      <c r="R152" s="12">
        <v>2</v>
      </c>
      <c r="S152" s="8">
        <v>2</v>
      </c>
      <c r="T152" s="12"/>
      <c r="U152" s="8"/>
      <c r="V152" s="2">
        <v>45679</v>
      </c>
      <c r="W152" s="2">
        <v>1</v>
      </c>
      <c r="X152" s="2">
        <v>45693</v>
      </c>
      <c r="Y152" s="2">
        <v>45716</v>
      </c>
      <c r="Z152" s="2"/>
      <c r="AA152" t="s">
        <v>179</v>
      </c>
      <c r="AB152">
        <v>8247</v>
      </c>
      <c r="AC152">
        <v>73649</v>
      </c>
      <c r="AD152" t="s">
        <v>354</v>
      </c>
      <c r="AE152" s="2">
        <v>45714</v>
      </c>
      <c r="AF152">
        <v>4</v>
      </c>
      <c r="AG152" s="17">
        <v>0.16666666666666599</v>
      </c>
      <c r="AH152" s="2">
        <v>45714</v>
      </c>
    </row>
    <row r="153" spans="1:34" hidden="1" x14ac:dyDescent="0.25">
      <c r="A153" s="12">
        <v>8247</v>
      </c>
      <c r="B153" s="12">
        <v>363</v>
      </c>
      <c r="C153" t="s">
        <v>331</v>
      </c>
      <c r="D153">
        <v>247651</v>
      </c>
      <c r="E153" s="8" t="s">
        <v>118</v>
      </c>
      <c r="F153" s="12">
        <v>21</v>
      </c>
      <c r="G153" s="8" t="s">
        <v>44</v>
      </c>
      <c r="H153" s="12">
        <v>3199</v>
      </c>
      <c r="I153" t="s">
        <v>46</v>
      </c>
      <c r="K153" t="s">
        <v>63</v>
      </c>
      <c r="N153" s="12"/>
      <c r="O153" s="8"/>
      <c r="P153">
        <v>2</v>
      </c>
      <c r="Q153" s="8">
        <v>2</v>
      </c>
      <c r="R153" s="12">
        <v>2</v>
      </c>
      <c r="S153" s="8">
        <v>2</v>
      </c>
      <c r="T153" s="12"/>
      <c r="U153" s="8"/>
      <c r="V153" s="2">
        <v>45679</v>
      </c>
      <c r="W153" s="2">
        <v>1</v>
      </c>
      <c r="X153" s="2">
        <v>45693</v>
      </c>
      <c r="Y153" s="2">
        <v>45716</v>
      </c>
      <c r="Z153" s="2"/>
      <c r="AA153" t="s">
        <v>179</v>
      </c>
      <c r="AB153">
        <v>8247</v>
      </c>
      <c r="AC153">
        <v>73593</v>
      </c>
      <c r="AD153" t="s">
        <v>558</v>
      </c>
      <c r="AE153" s="2">
        <v>45713</v>
      </c>
      <c r="AF153">
        <v>4</v>
      </c>
      <c r="AG153" s="17">
        <v>0.16666666666666599</v>
      </c>
      <c r="AH153" s="2">
        <v>45714</v>
      </c>
    </row>
    <row r="154" spans="1:34" hidden="1" x14ac:dyDescent="0.25">
      <c r="A154" s="12">
        <v>8247</v>
      </c>
      <c r="B154" s="12">
        <v>363</v>
      </c>
      <c r="C154" t="s">
        <v>331</v>
      </c>
      <c r="D154">
        <v>247651</v>
      </c>
      <c r="E154" s="8" t="s">
        <v>118</v>
      </c>
      <c r="F154" s="12">
        <v>21</v>
      </c>
      <c r="G154" s="8" t="s">
        <v>44</v>
      </c>
      <c r="H154" s="12">
        <v>3199</v>
      </c>
      <c r="I154" t="s">
        <v>46</v>
      </c>
      <c r="K154" t="s">
        <v>63</v>
      </c>
      <c r="N154" s="12"/>
      <c r="O154" s="8"/>
      <c r="P154">
        <v>2</v>
      </c>
      <c r="Q154" s="8">
        <v>2</v>
      </c>
      <c r="R154" s="12">
        <v>2</v>
      </c>
      <c r="S154" s="8">
        <v>2</v>
      </c>
      <c r="T154" s="12"/>
      <c r="U154" s="8"/>
      <c r="V154" s="2">
        <v>45679</v>
      </c>
      <c r="W154" s="2">
        <v>1</v>
      </c>
      <c r="X154" s="2">
        <v>45693</v>
      </c>
      <c r="Y154" s="2">
        <v>45716</v>
      </c>
      <c r="Z154" s="2"/>
      <c r="AA154" t="s">
        <v>179</v>
      </c>
      <c r="AB154">
        <v>8247</v>
      </c>
      <c r="AC154">
        <v>73591</v>
      </c>
      <c r="AD154" t="s">
        <v>559</v>
      </c>
      <c r="AE154" s="2">
        <v>45713</v>
      </c>
      <c r="AF154">
        <v>4</v>
      </c>
      <c r="AG154" s="17">
        <v>0.16666666666666599</v>
      </c>
      <c r="AH154" s="2">
        <v>45714</v>
      </c>
    </row>
    <row r="155" spans="1:34" hidden="1" x14ac:dyDescent="0.25">
      <c r="A155" s="12">
        <v>8247</v>
      </c>
      <c r="B155" s="12">
        <v>363</v>
      </c>
      <c r="C155" t="s">
        <v>331</v>
      </c>
      <c r="D155">
        <v>247651</v>
      </c>
      <c r="E155" s="8" t="s">
        <v>118</v>
      </c>
      <c r="F155" s="12">
        <v>21</v>
      </c>
      <c r="G155" s="8" t="s">
        <v>44</v>
      </c>
      <c r="H155" s="12">
        <v>3199</v>
      </c>
      <c r="I155" t="s">
        <v>46</v>
      </c>
      <c r="K155" t="s">
        <v>63</v>
      </c>
      <c r="N155" s="12"/>
      <c r="O155" s="8"/>
      <c r="P155">
        <v>2</v>
      </c>
      <c r="Q155" s="8">
        <v>2</v>
      </c>
      <c r="R155" s="12">
        <v>2</v>
      </c>
      <c r="S155" s="8">
        <v>2</v>
      </c>
      <c r="T155" s="12"/>
      <c r="U155" s="8"/>
      <c r="V155" s="2">
        <v>45679</v>
      </c>
      <c r="W155" s="2">
        <v>1</v>
      </c>
      <c r="X155" s="2">
        <v>45693</v>
      </c>
      <c r="Y155" s="2">
        <v>45716</v>
      </c>
      <c r="Z155" s="2"/>
      <c r="AA155" t="s">
        <v>179</v>
      </c>
      <c r="AB155">
        <v>8247</v>
      </c>
      <c r="AC155">
        <v>73590</v>
      </c>
      <c r="AD155" t="s">
        <v>560</v>
      </c>
      <c r="AE155" s="2">
        <v>45712</v>
      </c>
      <c r="AF155">
        <v>4</v>
      </c>
      <c r="AG155" s="17">
        <v>0.16666666666666599</v>
      </c>
      <c r="AH155" s="2">
        <v>45714</v>
      </c>
    </row>
    <row r="156" spans="1:34" hidden="1" x14ac:dyDescent="0.25">
      <c r="A156" s="12">
        <v>8247</v>
      </c>
      <c r="B156" s="12">
        <v>363</v>
      </c>
      <c r="C156" t="s">
        <v>331</v>
      </c>
      <c r="D156">
        <v>247651</v>
      </c>
      <c r="E156" s="8" t="s">
        <v>118</v>
      </c>
      <c r="F156" s="12">
        <v>21</v>
      </c>
      <c r="G156" s="8" t="s">
        <v>44</v>
      </c>
      <c r="H156" s="12">
        <v>3199</v>
      </c>
      <c r="I156" t="s">
        <v>46</v>
      </c>
      <c r="K156" t="s">
        <v>63</v>
      </c>
      <c r="N156" s="12"/>
      <c r="O156" s="8"/>
      <c r="P156">
        <v>2</v>
      </c>
      <c r="Q156" s="8">
        <v>2</v>
      </c>
      <c r="R156" s="12">
        <v>2</v>
      </c>
      <c r="S156" s="8">
        <v>2</v>
      </c>
      <c r="T156" s="12"/>
      <c r="U156" s="8"/>
      <c r="V156" s="2">
        <v>45679</v>
      </c>
      <c r="W156" s="2">
        <v>1</v>
      </c>
      <c r="X156" s="2">
        <v>45693</v>
      </c>
      <c r="Y156" s="2">
        <v>45716</v>
      </c>
      <c r="Z156" s="2"/>
      <c r="AA156" t="s">
        <v>179</v>
      </c>
      <c r="AB156">
        <v>8247</v>
      </c>
      <c r="AC156">
        <v>73589</v>
      </c>
      <c r="AD156" t="s">
        <v>561</v>
      </c>
      <c r="AE156" s="2">
        <v>45712</v>
      </c>
      <c r="AF156">
        <v>2</v>
      </c>
      <c r="AG156" s="17">
        <v>8.3333333333333301E-2</v>
      </c>
      <c r="AH156" s="2">
        <v>45714</v>
      </c>
    </row>
    <row r="157" spans="1:34" hidden="1" x14ac:dyDescent="0.25">
      <c r="A157" s="12">
        <v>8247</v>
      </c>
      <c r="B157" s="12">
        <v>363</v>
      </c>
      <c r="C157" t="s">
        <v>331</v>
      </c>
      <c r="D157">
        <v>247651</v>
      </c>
      <c r="E157" s="8" t="s">
        <v>118</v>
      </c>
      <c r="F157" s="12">
        <v>21</v>
      </c>
      <c r="G157" s="8" t="s">
        <v>44</v>
      </c>
      <c r="H157" s="12">
        <v>3199</v>
      </c>
      <c r="I157" t="s">
        <v>46</v>
      </c>
      <c r="K157" t="s">
        <v>63</v>
      </c>
      <c r="N157" s="12"/>
      <c r="O157" s="8"/>
      <c r="P157">
        <v>2</v>
      </c>
      <c r="Q157" s="8">
        <v>2</v>
      </c>
      <c r="R157" s="12">
        <v>2</v>
      </c>
      <c r="S157" s="8">
        <v>2</v>
      </c>
      <c r="T157" s="12"/>
      <c r="U157" s="8"/>
      <c r="V157" s="2">
        <v>45679</v>
      </c>
      <c r="W157" s="2">
        <v>1</v>
      </c>
      <c r="X157" s="2">
        <v>45693</v>
      </c>
      <c r="Y157" s="2">
        <v>45716</v>
      </c>
      <c r="Z157" s="2"/>
      <c r="AA157" t="s">
        <v>179</v>
      </c>
      <c r="AB157">
        <v>8247</v>
      </c>
      <c r="AC157">
        <v>73588</v>
      </c>
      <c r="AD157" t="s">
        <v>562</v>
      </c>
      <c r="AE157" s="2">
        <v>45712</v>
      </c>
      <c r="AF157">
        <v>2</v>
      </c>
      <c r="AG157" s="17">
        <v>8.3333333333333301E-2</v>
      </c>
      <c r="AH157" s="2">
        <v>45714</v>
      </c>
    </row>
    <row r="158" spans="1:34" hidden="1" x14ac:dyDescent="0.25">
      <c r="A158" s="12">
        <v>8247</v>
      </c>
      <c r="B158" s="12">
        <v>363</v>
      </c>
      <c r="C158" t="s">
        <v>331</v>
      </c>
      <c r="D158">
        <v>247651</v>
      </c>
      <c r="E158" s="8" t="s">
        <v>118</v>
      </c>
      <c r="F158" s="12">
        <v>21</v>
      </c>
      <c r="G158" s="8" t="s">
        <v>44</v>
      </c>
      <c r="H158" s="12">
        <v>3199</v>
      </c>
      <c r="I158" t="s">
        <v>46</v>
      </c>
      <c r="K158" t="s">
        <v>63</v>
      </c>
      <c r="N158" s="12"/>
      <c r="O158" s="8"/>
      <c r="P158">
        <v>2</v>
      </c>
      <c r="Q158" s="8">
        <v>2</v>
      </c>
      <c r="R158" s="12">
        <v>2</v>
      </c>
      <c r="S158" s="8">
        <v>2</v>
      </c>
      <c r="T158" s="12"/>
      <c r="U158" s="8"/>
      <c r="V158" s="2">
        <v>45679</v>
      </c>
      <c r="W158" s="2">
        <v>1</v>
      </c>
      <c r="X158" s="2">
        <v>45693</v>
      </c>
      <c r="Y158" s="2">
        <v>45716</v>
      </c>
      <c r="Z158" s="2"/>
      <c r="AA158" t="s">
        <v>179</v>
      </c>
      <c r="AB158">
        <v>8247</v>
      </c>
      <c r="AC158">
        <v>72560</v>
      </c>
      <c r="AD158" t="s">
        <v>563</v>
      </c>
      <c r="AE158" s="2">
        <v>45709</v>
      </c>
      <c r="AF158">
        <v>4</v>
      </c>
      <c r="AG158" s="17">
        <v>0.16666666666666599</v>
      </c>
      <c r="AH158" s="2">
        <v>45709</v>
      </c>
    </row>
    <row r="159" spans="1:34" hidden="1" x14ac:dyDescent="0.25">
      <c r="A159" s="12">
        <v>8247</v>
      </c>
      <c r="B159" s="12">
        <v>363</v>
      </c>
      <c r="C159" t="s">
        <v>331</v>
      </c>
      <c r="D159">
        <v>247651</v>
      </c>
      <c r="E159" s="8" t="s">
        <v>118</v>
      </c>
      <c r="F159" s="12">
        <v>21</v>
      </c>
      <c r="G159" s="8" t="s">
        <v>44</v>
      </c>
      <c r="H159" s="12">
        <v>3199</v>
      </c>
      <c r="I159" t="s">
        <v>46</v>
      </c>
      <c r="K159" t="s">
        <v>63</v>
      </c>
      <c r="N159" s="12"/>
      <c r="O159" s="8"/>
      <c r="P159">
        <v>2</v>
      </c>
      <c r="Q159" s="8">
        <v>2</v>
      </c>
      <c r="R159" s="12">
        <v>2</v>
      </c>
      <c r="S159" s="8">
        <v>2</v>
      </c>
      <c r="T159" s="12"/>
      <c r="U159" s="8"/>
      <c r="V159" s="2">
        <v>45679</v>
      </c>
      <c r="W159" s="2">
        <v>1</v>
      </c>
      <c r="X159" s="2">
        <v>45693</v>
      </c>
      <c r="Y159" s="2">
        <v>45716</v>
      </c>
      <c r="Z159" s="2"/>
      <c r="AA159" t="s">
        <v>179</v>
      </c>
      <c r="AB159">
        <v>8247</v>
      </c>
      <c r="AC159">
        <v>72558</v>
      </c>
      <c r="AD159" t="s">
        <v>564</v>
      </c>
      <c r="AE159" s="2">
        <v>45709</v>
      </c>
      <c r="AF159">
        <v>4</v>
      </c>
      <c r="AG159" s="17">
        <v>0.16666666666666599</v>
      </c>
      <c r="AH159" s="2">
        <v>45709</v>
      </c>
    </row>
    <row r="160" spans="1:34" hidden="1" x14ac:dyDescent="0.25">
      <c r="A160" s="12">
        <v>8247</v>
      </c>
      <c r="B160" s="12">
        <v>363</v>
      </c>
      <c r="C160" t="s">
        <v>331</v>
      </c>
      <c r="D160">
        <v>247651</v>
      </c>
      <c r="E160" s="8" t="s">
        <v>118</v>
      </c>
      <c r="F160" s="12">
        <v>21</v>
      </c>
      <c r="G160" s="8" t="s">
        <v>44</v>
      </c>
      <c r="H160" s="12">
        <v>3199</v>
      </c>
      <c r="I160" t="s">
        <v>46</v>
      </c>
      <c r="K160" t="s">
        <v>63</v>
      </c>
      <c r="N160" s="12"/>
      <c r="O160" s="8"/>
      <c r="P160">
        <v>2</v>
      </c>
      <c r="Q160" s="8">
        <v>2</v>
      </c>
      <c r="R160" s="12">
        <v>2</v>
      </c>
      <c r="S160" s="8">
        <v>2</v>
      </c>
      <c r="T160" s="12"/>
      <c r="U160" s="8"/>
      <c r="V160" s="2">
        <v>45679</v>
      </c>
      <c r="W160" s="2">
        <v>1</v>
      </c>
      <c r="X160" s="2">
        <v>45693</v>
      </c>
      <c r="Y160" s="2">
        <v>45716</v>
      </c>
      <c r="Z160" s="2"/>
      <c r="AA160" t="s">
        <v>179</v>
      </c>
      <c r="AB160">
        <v>8247</v>
      </c>
      <c r="AC160">
        <v>72556</v>
      </c>
      <c r="AD160" t="s">
        <v>565</v>
      </c>
      <c r="AE160" s="2">
        <v>45708</v>
      </c>
      <c r="AF160">
        <v>5</v>
      </c>
      <c r="AG160" s="17">
        <v>0.20833333333333301</v>
      </c>
      <c r="AH160" s="2">
        <v>45709</v>
      </c>
    </row>
    <row r="161" spans="1:34" hidden="1" x14ac:dyDescent="0.25">
      <c r="A161" s="12">
        <v>8247</v>
      </c>
      <c r="B161" s="12">
        <v>363</v>
      </c>
      <c r="C161" t="s">
        <v>331</v>
      </c>
      <c r="D161">
        <v>247651</v>
      </c>
      <c r="E161" s="8" t="s">
        <v>118</v>
      </c>
      <c r="F161" s="12">
        <v>21</v>
      </c>
      <c r="G161" s="8" t="s">
        <v>44</v>
      </c>
      <c r="H161" s="12">
        <v>3199</v>
      </c>
      <c r="I161" t="s">
        <v>46</v>
      </c>
      <c r="K161" t="s">
        <v>63</v>
      </c>
      <c r="N161" s="12"/>
      <c r="O161" s="8"/>
      <c r="P161">
        <v>2</v>
      </c>
      <c r="Q161" s="8">
        <v>2</v>
      </c>
      <c r="R161" s="12">
        <v>2</v>
      </c>
      <c r="S161" s="8">
        <v>2</v>
      </c>
      <c r="T161" s="12"/>
      <c r="U161" s="8"/>
      <c r="V161" s="2">
        <v>45679</v>
      </c>
      <c r="W161" s="2">
        <v>1</v>
      </c>
      <c r="X161" s="2">
        <v>45693</v>
      </c>
      <c r="Y161" s="2">
        <v>45716</v>
      </c>
      <c r="Z161" s="2"/>
      <c r="AA161" t="s">
        <v>179</v>
      </c>
      <c r="AB161">
        <v>8247</v>
      </c>
      <c r="AC161">
        <v>72552</v>
      </c>
      <c r="AD161" t="s">
        <v>566</v>
      </c>
      <c r="AE161" s="2">
        <v>45708</v>
      </c>
      <c r="AF161">
        <v>4</v>
      </c>
      <c r="AG161" s="17">
        <v>0.16666666666666599</v>
      </c>
      <c r="AH161" s="2">
        <v>45709</v>
      </c>
    </row>
    <row r="162" spans="1:34" hidden="1" x14ac:dyDescent="0.25">
      <c r="A162" s="12">
        <v>8247</v>
      </c>
      <c r="B162" s="12">
        <v>363</v>
      </c>
      <c r="C162" t="s">
        <v>331</v>
      </c>
      <c r="D162">
        <v>247651</v>
      </c>
      <c r="E162" s="8" t="s">
        <v>118</v>
      </c>
      <c r="F162" s="12">
        <v>21</v>
      </c>
      <c r="G162" s="8" t="s">
        <v>44</v>
      </c>
      <c r="H162" s="12">
        <v>3199</v>
      </c>
      <c r="I162" t="s">
        <v>46</v>
      </c>
      <c r="K162" t="s">
        <v>63</v>
      </c>
      <c r="N162" s="12"/>
      <c r="O162" s="8"/>
      <c r="P162">
        <v>2</v>
      </c>
      <c r="Q162" s="8">
        <v>2</v>
      </c>
      <c r="R162" s="12">
        <v>2</v>
      </c>
      <c r="S162" s="8">
        <v>2</v>
      </c>
      <c r="T162" s="12"/>
      <c r="U162" s="8"/>
      <c r="V162" s="2">
        <v>45679</v>
      </c>
      <c r="W162" s="2">
        <v>1</v>
      </c>
      <c r="X162" s="2">
        <v>45693</v>
      </c>
      <c r="Y162" s="2">
        <v>45716</v>
      </c>
      <c r="Z162" s="2"/>
      <c r="AA162" t="s">
        <v>179</v>
      </c>
      <c r="AB162">
        <v>8247</v>
      </c>
      <c r="AC162">
        <v>70984</v>
      </c>
      <c r="AD162" t="s">
        <v>567</v>
      </c>
      <c r="AE162" s="2">
        <v>45703</v>
      </c>
      <c r="AF162">
        <v>4</v>
      </c>
      <c r="AG162" s="17">
        <v>0.16666666666666599</v>
      </c>
      <c r="AH162" s="2">
        <v>45703</v>
      </c>
    </row>
    <row r="163" spans="1:34" hidden="1" x14ac:dyDescent="0.25">
      <c r="A163" s="12">
        <v>8443</v>
      </c>
      <c r="B163" s="12">
        <v>367</v>
      </c>
      <c r="C163" t="s">
        <v>180</v>
      </c>
      <c r="D163">
        <v>247605</v>
      </c>
      <c r="E163" s="8" t="s">
        <v>181</v>
      </c>
      <c r="F163" s="12">
        <v>29</v>
      </c>
      <c r="G163" s="8" t="s">
        <v>69</v>
      </c>
      <c r="H163" s="12"/>
      <c r="J163" t="s">
        <v>62</v>
      </c>
      <c r="K163" t="s">
        <v>63</v>
      </c>
      <c r="N163" s="12"/>
      <c r="O163" s="8"/>
      <c r="P163">
        <v>2</v>
      </c>
      <c r="Q163" s="8">
        <v>2</v>
      </c>
      <c r="R163" s="12">
        <v>2</v>
      </c>
      <c r="S163" s="8">
        <v>2</v>
      </c>
      <c r="T163" s="12"/>
      <c r="U163" s="8"/>
      <c r="V163" s="2">
        <v>45685</v>
      </c>
      <c r="W163" s="2">
        <v>1</v>
      </c>
      <c r="X163" s="2">
        <v>45716</v>
      </c>
      <c r="Y163" s="2">
        <v>45723</v>
      </c>
      <c r="Z163" s="2"/>
      <c r="AA163" t="s">
        <v>182</v>
      </c>
      <c r="AE163" s="2"/>
      <c r="AG163" s="17"/>
      <c r="AH163" s="2"/>
    </row>
    <row r="164" spans="1:34" hidden="1" x14ac:dyDescent="0.25">
      <c r="A164" s="12">
        <v>8444</v>
      </c>
      <c r="B164" s="12">
        <v>368</v>
      </c>
      <c r="C164" t="s">
        <v>183</v>
      </c>
      <c r="D164">
        <v>247888</v>
      </c>
      <c r="E164" s="8" t="s">
        <v>184</v>
      </c>
      <c r="F164" s="12">
        <v>21</v>
      </c>
      <c r="G164" s="8" t="s">
        <v>44</v>
      </c>
      <c r="H164" s="12">
        <v>3233</v>
      </c>
      <c r="I164" t="s">
        <v>343</v>
      </c>
      <c r="J164" t="s">
        <v>62</v>
      </c>
      <c r="K164" t="s">
        <v>63</v>
      </c>
      <c r="N164" s="12"/>
      <c r="O164" s="8"/>
      <c r="P164">
        <v>1</v>
      </c>
      <c r="Q164" s="8">
        <v>1</v>
      </c>
      <c r="R164" s="12">
        <v>1</v>
      </c>
      <c r="S164" s="8">
        <v>1</v>
      </c>
      <c r="T164" s="12"/>
      <c r="U164" s="8"/>
      <c r="V164" s="2">
        <v>45653</v>
      </c>
      <c r="W164" s="2">
        <v>1</v>
      </c>
      <c r="X164" s="2">
        <v>45695</v>
      </c>
      <c r="Y164" s="2">
        <v>45695</v>
      </c>
      <c r="Z164" s="2"/>
      <c r="AA164" t="s">
        <v>185</v>
      </c>
      <c r="AB164">
        <v>8444</v>
      </c>
      <c r="AC164">
        <v>71404</v>
      </c>
      <c r="AD164" t="s">
        <v>355</v>
      </c>
      <c r="AE164" s="2">
        <v>45688</v>
      </c>
      <c r="AF164">
        <v>1</v>
      </c>
      <c r="AG164" s="17">
        <v>4.1666666666666602E-2</v>
      </c>
      <c r="AH164" s="2">
        <v>45705</v>
      </c>
    </row>
    <row r="165" spans="1:34" hidden="1" x14ac:dyDescent="0.25">
      <c r="A165" s="12">
        <v>8463</v>
      </c>
      <c r="B165" s="12">
        <v>0</v>
      </c>
      <c r="C165" t="s">
        <v>186</v>
      </c>
      <c r="E165" s="8"/>
      <c r="F165" s="12">
        <v>29</v>
      </c>
      <c r="G165" s="8" t="s">
        <v>69</v>
      </c>
      <c r="H165" s="12">
        <v>252</v>
      </c>
      <c r="I165" t="s">
        <v>187</v>
      </c>
      <c r="J165" t="s">
        <v>62</v>
      </c>
      <c r="K165" t="s">
        <v>63</v>
      </c>
      <c r="N165" s="12"/>
      <c r="O165" s="8"/>
      <c r="Q165" s="8"/>
      <c r="R165" s="12"/>
      <c r="S165" s="8"/>
      <c r="T165" s="12"/>
      <c r="U165" s="8"/>
      <c r="V165" s="2"/>
      <c r="W165" s="2"/>
      <c r="X165" s="2"/>
      <c r="Y165" s="2"/>
      <c r="Z165" s="2"/>
      <c r="AE165" s="2"/>
      <c r="AG165" s="17"/>
      <c r="AH165" s="2"/>
    </row>
    <row r="166" spans="1:34" hidden="1" x14ac:dyDescent="0.25">
      <c r="A166" s="12">
        <v>8329</v>
      </c>
      <c r="B166" s="12">
        <v>0</v>
      </c>
      <c r="C166" t="s">
        <v>188</v>
      </c>
      <c r="D166">
        <v>247047</v>
      </c>
      <c r="E166" s="8" t="s">
        <v>189</v>
      </c>
      <c r="F166" s="12">
        <v>29</v>
      </c>
      <c r="G166" s="8" t="s">
        <v>69</v>
      </c>
      <c r="H166" s="12">
        <v>312</v>
      </c>
      <c r="I166" t="s">
        <v>351</v>
      </c>
      <c r="J166" t="s">
        <v>62</v>
      </c>
      <c r="K166" t="s">
        <v>101</v>
      </c>
      <c r="N166" s="12"/>
      <c r="O166" s="8"/>
      <c r="Q166" s="8"/>
      <c r="R166" s="12"/>
      <c r="S166" s="8"/>
      <c r="T166" s="12"/>
      <c r="U166" s="8"/>
      <c r="V166" s="2"/>
      <c r="W166" s="2"/>
      <c r="X166" s="2"/>
      <c r="Y166" s="2"/>
      <c r="Z166" s="2"/>
      <c r="AE166" s="2"/>
      <c r="AG166" s="17"/>
      <c r="AH166" s="2"/>
    </row>
    <row r="167" spans="1:34" hidden="1" x14ac:dyDescent="0.25">
      <c r="A167" s="12">
        <v>8495</v>
      </c>
      <c r="B167" s="12">
        <v>0</v>
      </c>
      <c r="C167" t="s">
        <v>190</v>
      </c>
      <c r="D167">
        <v>289105</v>
      </c>
      <c r="E167" s="8" t="s">
        <v>191</v>
      </c>
      <c r="F167" s="12">
        <v>21</v>
      </c>
      <c r="G167" s="8" t="s">
        <v>44</v>
      </c>
      <c r="H167" s="12">
        <v>3198</v>
      </c>
      <c r="I167" t="s">
        <v>43</v>
      </c>
      <c r="J167" t="s">
        <v>62</v>
      </c>
      <c r="K167" t="s">
        <v>101</v>
      </c>
      <c r="L167">
        <v>3</v>
      </c>
      <c r="M167" t="s">
        <v>192</v>
      </c>
      <c r="N167" s="12">
        <v>1</v>
      </c>
      <c r="O167" s="8" t="s">
        <v>193</v>
      </c>
      <c r="P167">
        <v>2</v>
      </c>
      <c r="Q167" s="8">
        <v>2</v>
      </c>
      <c r="R167" s="12">
        <v>2</v>
      </c>
      <c r="S167" s="8">
        <v>2</v>
      </c>
      <c r="T167" s="12">
        <v>1</v>
      </c>
      <c r="U167" s="8" t="s">
        <v>194</v>
      </c>
      <c r="V167" s="2">
        <v>45716</v>
      </c>
      <c r="W167" s="2">
        <v>45716</v>
      </c>
      <c r="X167" s="2">
        <v>45720</v>
      </c>
      <c r="Y167" s="2"/>
      <c r="Z167" s="2"/>
      <c r="AA167" t="s">
        <v>195</v>
      </c>
      <c r="AB167">
        <v>8495</v>
      </c>
      <c r="AC167">
        <v>75306</v>
      </c>
      <c r="AD167" t="s">
        <v>356</v>
      </c>
      <c r="AE167" s="2">
        <v>45719</v>
      </c>
      <c r="AF167">
        <v>5</v>
      </c>
      <c r="AG167" s="17">
        <v>0.20833333333333301</v>
      </c>
      <c r="AH167" s="2">
        <v>45720</v>
      </c>
    </row>
    <row r="168" spans="1:34" hidden="1" x14ac:dyDescent="0.25">
      <c r="A168" s="12">
        <v>8473</v>
      </c>
      <c r="B168" s="12">
        <v>0</v>
      </c>
      <c r="C168" t="s">
        <v>196</v>
      </c>
      <c r="D168">
        <v>289030</v>
      </c>
      <c r="E168" s="8" t="s">
        <v>197</v>
      </c>
      <c r="F168" s="12">
        <v>30</v>
      </c>
      <c r="G168" s="8" t="s">
        <v>41</v>
      </c>
      <c r="H168" s="12">
        <v>195</v>
      </c>
      <c r="I168" t="s">
        <v>346</v>
      </c>
      <c r="J168" t="s">
        <v>62</v>
      </c>
      <c r="K168" t="s">
        <v>101</v>
      </c>
      <c r="L168">
        <v>1</v>
      </c>
      <c r="M168" t="s">
        <v>198</v>
      </c>
      <c r="N168" s="12">
        <v>2</v>
      </c>
      <c r="O168" s="8" t="s">
        <v>158</v>
      </c>
      <c r="P168">
        <v>2</v>
      </c>
      <c r="Q168" s="8">
        <v>2</v>
      </c>
      <c r="R168" s="12">
        <v>2</v>
      </c>
      <c r="S168" s="8">
        <v>2</v>
      </c>
      <c r="T168" s="12">
        <v>2</v>
      </c>
      <c r="U168" s="8" t="s">
        <v>199</v>
      </c>
      <c r="V168" s="2"/>
      <c r="W168" s="2"/>
      <c r="X168" s="2"/>
      <c r="Y168" s="2"/>
      <c r="Z168" s="2"/>
      <c r="AE168" s="2"/>
      <c r="AG168" s="17"/>
      <c r="AH168" s="2"/>
    </row>
    <row r="169" spans="1:34" hidden="1" x14ac:dyDescent="0.25">
      <c r="A169" s="12">
        <v>8554</v>
      </c>
      <c r="B169" s="12">
        <v>0</v>
      </c>
      <c r="C169" t="s">
        <v>970</v>
      </c>
      <c r="D169">
        <v>247393</v>
      </c>
      <c r="E169" s="8" t="s">
        <v>93</v>
      </c>
      <c r="F169" s="12">
        <v>27</v>
      </c>
      <c r="G169" s="8" t="s">
        <v>168</v>
      </c>
      <c r="H169" s="12">
        <v>3201</v>
      </c>
      <c r="I169" t="s">
        <v>51</v>
      </c>
      <c r="J169" t="s">
        <v>62</v>
      </c>
      <c r="K169" t="s">
        <v>101</v>
      </c>
      <c r="L169">
        <v>2</v>
      </c>
      <c r="M169" t="s">
        <v>157</v>
      </c>
      <c r="N169" s="12">
        <v>2</v>
      </c>
      <c r="O169" s="8" t="s">
        <v>158</v>
      </c>
      <c r="P169">
        <v>1</v>
      </c>
      <c r="Q169" s="8">
        <v>1</v>
      </c>
      <c r="R169" s="12">
        <v>1</v>
      </c>
      <c r="S169" s="8">
        <v>1</v>
      </c>
      <c r="T169" s="12">
        <v>2</v>
      </c>
      <c r="U169" s="8" t="s">
        <v>199</v>
      </c>
      <c r="V169" s="2">
        <v>45727</v>
      </c>
      <c r="W169" s="2">
        <v>45733</v>
      </c>
      <c r="X169" s="2">
        <v>45762</v>
      </c>
      <c r="Y169" s="2">
        <v>45775</v>
      </c>
      <c r="Z169" s="2"/>
      <c r="AA169" t="s">
        <v>971</v>
      </c>
      <c r="AE169" s="2"/>
      <c r="AG169" s="17"/>
      <c r="AH169" s="2"/>
    </row>
    <row r="170" spans="1:34" hidden="1" x14ac:dyDescent="0.25">
      <c r="A170" s="12">
        <v>8327</v>
      </c>
      <c r="B170" s="12">
        <v>0</v>
      </c>
      <c r="C170" t="s">
        <v>200</v>
      </c>
      <c r="D170">
        <v>247791</v>
      </c>
      <c r="E170" s="8" t="s">
        <v>175</v>
      </c>
      <c r="F170" s="12">
        <v>29</v>
      </c>
      <c r="G170" s="8" t="s">
        <v>69</v>
      </c>
      <c r="H170" s="12">
        <v>3201</v>
      </c>
      <c r="I170" t="s">
        <v>51</v>
      </c>
      <c r="J170" t="s">
        <v>62</v>
      </c>
      <c r="K170" t="s">
        <v>63</v>
      </c>
      <c r="L170">
        <v>2</v>
      </c>
      <c r="M170" t="s">
        <v>157</v>
      </c>
      <c r="N170" s="12">
        <v>2</v>
      </c>
      <c r="O170" s="8" t="s">
        <v>158</v>
      </c>
      <c r="P170">
        <v>2</v>
      </c>
      <c r="Q170" s="8">
        <v>2</v>
      </c>
      <c r="R170" s="12">
        <v>2</v>
      </c>
      <c r="S170" s="8">
        <v>2</v>
      </c>
      <c r="T170" s="12">
        <v>2</v>
      </c>
      <c r="U170" s="8" t="s">
        <v>199</v>
      </c>
      <c r="V170" s="2">
        <v>45689</v>
      </c>
      <c r="W170" s="2"/>
      <c r="X170" s="2"/>
      <c r="Y170" s="2"/>
      <c r="Z170" s="2"/>
      <c r="AE170" s="2"/>
      <c r="AG170" s="17"/>
      <c r="AH170" s="2"/>
    </row>
    <row r="171" spans="1:34" hidden="1" x14ac:dyDescent="0.25">
      <c r="A171" s="12">
        <v>8493</v>
      </c>
      <c r="B171" s="12">
        <v>0</v>
      </c>
      <c r="C171" t="s">
        <v>201</v>
      </c>
      <c r="D171">
        <v>247841</v>
      </c>
      <c r="E171" s="8" t="s">
        <v>197</v>
      </c>
      <c r="F171" s="12">
        <v>30</v>
      </c>
      <c r="G171" s="8" t="s">
        <v>41</v>
      </c>
      <c r="H171" s="12">
        <v>3198</v>
      </c>
      <c r="I171" t="s">
        <v>43</v>
      </c>
      <c r="J171" t="s">
        <v>62</v>
      </c>
      <c r="K171" t="s">
        <v>63</v>
      </c>
      <c r="L171">
        <v>2</v>
      </c>
      <c r="M171" t="s">
        <v>157</v>
      </c>
      <c r="N171" s="12">
        <v>2</v>
      </c>
      <c r="O171" s="8" t="s">
        <v>158</v>
      </c>
      <c r="P171">
        <v>2</v>
      </c>
      <c r="Q171" s="8">
        <v>2</v>
      </c>
      <c r="R171" s="12">
        <v>2</v>
      </c>
      <c r="S171" s="8">
        <v>2</v>
      </c>
      <c r="T171" s="12">
        <v>2</v>
      </c>
      <c r="U171" s="8" t="s">
        <v>199</v>
      </c>
      <c r="V171" s="2">
        <v>45714</v>
      </c>
      <c r="W171" s="2">
        <v>45714</v>
      </c>
      <c r="X171" s="2">
        <v>45719</v>
      </c>
      <c r="Y171" s="2"/>
      <c r="Z171" s="2"/>
      <c r="AA171" t="s">
        <v>202</v>
      </c>
      <c r="AB171">
        <v>8493</v>
      </c>
      <c r="AC171">
        <v>75304</v>
      </c>
      <c r="AD171" t="s">
        <v>357</v>
      </c>
      <c r="AE171" s="2">
        <v>45719</v>
      </c>
      <c r="AF171">
        <v>4</v>
      </c>
      <c r="AG171" s="17">
        <v>0.16666666666666599</v>
      </c>
      <c r="AH171" s="2">
        <v>45720</v>
      </c>
    </row>
    <row r="172" spans="1:34" hidden="1" x14ac:dyDescent="0.25">
      <c r="A172" s="12">
        <v>8493</v>
      </c>
      <c r="B172" s="12">
        <v>0</v>
      </c>
      <c r="C172" t="s">
        <v>201</v>
      </c>
      <c r="D172">
        <v>247841</v>
      </c>
      <c r="E172" s="8" t="s">
        <v>197</v>
      </c>
      <c r="F172" s="12">
        <v>30</v>
      </c>
      <c r="G172" s="8" t="s">
        <v>41</v>
      </c>
      <c r="H172" s="12">
        <v>3198</v>
      </c>
      <c r="I172" t="s">
        <v>43</v>
      </c>
      <c r="K172" t="s">
        <v>63</v>
      </c>
      <c r="L172">
        <v>2</v>
      </c>
      <c r="M172" t="s">
        <v>157</v>
      </c>
      <c r="N172" s="12">
        <v>2</v>
      </c>
      <c r="O172" s="8" t="s">
        <v>158</v>
      </c>
      <c r="P172">
        <v>2</v>
      </c>
      <c r="Q172" s="8">
        <v>2</v>
      </c>
      <c r="R172" s="12">
        <v>2</v>
      </c>
      <c r="S172" s="8">
        <v>2</v>
      </c>
      <c r="T172" s="12">
        <v>2</v>
      </c>
      <c r="U172" s="8" t="s">
        <v>199</v>
      </c>
      <c r="V172" s="2">
        <v>45714</v>
      </c>
      <c r="W172" s="2">
        <v>45714</v>
      </c>
      <c r="X172" s="2">
        <v>45719</v>
      </c>
      <c r="Y172" s="2"/>
      <c r="Z172" s="2"/>
      <c r="AA172" t="s">
        <v>202</v>
      </c>
      <c r="AB172">
        <v>8493</v>
      </c>
      <c r="AC172">
        <v>74627</v>
      </c>
      <c r="AD172" t="s">
        <v>568</v>
      </c>
      <c r="AE172" s="2">
        <v>45716</v>
      </c>
      <c r="AF172">
        <v>8</v>
      </c>
      <c r="AG172" s="17">
        <v>0.33333333333333298</v>
      </c>
      <c r="AH172" s="2">
        <v>45716</v>
      </c>
    </row>
    <row r="173" spans="1:34" hidden="1" x14ac:dyDescent="0.25">
      <c r="A173" s="12">
        <v>8493</v>
      </c>
      <c r="B173" s="12">
        <v>0</v>
      </c>
      <c r="C173" t="s">
        <v>201</v>
      </c>
      <c r="D173">
        <v>247841</v>
      </c>
      <c r="E173" s="8" t="s">
        <v>197</v>
      </c>
      <c r="F173" s="12">
        <v>30</v>
      </c>
      <c r="G173" s="8" t="s">
        <v>41</v>
      </c>
      <c r="H173" s="12">
        <v>3198</v>
      </c>
      <c r="I173" t="s">
        <v>43</v>
      </c>
      <c r="K173" t="s">
        <v>63</v>
      </c>
      <c r="L173">
        <v>2</v>
      </c>
      <c r="M173" t="s">
        <v>157</v>
      </c>
      <c r="N173" s="12">
        <v>2</v>
      </c>
      <c r="O173" s="8" t="s">
        <v>158</v>
      </c>
      <c r="P173">
        <v>2</v>
      </c>
      <c r="Q173" s="8">
        <v>2</v>
      </c>
      <c r="R173" s="12">
        <v>2</v>
      </c>
      <c r="S173" s="8">
        <v>2</v>
      </c>
      <c r="T173" s="12">
        <v>2</v>
      </c>
      <c r="U173" s="8" t="s">
        <v>199</v>
      </c>
      <c r="V173" s="2">
        <v>45714</v>
      </c>
      <c r="W173" s="2">
        <v>45714</v>
      </c>
      <c r="X173" s="2">
        <v>45719</v>
      </c>
      <c r="Y173" s="2"/>
      <c r="Z173" s="2"/>
      <c r="AA173" t="s">
        <v>202</v>
      </c>
      <c r="AB173">
        <v>8493</v>
      </c>
      <c r="AC173">
        <v>74003</v>
      </c>
      <c r="AD173" t="s">
        <v>569</v>
      </c>
      <c r="AE173" s="2">
        <v>45715</v>
      </c>
      <c r="AF173">
        <v>4</v>
      </c>
      <c r="AG173" s="17">
        <v>0.16666666666666599</v>
      </c>
      <c r="AH173" s="2">
        <v>45715</v>
      </c>
    </row>
    <row r="174" spans="1:34" hidden="1" x14ac:dyDescent="0.25">
      <c r="A174" s="12">
        <v>8493</v>
      </c>
      <c r="B174" s="12">
        <v>0</v>
      </c>
      <c r="C174" t="s">
        <v>201</v>
      </c>
      <c r="D174">
        <v>247841</v>
      </c>
      <c r="E174" s="8" t="s">
        <v>197</v>
      </c>
      <c r="F174" s="12">
        <v>30</v>
      </c>
      <c r="G174" s="8" t="s">
        <v>41</v>
      </c>
      <c r="H174" s="12">
        <v>3198</v>
      </c>
      <c r="I174" t="s">
        <v>43</v>
      </c>
      <c r="K174" t="s">
        <v>63</v>
      </c>
      <c r="L174">
        <v>2</v>
      </c>
      <c r="M174" t="s">
        <v>157</v>
      </c>
      <c r="N174" s="12">
        <v>2</v>
      </c>
      <c r="O174" s="8" t="s">
        <v>158</v>
      </c>
      <c r="P174">
        <v>2</v>
      </c>
      <c r="Q174" s="8">
        <v>2</v>
      </c>
      <c r="R174" s="12">
        <v>2</v>
      </c>
      <c r="S174" s="8">
        <v>2</v>
      </c>
      <c r="T174" s="12">
        <v>2</v>
      </c>
      <c r="U174" s="8" t="s">
        <v>199</v>
      </c>
      <c r="V174" s="2">
        <v>45714</v>
      </c>
      <c r="W174" s="2">
        <v>45714</v>
      </c>
      <c r="X174" s="2">
        <v>45719</v>
      </c>
      <c r="Y174" s="2"/>
      <c r="Z174" s="2"/>
      <c r="AA174" t="s">
        <v>202</v>
      </c>
      <c r="AB174">
        <v>8493</v>
      </c>
      <c r="AC174">
        <v>73999</v>
      </c>
      <c r="AD174" t="s">
        <v>570</v>
      </c>
      <c r="AE174" s="2">
        <v>45715</v>
      </c>
      <c r="AF174">
        <v>5</v>
      </c>
      <c r="AG174" s="17">
        <v>0.20833333333333301</v>
      </c>
      <c r="AH174" s="2">
        <v>45715</v>
      </c>
    </row>
    <row r="175" spans="1:34" hidden="1" x14ac:dyDescent="0.25">
      <c r="A175" s="12">
        <v>8472</v>
      </c>
      <c r="B175" s="12">
        <v>0</v>
      </c>
      <c r="C175" t="s">
        <v>203</v>
      </c>
      <c r="D175">
        <v>247786</v>
      </c>
      <c r="E175" s="8" t="s">
        <v>204</v>
      </c>
      <c r="F175" s="12">
        <v>21</v>
      </c>
      <c r="G175" s="8" t="s">
        <v>44</v>
      </c>
      <c r="H175" s="12">
        <v>3233</v>
      </c>
      <c r="I175" t="s">
        <v>343</v>
      </c>
      <c r="J175" t="s">
        <v>62</v>
      </c>
      <c r="K175" t="s">
        <v>63</v>
      </c>
      <c r="L175">
        <v>3</v>
      </c>
      <c r="M175" t="s">
        <v>192</v>
      </c>
      <c r="N175" s="12">
        <v>1</v>
      </c>
      <c r="O175" s="8" t="s">
        <v>193</v>
      </c>
      <c r="P175">
        <v>1</v>
      </c>
      <c r="Q175" s="8">
        <v>1</v>
      </c>
      <c r="R175" s="12">
        <v>1</v>
      </c>
      <c r="S175" s="8">
        <v>1</v>
      </c>
      <c r="T175" s="12">
        <v>1</v>
      </c>
      <c r="U175" s="8" t="s">
        <v>194</v>
      </c>
      <c r="V175" s="2">
        <v>45702</v>
      </c>
      <c r="W175" s="2">
        <v>45702</v>
      </c>
      <c r="X175" s="2">
        <v>45708</v>
      </c>
      <c r="Y175" s="2">
        <v>45708</v>
      </c>
      <c r="Z175" s="2"/>
      <c r="AA175" t="s">
        <v>205</v>
      </c>
      <c r="AB175">
        <v>8472</v>
      </c>
      <c r="AC175">
        <v>72104</v>
      </c>
      <c r="AD175" t="s">
        <v>358</v>
      </c>
      <c r="AE175" s="2">
        <v>45708</v>
      </c>
      <c r="AF175">
        <v>3</v>
      </c>
      <c r="AG175" s="17">
        <v>0.125</v>
      </c>
      <c r="AH175" s="2">
        <v>45708</v>
      </c>
    </row>
    <row r="176" spans="1:34" hidden="1" x14ac:dyDescent="0.25">
      <c r="A176" s="12">
        <v>8472</v>
      </c>
      <c r="B176" s="12">
        <v>0</v>
      </c>
      <c r="C176" t="s">
        <v>203</v>
      </c>
      <c r="D176">
        <v>247786</v>
      </c>
      <c r="E176" s="8" t="s">
        <v>204</v>
      </c>
      <c r="F176" s="12">
        <v>21</v>
      </c>
      <c r="G176" s="8" t="s">
        <v>44</v>
      </c>
      <c r="H176" s="12">
        <v>3233</v>
      </c>
      <c r="I176" t="s">
        <v>343</v>
      </c>
      <c r="K176" t="s">
        <v>63</v>
      </c>
      <c r="L176">
        <v>3</v>
      </c>
      <c r="M176" t="s">
        <v>192</v>
      </c>
      <c r="N176" s="12">
        <v>1</v>
      </c>
      <c r="O176" s="8" t="s">
        <v>193</v>
      </c>
      <c r="P176">
        <v>1</v>
      </c>
      <c r="Q176" s="8">
        <v>1</v>
      </c>
      <c r="R176" s="12">
        <v>1</v>
      </c>
      <c r="S176" s="8">
        <v>1</v>
      </c>
      <c r="T176" s="12">
        <v>1</v>
      </c>
      <c r="U176" s="8" t="s">
        <v>194</v>
      </c>
      <c r="V176" s="2">
        <v>45702</v>
      </c>
      <c r="W176" s="2">
        <v>45702</v>
      </c>
      <c r="X176" s="2">
        <v>45708</v>
      </c>
      <c r="Y176" s="2">
        <v>45708</v>
      </c>
      <c r="Z176" s="2"/>
      <c r="AA176" t="s">
        <v>205</v>
      </c>
      <c r="AB176">
        <v>8472</v>
      </c>
      <c r="AC176">
        <v>72099</v>
      </c>
      <c r="AD176" t="s">
        <v>358</v>
      </c>
      <c r="AE176" s="2">
        <v>45708</v>
      </c>
      <c r="AF176">
        <v>3</v>
      </c>
      <c r="AG176" s="17">
        <v>0.125</v>
      </c>
      <c r="AH176" s="2">
        <v>45708</v>
      </c>
    </row>
    <row r="177" spans="1:34" hidden="1" x14ac:dyDescent="0.25">
      <c r="A177" s="12">
        <v>8472</v>
      </c>
      <c r="B177" s="12">
        <v>0</v>
      </c>
      <c r="C177" t="s">
        <v>203</v>
      </c>
      <c r="D177">
        <v>247786</v>
      </c>
      <c r="E177" s="8" t="s">
        <v>204</v>
      </c>
      <c r="F177" s="12">
        <v>21</v>
      </c>
      <c r="G177" s="8" t="s">
        <v>44</v>
      </c>
      <c r="H177" s="12">
        <v>3233</v>
      </c>
      <c r="I177" t="s">
        <v>343</v>
      </c>
      <c r="K177" t="s">
        <v>63</v>
      </c>
      <c r="L177">
        <v>3</v>
      </c>
      <c r="M177" t="s">
        <v>192</v>
      </c>
      <c r="N177" s="12">
        <v>1</v>
      </c>
      <c r="O177" s="8" t="s">
        <v>193</v>
      </c>
      <c r="P177">
        <v>1</v>
      </c>
      <c r="Q177" s="8">
        <v>1</v>
      </c>
      <c r="R177" s="12">
        <v>1</v>
      </c>
      <c r="S177" s="8">
        <v>1</v>
      </c>
      <c r="T177" s="12">
        <v>1</v>
      </c>
      <c r="U177" s="8" t="s">
        <v>194</v>
      </c>
      <c r="V177" s="2">
        <v>45702</v>
      </c>
      <c r="W177" s="2">
        <v>45702</v>
      </c>
      <c r="X177" s="2">
        <v>45708</v>
      </c>
      <c r="Y177" s="2">
        <v>45708</v>
      </c>
      <c r="Z177" s="2"/>
      <c r="AA177" t="s">
        <v>205</v>
      </c>
      <c r="AB177">
        <v>8472</v>
      </c>
      <c r="AC177">
        <v>72103</v>
      </c>
      <c r="AD177" t="s">
        <v>358</v>
      </c>
      <c r="AE177" s="2">
        <v>45707</v>
      </c>
      <c r="AF177">
        <v>1</v>
      </c>
      <c r="AG177" s="17">
        <v>4.1666666666666602E-2</v>
      </c>
      <c r="AH177" s="2">
        <v>45708</v>
      </c>
    </row>
    <row r="178" spans="1:34" hidden="1" x14ac:dyDescent="0.25">
      <c r="A178" s="12">
        <v>8472</v>
      </c>
      <c r="B178" s="12">
        <v>0</v>
      </c>
      <c r="C178" t="s">
        <v>203</v>
      </c>
      <c r="D178">
        <v>247786</v>
      </c>
      <c r="E178" s="8" t="s">
        <v>204</v>
      </c>
      <c r="F178" s="12">
        <v>21</v>
      </c>
      <c r="G178" s="8" t="s">
        <v>44</v>
      </c>
      <c r="H178" s="12">
        <v>3233</v>
      </c>
      <c r="I178" t="s">
        <v>343</v>
      </c>
      <c r="K178" t="s">
        <v>63</v>
      </c>
      <c r="L178">
        <v>3</v>
      </c>
      <c r="M178" t="s">
        <v>192</v>
      </c>
      <c r="N178" s="12">
        <v>1</v>
      </c>
      <c r="O178" s="8" t="s">
        <v>193</v>
      </c>
      <c r="P178">
        <v>1</v>
      </c>
      <c r="Q178" s="8">
        <v>1</v>
      </c>
      <c r="R178" s="12">
        <v>1</v>
      </c>
      <c r="S178" s="8">
        <v>1</v>
      </c>
      <c r="T178" s="12">
        <v>1</v>
      </c>
      <c r="U178" s="8" t="s">
        <v>194</v>
      </c>
      <c r="V178" s="2">
        <v>45702</v>
      </c>
      <c r="W178" s="2">
        <v>45702</v>
      </c>
      <c r="X178" s="2">
        <v>45708</v>
      </c>
      <c r="Y178" s="2">
        <v>45708</v>
      </c>
      <c r="Z178" s="2"/>
      <c r="AA178" t="s">
        <v>205</v>
      </c>
      <c r="AB178">
        <v>8472</v>
      </c>
      <c r="AC178">
        <v>72090</v>
      </c>
      <c r="AD178" t="s">
        <v>571</v>
      </c>
      <c r="AE178" s="2">
        <v>45707</v>
      </c>
      <c r="AF178">
        <v>1</v>
      </c>
      <c r="AG178" s="17">
        <v>4.1666666666666602E-2</v>
      </c>
      <c r="AH178" s="2">
        <v>45708</v>
      </c>
    </row>
    <row r="179" spans="1:34" hidden="1" x14ac:dyDescent="0.25">
      <c r="A179" s="12">
        <v>8470</v>
      </c>
      <c r="B179" s="12">
        <v>0</v>
      </c>
      <c r="C179" t="s">
        <v>208</v>
      </c>
      <c r="D179">
        <v>247883</v>
      </c>
      <c r="E179" s="8" t="s">
        <v>209</v>
      </c>
      <c r="F179" s="12">
        <v>27</v>
      </c>
      <c r="G179" s="8" t="s">
        <v>168</v>
      </c>
      <c r="H179" s="12">
        <v>3198</v>
      </c>
      <c r="I179" t="s">
        <v>43</v>
      </c>
      <c r="J179" t="s">
        <v>62</v>
      </c>
      <c r="K179" t="s">
        <v>101</v>
      </c>
      <c r="L179">
        <v>3</v>
      </c>
      <c r="M179" t="s">
        <v>192</v>
      </c>
      <c r="N179" s="12">
        <v>1</v>
      </c>
      <c r="O179" s="8" t="s">
        <v>193</v>
      </c>
      <c r="P179">
        <v>3</v>
      </c>
      <c r="Q179" s="8">
        <v>3</v>
      </c>
      <c r="R179" s="12">
        <v>3</v>
      </c>
      <c r="S179" s="8">
        <v>3</v>
      </c>
      <c r="T179" s="12">
        <v>1</v>
      </c>
      <c r="U179" s="8" t="s">
        <v>194</v>
      </c>
      <c r="V179" s="2">
        <v>45707</v>
      </c>
      <c r="W179" s="2">
        <v>45712</v>
      </c>
      <c r="X179" s="2">
        <v>45723</v>
      </c>
      <c r="Y179" s="2"/>
      <c r="Z179" s="2"/>
      <c r="AB179">
        <v>8470</v>
      </c>
      <c r="AC179">
        <v>72011</v>
      </c>
      <c r="AD179" t="s">
        <v>359</v>
      </c>
      <c r="AE179" s="2">
        <v>45707</v>
      </c>
      <c r="AF179">
        <v>2.5</v>
      </c>
      <c r="AG179" s="17">
        <v>0.10416666666666601</v>
      </c>
      <c r="AH179" s="2">
        <v>45708</v>
      </c>
    </row>
    <row r="180" spans="1:34" hidden="1" x14ac:dyDescent="0.25">
      <c r="A180" s="12">
        <v>8470</v>
      </c>
      <c r="B180" s="12">
        <v>0</v>
      </c>
      <c r="C180" t="s">
        <v>208</v>
      </c>
      <c r="D180">
        <v>247883</v>
      </c>
      <c r="E180" s="8" t="s">
        <v>209</v>
      </c>
      <c r="F180" s="12">
        <v>27</v>
      </c>
      <c r="G180" s="8" t="s">
        <v>168</v>
      </c>
      <c r="H180" s="12">
        <v>3198</v>
      </c>
      <c r="I180" t="s">
        <v>43</v>
      </c>
      <c r="K180" t="s">
        <v>101</v>
      </c>
      <c r="L180">
        <v>3</v>
      </c>
      <c r="M180" t="s">
        <v>192</v>
      </c>
      <c r="N180" s="12">
        <v>1</v>
      </c>
      <c r="O180" s="8" t="s">
        <v>193</v>
      </c>
      <c r="P180">
        <v>3</v>
      </c>
      <c r="Q180" s="8">
        <v>3</v>
      </c>
      <c r="R180" s="12">
        <v>3</v>
      </c>
      <c r="S180" s="8">
        <v>3</v>
      </c>
      <c r="T180" s="12">
        <v>1</v>
      </c>
      <c r="U180" s="8" t="s">
        <v>194</v>
      </c>
      <c r="V180" s="2">
        <v>45707</v>
      </c>
      <c r="W180" s="2">
        <v>45712</v>
      </c>
      <c r="X180" s="2">
        <v>45723</v>
      </c>
      <c r="Y180" s="2"/>
      <c r="Z180" s="2"/>
      <c r="AB180">
        <v>8470</v>
      </c>
      <c r="AC180">
        <v>72009</v>
      </c>
      <c r="AD180" t="s">
        <v>572</v>
      </c>
      <c r="AE180" s="2">
        <v>45707</v>
      </c>
      <c r="AF180">
        <v>2.5</v>
      </c>
      <c r="AG180" s="17">
        <v>0.10416666666666601</v>
      </c>
      <c r="AH180" s="2">
        <v>45708</v>
      </c>
    </row>
    <row r="181" spans="1:34" hidden="1" x14ac:dyDescent="0.25">
      <c r="A181" s="12">
        <v>8504</v>
      </c>
      <c r="B181" s="12">
        <v>0</v>
      </c>
      <c r="C181" t="s">
        <v>339</v>
      </c>
      <c r="D181">
        <v>247807</v>
      </c>
      <c r="E181" s="8" t="s">
        <v>112</v>
      </c>
      <c r="F181" s="12">
        <v>22</v>
      </c>
      <c r="G181" s="8" t="s">
        <v>45</v>
      </c>
      <c r="H181" s="12">
        <v>3201</v>
      </c>
      <c r="I181" t="s">
        <v>51</v>
      </c>
      <c r="J181" t="s">
        <v>62</v>
      </c>
      <c r="K181" t="s">
        <v>63</v>
      </c>
      <c r="L181">
        <v>4</v>
      </c>
      <c r="M181" t="s">
        <v>207</v>
      </c>
      <c r="N181" s="12">
        <v>2</v>
      </c>
      <c r="O181" s="8" t="s">
        <v>158</v>
      </c>
      <c r="P181">
        <v>2</v>
      </c>
      <c r="Q181" s="8">
        <v>2</v>
      </c>
      <c r="R181" s="12">
        <v>2</v>
      </c>
      <c r="S181" s="8">
        <v>2</v>
      </c>
      <c r="T181" s="12">
        <v>2</v>
      </c>
      <c r="U181" s="8" t="s">
        <v>199</v>
      </c>
      <c r="V181" s="2">
        <v>45719</v>
      </c>
      <c r="W181" s="2">
        <v>45719</v>
      </c>
      <c r="X181" s="2">
        <v>45747</v>
      </c>
      <c r="Y181" s="2">
        <v>45747</v>
      </c>
      <c r="Z181" s="2"/>
      <c r="AB181">
        <v>8504</v>
      </c>
      <c r="AC181">
        <v>76727</v>
      </c>
      <c r="AD181" t="s">
        <v>360</v>
      </c>
      <c r="AE181" s="2">
        <v>45722</v>
      </c>
      <c r="AF181">
        <v>2.5</v>
      </c>
      <c r="AG181" s="17">
        <v>0.10416666666666601</v>
      </c>
      <c r="AH181" s="2">
        <v>45726</v>
      </c>
    </row>
    <row r="182" spans="1:34" hidden="1" x14ac:dyDescent="0.25">
      <c r="A182" s="12">
        <v>8504</v>
      </c>
      <c r="B182" s="12">
        <v>0</v>
      </c>
      <c r="C182" t="s">
        <v>339</v>
      </c>
      <c r="D182">
        <v>247807</v>
      </c>
      <c r="E182" s="8" t="s">
        <v>112</v>
      </c>
      <c r="F182" s="12">
        <v>22</v>
      </c>
      <c r="G182" s="8" t="s">
        <v>45</v>
      </c>
      <c r="H182" s="12">
        <v>3201</v>
      </c>
      <c r="I182" t="s">
        <v>51</v>
      </c>
      <c r="K182" t="s">
        <v>63</v>
      </c>
      <c r="L182">
        <v>4</v>
      </c>
      <c r="M182" t="s">
        <v>207</v>
      </c>
      <c r="N182" s="12">
        <v>2</v>
      </c>
      <c r="O182" s="8" t="s">
        <v>158</v>
      </c>
      <c r="P182">
        <v>2</v>
      </c>
      <c r="Q182" s="8">
        <v>2</v>
      </c>
      <c r="R182" s="12">
        <v>2</v>
      </c>
      <c r="S182" s="8">
        <v>2</v>
      </c>
      <c r="T182" s="12">
        <v>2</v>
      </c>
      <c r="U182" s="8" t="s">
        <v>199</v>
      </c>
      <c r="V182" s="2">
        <v>45719</v>
      </c>
      <c r="W182" s="2">
        <v>45719</v>
      </c>
      <c r="X182" s="2">
        <v>45747</v>
      </c>
      <c r="Y182" s="2">
        <v>45747</v>
      </c>
      <c r="Z182" s="2"/>
      <c r="AB182">
        <v>8504</v>
      </c>
      <c r="AC182">
        <v>76726</v>
      </c>
      <c r="AD182" t="s">
        <v>573</v>
      </c>
      <c r="AE182" s="2">
        <v>45722</v>
      </c>
      <c r="AF182">
        <v>0.75</v>
      </c>
      <c r="AG182" s="17">
        <v>3.125E-2</v>
      </c>
      <c r="AH182" s="2">
        <v>45726</v>
      </c>
    </row>
    <row r="183" spans="1:34" hidden="1" x14ac:dyDescent="0.25">
      <c r="A183" s="12">
        <v>8504</v>
      </c>
      <c r="B183" s="12">
        <v>0</v>
      </c>
      <c r="C183" t="s">
        <v>339</v>
      </c>
      <c r="D183">
        <v>247807</v>
      </c>
      <c r="E183" s="8" t="s">
        <v>112</v>
      </c>
      <c r="F183" s="12">
        <v>22</v>
      </c>
      <c r="G183" s="8" t="s">
        <v>45</v>
      </c>
      <c r="H183" s="12">
        <v>3201</v>
      </c>
      <c r="I183" t="s">
        <v>51</v>
      </c>
      <c r="K183" t="s">
        <v>63</v>
      </c>
      <c r="L183">
        <v>4</v>
      </c>
      <c r="M183" t="s">
        <v>207</v>
      </c>
      <c r="N183" s="12">
        <v>2</v>
      </c>
      <c r="O183" s="8" t="s">
        <v>158</v>
      </c>
      <c r="P183">
        <v>2</v>
      </c>
      <c r="Q183" s="8">
        <v>2</v>
      </c>
      <c r="R183" s="12">
        <v>2</v>
      </c>
      <c r="S183" s="8">
        <v>2</v>
      </c>
      <c r="T183" s="12">
        <v>2</v>
      </c>
      <c r="U183" s="8" t="s">
        <v>199</v>
      </c>
      <c r="V183" s="2">
        <v>45719</v>
      </c>
      <c r="W183" s="2">
        <v>45719</v>
      </c>
      <c r="X183" s="2">
        <v>45747</v>
      </c>
      <c r="Y183" s="2">
        <v>45747</v>
      </c>
      <c r="Z183" s="2"/>
      <c r="AB183">
        <v>8504</v>
      </c>
      <c r="AC183">
        <v>76724</v>
      </c>
      <c r="AD183" t="s">
        <v>574</v>
      </c>
      <c r="AE183" s="2">
        <v>45722</v>
      </c>
      <c r="AF183">
        <v>3</v>
      </c>
      <c r="AG183" s="17">
        <v>0.125</v>
      </c>
      <c r="AH183" s="2">
        <v>45726</v>
      </c>
    </row>
    <row r="184" spans="1:34" hidden="1" x14ac:dyDescent="0.25">
      <c r="A184" s="12">
        <v>8504</v>
      </c>
      <c r="B184" s="12">
        <v>0</v>
      </c>
      <c r="C184" t="s">
        <v>339</v>
      </c>
      <c r="D184">
        <v>247807</v>
      </c>
      <c r="E184" s="8" t="s">
        <v>112</v>
      </c>
      <c r="F184" s="12">
        <v>22</v>
      </c>
      <c r="G184" s="8" t="s">
        <v>45</v>
      </c>
      <c r="H184" s="12">
        <v>3201</v>
      </c>
      <c r="I184" t="s">
        <v>51</v>
      </c>
      <c r="K184" t="s">
        <v>63</v>
      </c>
      <c r="L184">
        <v>4</v>
      </c>
      <c r="M184" t="s">
        <v>207</v>
      </c>
      <c r="N184" s="12">
        <v>2</v>
      </c>
      <c r="O184" s="8" t="s">
        <v>158</v>
      </c>
      <c r="P184">
        <v>2</v>
      </c>
      <c r="Q184" s="8">
        <v>2</v>
      </c>
      <c r="R184" s="12">
        <v>2</v>
      </c>
      <c r="S184" s="8">
        <v>2</v>
      </c>
      <c r="T184" s="12">
        <v>2</v>
      </c>
      <c r="U184" s="8" t="s">
        <v>199</v>
      </c>
      <c r="V184" s="2">
        <v>45719</v>
      </c>
      <c r="W184" s="2">
        <v>45719</v>
      </c>
      <c r="X184" s="2">
        <v>45747</v>
      </c>
      <c r="Y184" s="2">
        <v>45747</v>
      </c>
      <c r="Z184" s="2"/>
      <c r="AB184">
        <v>8504</v>
      </c>
      <c r="AC184">
        <v>76723</v>
      </c>
      <c r="AD184" t="s">
        <v>575</v>
      </c>
      <c r="AE184" s="2">
        <v>45722</v>
      </c>
      <c r="AF184">
        <v>1.5</v>
      </c>
      <c r="AG184" s="17">
        <v>6.25E-2</v>
      </c>
      <c r="AH184" s="2">
        <v>45726</v>
      </c>
    </row>
    <row r="185" spans="1:34" hidden="1" x14ac:dyDescent="0.25">
      <c r="A185" s="12">
        <v>8504</v>
      </c>
      <c r="B185" s="12">
        <v>0</v>
      </c>
      <c r="C185" t="s">
        <v>339</v>
      </c>
      <c r="D185">
        <v>247807</v>
      </c>
      <c r="E185" s="8" t="s">
        <v>112</v>
      </c>
      <c r="F185" s="12">
        <v>22</v>
      </c>
      <c r="G185" s="8" t="s">
        <v>45</v>
      </c>
      <c r="H185" s="12">
        <v>3201</v>
      </c>
      <c r="I185" t="s">
        <v>51</v>
      </c>
      <c r="K185" t="s">
        <v>63</v>
      </c>
      <c r="L185">
        <v>4</v>
      </c>
      <c r="M185" t="s">
        <v>207</v>
      </c>
      <c r="N185" s="12">
        <v>2</v>
      </c>
      <c r="O185" s="8" t="s">
        <v>158</v>
      </c>
      <c r="P185">
        <v>2</v>
      </c>
      <c r="Q185" s="8">
        <v>2</v>
      </c>
      <c r="R185" s="12">
        <v>2</v>
      </c>
      <c r="S185" s="8">
        <v>2</v>
      </c>
      <c r="T185" s="12">
        <v>2</v>
      </c>
      <c r="U185" s="8" t="s">
        <v>199</v>
      </c>
      <c r="V185" s="2">
        <v>45719</v>
      </c>
      <c r="W185" s="2">
        <v>45719</v>
      </c>
      <c r="X185" s="2">
        <v>45747</v>
      </c>
      <c r="Y185" s="2">
        <v>45747</v>
      </c>
      <c r="Z185" s="2"/>
      <c r="AB185">
        <v>8504</v>
      </c>
      <c r="AC185">
        <v>76715</v>
      </c>
      <c r="AD185" t="s">
        <v>576</v>
      </c>
      <c r="AE185" s="2">
        <v>45722</v>
      </c>
      <c r="AF185">
        <v>1.25</v>
      </c>
      <c r="AG185" s="17">
        <v>5.2083333333333301E-2</v>
      </c>
      <c r="AH185" s="2">
        <v>45726</v>
      </c>
    </row>
    <row r="186" spans="1:34" hidden="1" x14ac:dyDescent="0.25">
      <c r="A186" s="12">
        <v>8504</v>
      </c>
      <c r="B186" s="12">
        <v>0</v>
      </c>
      <c r="C186" t="s">
        <v>339</v>
      </c>
      <c r="D186">
        <v>247807</v>
      </c>
      <c r="E186" s="8" t="s">
        <v>112</v>
      </c>
      <c r="F186" s="12">
        <v>22</v>
      </c>
      <c r="G186" s="8" t="s">
        <v>45</v>
      </c>
      <c r="H186" s="12">
        <v>3201</v>
      </c>
      <c r="I186" t="s">
        <v>51</v>
      </c>
      <c r="K186" t="s">
        <v>63</v>
      </c>
      <c r="L186">
        <v>4</v>
      </c>
      <c r="M186" t="s">
        <v>207</v>
      </c>
      <c r="N186" s="12">
        <v>2</v>
      </c>
      <c r="O186" s="8" t="s">
        <v>158</v>
      </c>
      <c r="P186">
        <v>2</v>
      </c>
      <c r="Q186" s="8">
        <v>2</v>
      </c>
      <c r="R186" s="12">
        <v>2</v>
      </c>
      <c r="S186" s="8">
        <v>2</v>
      </c>
      <c r="T186" s="12">
        <v>2</v>
      </c>
      <c r="U186" s="8" t="s">
        <v>199</v>
      </c>
      <c r="V186" s="2">
        <v>45719</v>
      </c>
      <c r="W186" s="2">
        <v>45719</v>
      </c>
      <c r="X186" s="2">
        <v>45747</v>
      </c>
      <c r="Y186" s="2">
        <v>45747</v>
      </c>
      <c r="Z186" s="2"/>
      <c r="AB186">
        <v>8504</v>
      </c>
      <c r="AC186">
        <v>76713</v>
      </c>
      <c r="AD186" t="s">
        <v>577</v>
      </c>
      <c r="AE186" s="2">
        <v>45721</v>
      </c>
      <c r="AF186">
        <v>3.25</v>
      </c>
      <c r="AG186" s="17">
        <v>0.13541666666666599</v>
      </c>
      <c r="AH186" s="2">
        <v>45726</v>
      </c>
    </row>
    <row r="187" spans="1:34" hidden="1" x14ac:dyDescent="0.25">
      <c r="A187" s="12">
        <v>8504</v>
      </c>
      <c r="B187" s="12">
        <v>0</v>
      </c>
      <c r="C187" t="s">
        <v>339</v>
      </c>
      <c r="D187">
        <v>247807</v>
      </c>
      <c r="E187" s="8" t="s">
        <v>112</v>
      </c>
      <c r="F187" s="12">
        <v>22</v>
      </c>
      <c r="G187" s="8" t="s">
        <v>45</v>
      </c>
      <c r="H187" s="12">
        <v>3201</v>
      </c>
      <c r="I187" t="s">
        <v>51</v>
      </c>
      <c r="K187" t="s">
        <v>63</v>
      </c>
      <c r="L187">
        <v>4</v>
      </c>
      <c r="M187" t="s">
        <v>207</v>
      </c>
      <c r="N187" s="12">
        <v>2</v>
      </c>
      <c r="O187" s="8" t="s">
        <v>158</v>
      </c>
      <c r="P187">
        <v>2</v>
      </c>
      <c r="Q187" s="8">
        <v>2</v>
      </c>
      <c r="R187" s="12">
        <v>2</v>
      </c>
      <c r="S187" s="8">
        <v>2</v>
      </c>
      <c r="T187" s="12">
        <v>2</v>
      </c>
      <c r="U187" s="8" t="s">
        <v>199</v>
      </c>
      <c r="V187" s="2">
        <v>45719</v>
      </c>
      <c r="W187" s="2">
        <v>45719</v>
      </c>
      <c r="X187" s="2">
        <v>45747</v>
      </c>
      <c r="Y187" s="2">
        <v>45747</v>
      </c>
      <c r="Z187" s="2"/>
      <c r="AB187">
        <v>8504</v>
      </c>
      <c r="AC187">
        <v>76712</v>
      </c>
      <c r="AD187" t="s">
        <v>578</v>
      </c>
      <c r="AE187" s="2">
        <v>45721</v>
      </c>
      <c r="AF187">
        <v>5.25</v>
      </c>
      <c r="AG187" s="17">
        <v>0.21875</v>
      </c>
      <c r="AH187" s="2">
        <v>45726</v>
      </c>
    </row>
    <row r="188" spans="1:34" hidden="1" x14ac:dyDescent="0.25">
      <c r="A188" s="12">
        <v>8504</v>
      </c>
      <c r="B188" s="12">
        <v>0</v>
      </c>
      <c r="C188" t="s">
        <v>339</v>
      </c>
      <c r="D188">
        <v>247807</v>
      </c>
      <c r="E188" s="8" t="s">
        <v>112</v>
      </c>
      <c r="F188" s="12">
        <v>22</v>
      </c>
      <c r="G188" s="8" t="s">
        <v>45</v>
      </c>
      <c r="H188" s="12">
        <v>3201</v>
      </c>
      <c r="I188" t="s">
        <v>51</v>
      </c>
      <c r="K188" t="s">
        <v>63</v>
      </c>
      <c r="L188">
        <v>4</v>
      </c>
      <c r="M188" t="s">
        <v>207</v>
      </c>
      <c r="N188" s="12">
        <v>2</v>
      </c>
      <c r="O188" s="8" t="s">
        <v>158</v>
      </c>
      <c r="P188">
        <v>2</v>
      </c>
      <c r="Q188" s="8">
        <v>2</v>
      </c>
      <c r="R188" s="12">
        <v>2</v>
      </c>
      <c r="S188" s="8">
        <v>2</v>
      </c>
      <c r="T188" s="12">
        <v>2</v>
      </c>
      <c r="U188" s="8" t="s">
        <v>199</v>
      </c>
      <c r="V188" s="2">
        <v>45719</v>
      </c>
      <c r="W188" s="2">
        <v>45719</v>
      </c>
      <c r="X188" s="2">
        <v>45747</v>
      </c>
      <c r="Y188" s="2">
        <v>45747</v>
      </c>
      <c r="Z188" s="2"/>
      <c r="AB188">
        <v>8504</v>
      </c>
      <c r="AC188">
        <v>75490</v>
      </c>
      <c r="AD188" t="s">
        <v>579</v>
      </c>
      <c r="AE188" s="2">
        <v>45720</v>
      </c>
      <c r="AF188">
        <v>9</v>
      </c>
      <c r="AG188" s="17">
        <v>0.375</v>
      </c>
      <c r="AH188" s="2">
        <v>45721</v>
      </c>
    </row>
    <row r="189" spans="1:34" hidden="1" x14ac:dyDescent="0.25">
      <c r="A189" s="12">
        <v>8502</v>
      </c>
      <c r="B189" s="12">
        <v>363</v>
      </c>
      <c r="C189" t="s">
        <v>332</v>
      </c>
      <c r="D189">
        <v>247651</v>
      </c>
      <c r="E189" s="8" t="s">
        <v>118</v>
      </c>
      <c r="F189" s="12">
        <v>27</v>
      </c>
      <c r="G189" s="8" t="s">
        <v>168</v>
      </c>
      <c r="H189" s="12">
        <v>3199</v>
      </c>
      <c r="I189" t="s">
        <v>46</v>
      </c>
      <c r="J189" t="s">
        <v>62</v>
      </c>
      <c r="K189" t="s">
        <v>63</v>
      </c>
      <c r="L189">
        <v>2</v>
      </c>
      <c r="M189" t="s">
        <v>157</v>
      </c>
      <c r="N189" s="12">
        <v>3</v>
      </c>
      <c r="O189" s="8" t="s">
        <v>308</v>
      </c>
      <c r="P189">
        <v>2</v>
      </c>
      <c r="Q189" s="8">
        <v>2</v>
      </c>
      <c r="R189" s="12">
        <v>1</v>
      </c>
      <c r="S189" s="8">
        <v>1</v>
      </c>
      <c r="T189" s="12">
        <v>3</v>
      </c>
      <c r="U189" s="8" t="s">
        <v>333</v>
      </c>
      <c r="V189" s="2">
        <v>45719</v>
      </c>
      <c r="W189" s="2"/>
      <c r="X189" s="2"/>
      <c r="Y189" s="2">
        <v>45777</v>
      </c>
      <c r="Z189" s="2"/>
      <c r="AB189">
        <v>8502</v>
      </c>
      <c r="AC189">
        <v>76795</v>
      </c>
      <c r="AD189" t="s">
        <v>361</v>
      </c>
      <c r="AE189" s="2">
        <v>45724</v>
      </c>
      <c r="AF189">
        <v>4</v>
      </c>
      <c r="AG189" s="17">
        <v>0.16666666666666599</v>
      </c>
      <c r="AH189" s="2">
        <v>45726</v>
      </c>
    </row>
    <row r="190" spans="1:34" hidden="1" x14ac:dyDescent="0.25">
      <c r="A190" s="12">
        <v>8502</v>
      </c>
      <c r="B190" s="12">
        <v>363</v>
      </c>
      <c r="C190" t="s">
        <v>332</v>
      </c>
      <c r="D190">
        <v>247651</v>
      </c>
      <c r="E190" s="8" t="s">
        <v>118</v>
      </c>
      <c r="F190" s="12">
        <v>27</v>
      </c>
      <c r="G190" s="8" t="s">
        <v>168</v>
      </c>
      <c r="H190" s="12">
        <v>3199</v>
      </c>
      <c r="I190" t="s">
        <v>46</v>
      </c>
      <c r="K190" t="s">
        <v>63</v>
      </c>
      <c r="L190">
        <v>2</v>
      </c>
      <c r="M190" t="s">
        <v>157</v>
      </c>
      <c r="N190" s="12">
        <v>3</v>
      </c>
      <c r="O190" s="8" t="s">
        <v>308</v>
      </c>
      <c r="P190">
        <v>2</v>
      </c>
      <c r="Q190" s="8">
        <v>2</v>
      </c>
      <c r="R190" s="12">
        <v>1</v>
      </c>
      <c r="S190" s="8">
        <v>1</v>
      </c>
      <c r="T190" s="12">
        <v>3</v>
      </c>
      <c r="U190" s="8" t="s">
        <v>333</v>
      </c>
      <c r="V190" s="2">
        <v>45719</v>
      </c>
      <c r="W190" s="2"/>
      <c r="X190" s="2"/>
      <c r="Y190" s="2">
        <v>45777</v>
      </c>
      <c r="Z190" s="2"/>
      <c r="AB190">
        <v>8502</v>
      </c>
      <c r="AC190">
        <v>76793</v>
      </c>
      <c r="AD190" t="s">
        <v>580</v>
      </c>
      <c r="AE190" s="2">
        <v>45723</v>
      </c>
      <c r="AF190">
        <v>8</v>
      </c>
      <c r="AG190" s="17">
        <v>0.33333333333333298</v>
      </c>
      <c r="AH190" s="2">
        <v>45726</v>
      </c>
    </row>
    <row r="191" spans="1:34" hidden="1" x14ac:dyDescent="0.25">
      <c r="A191" s="12">
        <v>8502</v>
      </c>
      <c r="B191" s="12">
        <v>363</v>
      </c>
      <c r="C191" t="s">
        <v>332</v>
      </c>
      <c r="D191">
        <v>247651</v>
      </c>
      <c r="E191" s="8" t="s">
        <v>118</v>
      </c>
      <c r="F191" s="12">
        <v>27</v>
      </c>
      <c r="G191" s="8" t="s">
        <v>168</v>
      </c>
      <c r="H191" s="12">
        <v>3199</v>
      </c>
      <c r="I191" t="s">
        <v>46</v>
      </c>
      <c r="K191" t="s">
        <v>63</v>
      </c>
      <c r="L191">
        <v>2</v>
      </c>
      <c r="M191" t="s">
        <v>157</v>
      </c>
      <c r="N191" s="12">
        <v>3</v>
      </c>
      <c r="O191" s="8" t="s">
        <v>308</v>
      </c>
      <c r="P191">
        <v>2</v>
      </c>
      <c r="Q191" s="8">
        <v>2</v>
      </c>
      <c r="R191" s="12">
        <v>1</v>
      </c>
      <c r="S191" s="8">
        <v>1</v>
      </c>
      <c r="T191" s="12">
        <v>3</v>
      </c>
      <c r="U191" s="8" t="s">
        <v>333</v>
      </c>
      <c r="V191" s="2">
        <v>45719</v>
      </c>
      <c r="W191" s="2"/>
      <c r="X191" s="2"/>
      <c r="Y191" s="2">
        <v>45777</v>
      </c>
      <c r="Z191" s="2"/>
      <c r="AB191">
        <v>8502</v>
      </c>
      <c r="AC191">
        <v>76792</v>
      </c>
      <c r="AD191" t="s">
        <v>581</v>
      </c>
      <c r="AE191" s="2">
        <v>45722</v>
      </c>
      <c r="AF191">
        <v>8</v>
      </c>
      <c r="AG191" s="17">
        <v>0.33333333333333298</v>
      </c>
      <c r="AH191" s="2">
        <v>45726</v>
      </c>
    </row>
    <row r="192" spans="1:34" hidden="1" x14ac:dyDescent="0.25">
      <c r="A192" s="12">
        <v>8502</v>
      </c>
      <c r="B192" s="12">
        <v>363</v>
      </c>
      <c r="C192" t="s">
        <v>332</v>
      </c>
      <c r="D192">
        <v>247651</v>
      </c>
      <c r="E192" s="8" t="s">
        <v>118</v>
      </c>
      <c r="F192" s="12">
        <v>27</v>
      </c>
      <c r="G192" s="8" t="s">
        <v>168</v>
      </c>
      <c r="H192" s="12">
        <v>3199</v>
      </c>
      <c r="I192" t="s">
        <v>46</v>
      </c>
      <c r="K192" t="s">
        <v>63</v>
      </c>
      <c r="L192">
        <v>2</v>
      </c>
      <c r="M192" t="s">
        <v>157</v>
      </c>
      <c r="N192" s="12">
        <v>3</v>
      </c>
      <c r="O192" s="8" t="s">
        <v>308</v>
      </c>
      <c r="P192">
        <v>2</v>
      </c>
      <c r="Q192" s="8">
        <v>2</v>
      </c>
      <c r="R192" s="12">
        <v>1</v>
      </c>
      <c r="S192" s="8">
        <v>1</v>
      </c>
      <c r="T192" s="12">
        <v>3</v>
      </c>
      <c r="U192" s="8" t="s">
        <v>333</v>
      </c>
      <c r="V192" s="2">
        <v>45719</v>
      </c>
      <c r="W192" s="2"/>
      <c r="X192" s="2"/>
      <c r="Y192" s="2">
        <v>45777</v>
      </c>
      <c r="Z192" s="2"/>
      <c r="AB192">
        <v>8502</v>
      </c>
      <c r="AC192">
        <v>76752</v>
      </c>
      <c r="AD192" t="s">
        <v>582</v>
      </c>
      <c r="AE192" s="2">
        <v>45721</v>
      </c>
      <c r="AF192">
        <v>8</v>
      </c>
      <c r="AG192" s="17">
        <v>0.33333333333333298</v>
      </c>
      <c r="AH192" s="2">
        <v>45726</v>
      </c>
    </row>
    <row r="193" spans="1:34" hidden="1" x14ac:dyDescent="0.25">
      <c r="A193" s="12">
        <v>8505</v>
      </c>
      <c r="B193" s="12">
        <v>0</v>
      </c>
      <c r="C193" t="s">
        <v>362</v>
      </c>
      <c r="D193">
        <v>247648</v>
      </c>
      <c r="E193" s="8" t="s">
        <v>363</v>
      </c>
      <c r="F193" s="12">
        <v>30</v>
      </c>
      <c r="G193" s="8" t="s">
        <v>41</v>
      </c>
      <c r="H193" s="12">
        <v>3233</v>
      </c>
      <c r="I193" t="s">
        <v>343</v>
      </c>
      <c r="J193" t="s">
        <v>62</v>
      </c>
      <c r="K193" t="s">
        <v>63</v>
      </c>
      <c r="L193">
        <v>2</v>
      </c>
      <c r="M193" t="s">
        <v>157</v>
      </c>
      <c r="N193" s="12">
        <v>3</v>
      </c>
      <c r="O193" s="8" t="s">
        <v>308</v>
      </c>
      <c r="P193">
        <v>2</v>
      </c>
      <c r="Q193" s="8">
        <v>2</v>
      </c>
      <c r="R193" s="12">
        <v>2</v>
      </c>
      <c r="S193" s="8">
        <v>2</v>
      </c>
      <c r="T193" s="12">
        <v>3</v>
      </c>
      <c r="U193" s="8" t="s">
        <v>333</v>
      </c>
      <c r="V193" s="2">
        <v>45701</v>
      </c>
      <c r="W193" s="2">
        <v>45729</v>
      </c>
      <c r="X193" s="2">
        <v>45777</v>
      </c>
      <c r="Y193" s="2">
        <v>45777</v>
      </c>
      <c r="Z193" s="2"/>
      <c r="AA193" t="s">
        <v>364</v>
      </c>
      <c r="AB193">
        <v>8505</v>
      </c>
      <c r="AC193">
        <v>76745</v>
      </c>
      <c r="AD193" t="s">
        <v>365</v>
      </c>
      <c r="AE193" s="2">
        <v>45723</v>
      </c>
      <c r="AF193">
        <v>3</v>
      </c>
      <c r="AG193" s="17">
        <v>0.125</v>
      </c>
      <c r="AH193" s="2">
        <v>45726</v>
      </c>
    </row>
    <row r="194" spans="1:34" hidden="1" x14ac:dyDescent="0.25">
      <c r="A194" s="12">
        <v>8505</v>
      </c>
      <c r="B194" s="12">
        <v>0</v>
      </c>
      <c r="C194" t="s">
        <v>362</v>
      </c>
      <c r="D194">
        <v>247648</v>
      </c>
      <c r="E194" s="8" t="s">
        <v>363</v>
      </c>
      <c r="F194" s="12">
        <v>30</v>
      </c>
      <c r="G194" s="8" t="s">
        <v>41</v>
      </c>
      <c r="H194" s="12">
        <v>3233</v>
      </c>
      <c r="I194" t="s">
        <v>343</v>
      </c>
      <c r="K194" t="s">
        <v>63</v>
      </c>
      <c r="L194">
        <v>2</v>
      </c>
      <c r="M194" t="s">
        <v>157</v>
      </c>
      <c r="N194" s="12">
        <v>3</v>
      </c>
      <c r="O194" s="8" t="s">
        <v>308</v>
      </c>
      <c r="P194">
        <v>2</v>
      </c>
      <c r="Q194" s="8">
        <v>2</v>
      </c>
      <c r="R194" s="12">
        <v>2</v>
      </c>
      <c r="S194" s="8">
        <v>2</v>
      </c>
      <c r="T194" s="12">
        <v>3</v>
      </c>
      <c r="U194" s="8" t="s">
        <v>333</v>
      </c>
      <c r="V194" s="2">
        <v>45701</v>
      </c>
      <c r="W194" s="2">
        <v>45729</v>
      </c>
      <c r="X194" s="2">
        <v>45777</v>
      </c>
      <c r="Y194" s="2">
        <v>45777</v>
      </c>
      <c r="Z194" s="2"/>
      <c r="AA194" t="s">
        <v>364</v>
      </c>
      <c r="AB194">
        <v>8505</v>
      </c>
      <c r="AC194">
        <v>76053</v>
      </c>
      <c r="AD194" t="s">
        <v>583</v>
      </c>
      <c r="AE194" s="2">
        <v>45722</v>
      </c>
      <c r="AF194">
        <v>3</v>
      </c>
      <c r="AG194" s="17">
        <v>0.125</v>
      </c>
      <c r="AH194" s="2">
        <v>45723</v>
      </c>
    </row>
    <row r="195" spans="1:34" hidden="1" x14ac:dyDescent="0.25">
      <c r="A195" s="12">
        <v>8505</v>
      </c>
      <c r="B195" s="12">
        <v>0</v>
      </c>
      <c r="C195" t="s">
        <v>362</v>
      </c>
      <c r="D195">
        <v>247648</v>
      </c>
      <c r="E195" s="8" t="s">
        <v>363</v>
      </c>
      <c r="F195" s="12">
        <v>30</v>
      </c>
      <c r="G195" s="8" t="s">
        <v>41</v>
      </c>
      <c r="H195" s="12">
        <v>3233</v>
      </c>
      <c r="I195" t="s">
        <v>343</v>
      </c>
      <c r="K195" t="s">
        <v>63</v>
      </c>
      <c r="L195">
        <v>2</v>
      </c>
      <c r="M195" t="s">
        <v>157</v>
      </c>
      <c r="N195" s="12">
        <v>3</v>
      </c>
      <c r="O195" s="8" t="s">
        <v>308</v>
      </c>
      <c r="P195">
        <v>2</v>
      </c>
      <c r="Q195" s="8">
        <v>2</v>
      </c>
      <c r="R195" s="12">
        <v>2</v>
      </c>
      <c r="S195" s="8">
        <v>2</v>
      </c>
      <c r="T195" s="12">
        <v>3</v>
      </c>
      <c r="U195" s="8" t="s">
        <v>333</v>
      </c>
      <c r="V195" s="2">
        <v>45701</v>
      </c>
      <c r="W195" s="2">
        <v>45729</v>
      </c>
      <c r="X195" s="2">
        <v>45777</v>
      </c>
      <c r="Y195" s="2">
        <v>45777</v>
      </c>
      <c r="Z195" s="2"/>
      <c r="AA195" t="s">
        <v>364</v>
      </c>
      <c r="AB195">
        <v>8505</v>
      </c>
      <c r="AC195">
        <v>75701</v>
      </c>
      <c r="AD195" t="s">
        <v>584</v>
      </c>
      <c r="AE195" s="2">
        <v>45721</v>
      </c>
      <c r="AF195">
        <v>1.5</v>
      </c>
      <c r="AG195" s="17">
        <v>6.25E-2</v>
      </c>
      <c r="AH195" s="2">
        <v>45721</v>
      </c>
    </row>
    <row r="196" spans="1:34" hidden="1" x14ac:dyDescent="0.25">
      <c r="A196" s="12">
        <v>8505</v>
      </c>
      <c r="B196" s="12">
        <v>0</v>
      </c>
      <c r="C196" t="s">
        <v>362</v>
      </c>
      <c r="D196">
        <v>247648</v>
      </c>
      <c r="E196" s="8" t="s">
        <v>363</v>
      </c>
      <c r="F196" s="12">
        <v>30</v>
      </c>
      <c r="G196" s="8" t="s">
        <v>41</v>
      </c>
      <c r="H196" s="12">
        <v>3233</v>
      </c>
      <c r="I196" t="s">
        <v>343</v>
      </c>
      <c r="K196" t="s">
        <v>63</v>
      </c>
      <c r="L196">
        <v>2</v>
      </c>
      <c r="M196" t="s">
        <v>157</v>
      </c>
      <c r="N196" s="12">
        <v>3</v>
      </c>
      <c r="O196" s="8" t="s">
        <v>308</v>
      </c>
      <c r="P196">
        <v>2</v>
      </c>
      <c r="Q196" s="8">
        <v>2</v>
      </c>
      <c r="R196" s="12">
        <v>2</v>
      </c>
      <c r="S196" s="8">
        <v>2</v>
      </c>
      <c r="T196" s="12">
        <v>3</v>
      </c>
      <c r="U196" s="8" t="s">
        <v>333</v>
      </c>
      <c r="V196" s="2">
        <v>45701</v>
      </c>
      <c r="W196" s="2">
        <v>45729</v>
      </c>
      <c r="X196" s="2">
        <v>45777</v>
      </c>
      <c r="Y196" s="2">
        <v>45777</v>
      </c>
      <c r="Z196" s="2"/>
      <c r="AA196" t="s">
        <v>364</v>
      </c>
      <c r="AB196">
        <v>8505</v>
      </c>
      <c r="AC196">
        <v>75507</v>
      </c>
      <c r="AD196" t="s">
        <v>585</v>
      </c>
      <c r="AE196" s="2">
        <v>45720</v>
      </c>
      <c r="AF196">
        <v>1</v>
      </c>
      <c r="AG196" s="17">
        <v>4.1666666666666602E-2</v>
      </c>
      <c r="AH196" s="2">
        <v>45721</v>
      </c>
    </row>
    <row r="197" spans="1:34" hidden="1" x14ac:dyDescent="0.25">
      <c r="A197" s="12">
        <v>8505</v>
      </c>
      <c r="B197" s="12">
        <v>0</v>
      </c>
      <c r="C197" t="s">
        <v>362</v>
      </c>
      <c r="D197">
        <v>247648</v>
      </c>
      <c r="E197" s="8" t="s">
        <v>363</v>
      </c>
      <c r="F197" s="12">
        <v>30</v>
      </c>
      <c r="G197" s="8" t="s">
        <v>41</v>
      </c>
      <c r="H197" s="12">
        <v>3233</v>
      </c>
      <c r="I197" t="s">
        <v>343</v>
      </c>
      <c r="K197" t="s">
        <v>63</v>
      </c>
      <c r="L197">
        <v>2</v>
      </c>
      <c r="M197" t="s">
        <v>157</v>
      </c>
      <c r="N197" s="12">
        <v>3</v>
      </c>
      <c r="O197" s="8" t="s">
        <v>308</v>
      </c>
      <c r="P197">
        <v>2</v>
      </c>
      <c r="Q197" s="8">
        <v>2</v>
      </c>
      <c r="R197" s="12">
        <v>2</v>
      </c>
      <c r="S197" s="8">
        <v>2</v>
      </c>
      <c r="T197" s="12">
        <v>3</v>
      </c>
      <c r="U197" s="8" t="s">
        <v>333</v>
      </c>
      <c r="V197" s="2">
        <v>45701</v>
      </c>
      <c r="W197" s="2">
        <v>45729</v>
      </c>
      <c r="X197" s="2">
        <v>45777</v>
      </c>
      <c r="Y197" s="2">
        <v>45777</v>
      </c>
      <c r="Z197" s="2"/>
      <c r="AA197" t="s">
        <v>364</v>
      </c>
      <c r="AB197">
        <v>8505</v>
      </c>
      <c r="AC197">
        <v>75158</v>
      </c>
      <c r="AD197" t="s">
        <v>586</v>
      </c>
      <c r="AE197" s="2">
        <v>45719</v>
      </c>
      <c r="AF197">
        <v>2</v>
      </c>
      <c r="AG197" s="17">
        <v>8.3333333333333301E-2</v>
      </c>
      <c r="AH197" s="2">
        <v>45719</v>
      </c>
    </row>
    <row r="198" spans="1:34" hidden="1" x14ac:dyDescent="0.25">
      <c r="A198" s="12">
        <v>8505</v>
      </c>
      <c r="B198" s="12">
        <v>0</v>
      </c>
      <c r="C198" t="s">
        <v>362</v>
      </c>
      <c r="D198">
        <v>247648</v>
      </c>
      <c r="E198" s="8" t="s">
        <v>363</v>
      </c>
      <c r="F198" s="12">
        <v>30</v>
      </c>
      <c r="G198" s="8" t="s">
        <v>41</v>
      </c>
      <c r="H198" s="12">
        <v>3233</v>
      </c>
      <c r="I198" t="s">
        <v>343</v>
      </c>
      <c r="K198" t="s">
        <v>63</v>
      </c>
      <c r="L198">
        <v>2</v>
      </c>
      <c r="M198" t="s">
        <v>157</v>
      </c>
      <c r="N198" s="12">
        <v>3</v>
      </c>
      <c r="O198" s="8" t="s">
        <v>308</v>
      </c>
      <c r="P198">
        <v>2</v>
      </c>
      <c r="Q198" s="8">
        <v>2</v>
      </c>
      <c r="R198" s="12">
        <v>2</v>
      </c>
      <c r="S198" s="8">
        <v>2</v>
      </c>
      <c r="T198" s="12">
        <v>3</v>
      </c>
      <c r="U198" s="8" t="s">
        <v>333</v>
      </c>
      <c r="V198" s="2">
        <v>45701</v>
      </c>
      <c r="W198" s="2">
        <v>45729</v>
      </c>
      <c r="X198" s="2">
        <v>45777</v>
      </c>
      <c r="Y198" s="2">
        <v>45777</v>
      </c>
      <c r="Z198" s="2"/>
      <c r="AA198" t="s">
        <v>364</v>
      </c>
      <c r="AB198">
        <v>8505</v>
      </c>
      <c r="AC198">
        <v>75157</v>
      </c>
      <c r="AD198" t="s">
        <v>587</v>
      </c>
      <c r="AE198" s="2">
        <v>45702</v>
      </c>
      <c r="AF198">
        <v>1</v>
      </c>
      <c r="AG198" s="17">
        <v>4.1666666666666602E-2</v>
      </c>
      <c r="AH198" s="2">
        <v>45719</v>
      </c>
    </row>
    <row r="199" spans="1:34" hidden="1" x14ac:dyDescent="0.25">
      <c r="A199" s="12">
        <v>8505</v>
      </c>
      <c r="B199" s="12">
        <v>0</v>
      </c>
      <c r="C199" t="s">
        <v>362</v>
      </c>
      <c r="D199">
        <v>247648</v>
      </c>
      <c r="E199" s="8" t="s">
        <v>363</v>
      </c>
      <c r="F199" s="12">
        <v>30</v>
      </c>
      <c r="G199" s="8" t="s">
        <v>41</v>
      </c>
      <c r="H199" s="12">
        <v>3233</v>
      </c>
      <c r="I199" t="s">
        <v>343</v>
      </c>
      <c r="K199" t="s">
        <v>63</v>
      </c>
      <c r="L199">
        <v>2</v>
      </c>
      <c r="M199" t="s">
        <v>157</v>
      </c>
      <c r="N199" s="12">
        <v>3</v>
      </c>
      <c r="O199" s="8" t="s">
        <v>308</v>
      </c>
      <c r="P199">
        <v>2</v>
      </c>
      <c r="Q199" s="8">
        <v>2</v>
      </c>
      <c r="R199" s="12">
        <v>2</v>
      </c>
      <c r="S199" s="8">
        <v>2</v>
      </c>
      <c r="T199" s="12">
        <v>3</v>
      </c>
      <c r="U199" s="8" t="s">
        <v>333</v>
      </c>
      <c r="V199" s="2">
        <v>45701</v>
      </c>
      <c r="W199" s="2">
        <v>45729</v>
      </c>
      <c r="X199" s="2">
        <v>45777</v>
      </c>
      <c r="Y199" s="2">
        <v>45777</v>
      </c>
      <c r="Z199" s="2"/>
      <c r="AA199" t="s">
        <v>364</v>
      </c>
      <c r="AB199">
        <v>8505</v>
      </c>
      <c r="AC199">
        <v>75156</v>
      </c>
      <c r="AD199" t="s">
        <v>588</v>
      </c>
      <c r="AE199" s="2">
        <v>45701</v>
      </c>
      <c r="AF199">
        <v>1.5</v>
      </c>
      <c r="AG199" s="17">
        <v>6.25E-2</v>
      </c>
      <c r="AH199" s="2">
        <v>45719</v>
      </c>
    </row>
    <row r="200" spans="1:34" hidden="1" x14ac:dyDescent="0.25">
      <c r="A200" s="12">
        <v>8477</v>
      </c>
      <c r="B200" s="12">
        <v>0</v>
      </c>
      <c r="C200" t="s">
        <v>210</v>
      </c>
      <c r="D200">
        <v>247813</v>
      </c>
      <c r="E200" s="8" t="s">
        <v>211</v>
      </c>
      <c r="F200" s="12">
        <v>29</v>
      </c>
      <c r="G200" s="8" t="s">
        <v>69</v>
      </c>
      <c r="H200" s="12">
        <v>252</v>
      </c>
      <c r="I200" t="s">
        <v>187</v>
      </c>
      <c r="J200" t="s">
        <v>62</v>
      </c>
      <c r="K200" t="s">
        <v>63</v>
      </c>
      <c r="L200">
        <v>2</v>
      </c>
      <c r="M200" t="s">
        <v>157</v>
      </c>
      <c r="N200" s="12">
        <v>2</v>
      </c>
      <c r="O200" s="8" t="s">
        <v>158</v>
      </c>
      <c r="P200">
        <v>1</v>
      </c>
      <c r="Q200" s="8">
        <v>1</v>
      </c>
      <c r="R200" s="12">
        <v>2</v>
      </c>
      <c r="S200" s="8">
        <v>2</v>
      </c>
      <c r="T200" s="12">
        <v>1</v>
      </c>
      <c r="U200" s="8" t="s">
        <v>194</v>
      </c>
      <c r="V200" s="2"/>
      <c r="W200" s="2"/>
      <c r="X200" s="2"/>
      <c r="Y200" s="2">
        <v>45747</v>
      </c>
      <c r="Z200" s="2"/>
      <c r="AE200" s="2"/>
      <c r="AG200" s="17"/>
      <c r="AH200" s="2"/>
    </row>
    <row r="201" spans="1:34" hidden="1" x14ac:dyDescent="0.25">
      <c r="A201" s="12">
        <v>8489</v>
      </c>
      <c r="B201" s="12">
        <v>0</v>
      </c>
      <c r="C201" t="s">
        <v>212</v>
      </c>
      <c r="D201">
        <v>247647</v>
      </c>
      <c r="E201" s="8" t="s">
        <v>213</v>
      </c>
      <c r="F201" s="12">
        <v>30</v>
      </c>
      <c r="G201" s="8" t="s">
        <v>41</v>
      </c>
      <c r="H201" s="12">
        <v>3233</v>
      </c>
      <c r="I201" t="s">
        <v>343</v>
      </c>
      <c r="J201" t="s">
        <v>62</v>
      </c>
      <c r="K201" t="s">
        <v>101</v>
      </c>
      <c r="L201">
        <v>3</v>
      </c>
      <c r="M201" t="s">
        <v>192</v>
      </c>
      <c r="N201" s="12">
        <v>2</v>
      </c>
      <c r="O201" s="8" t="s">
        <v>158</v>
      </c>
      <c r="P201">
        <v>2</v>
      </c>
      <c r="Q201" s="8">
        <v>2</v>
      </c>
      <c r="R201" s="12">
        <v>1</v>
      </c>
      <c r="S201" s="8">
        <v>1</v>
      </c>
      <c r="T201" s="12">
        <v>2</v>
      </c>
      <c r="U201" s="8" t="s">
        <v>199</v>
      </c>
      <c r="V201" s="2">
        <v>45714</v>
      </c>
      <c r="W201" s="2">
        <v>45714</v>
      </c>
      <c r="X201" s="2">
        <v>45723</v>
      </c>
      <c r="Y201" s="2">
        <v>45723</v>
      </c>
      <c r="Z201" s="2"/>
      <c r="AA201" t="s">
        <v>214</v>
      </c>
      <c r="AB201">
        <v>8489</v>
      </c>
      <c r="AC201">
        <v>75155</v>
      </c>
      <c r="AD201" t="s">
        <v>366</v>
      </c>
      <c r="AE201" s="2">
        <v>45719</v>
      </c>
      <c r="AF201">
        <v>2</v>
      </c>
      <c r="AG201" s="17">
        <v>8.3333333333333301E-2</v>
      </c>
      <c r="AH201" s="2">
        <v>45719</v>
      </c>
    </row>
    <row r="202" spans="1:34" hidden="1" x14ac:dyDescent="0.25">
      <c r="A202" s="12">
        <v>8489</v>
      </c>
      <c r="B202" s="12">
        <v>0</v>
      </c>
      <c r="C202" t="s">
        <v>212</v>
      </c>
      <c r="D202">
        <v>247647</v>
      </c>
      <c r="E202" s="8" t="s">
        <v>213</v>
      </c>
      <c r="F202" s="12">
        <v>30</v>
      </c>
      <c r="G202" s="8" t="s">
        <v>41</v>
      </c>
      <c r="H202" s="12">
        <v>3233</v>
      </c>
      <c r="I202" t="s">
        <v>343</v>
      </c>
      <c r="K202" t="s">
        <v>101</v>
      </c>
      <c r="L202">
        <v>3</v>
      </c>
      <c r="M202" t="s">
        <v>192</v>
      </c>
      <c r="N202" s="12">
        <v>2</v>
      </c>
      <c r="O202" s="8" t="s">
        <v>158</v>
      </c>
      <c r="P202">
        <v>2</v>
      </c>
      <c r="Q202" s="8">
        <v>2</v>
      </c>
      <c r="R202" s="12">
        <v>1</v>
      </c>
      <c r="S202" s="8">
        <v>1</v>
      </c>
      <c r="T202" s="12">
        <v>2</v>
      </c>
      <c r="U202" s="8" t="s">
        <v>199</v>
      </c>
      <c r="V202" s="2">
        <v>45714</v>
      </c>
      <c r="W202" s="2">
        <v>45714</v>
      </c>
      <c r="X202" s="2">
        <v>45723</v>
      </c>
      <c r="Y202" s="2">
        <v>45723</v>
      </c>
      <c r="Z202" s="2"/>
      <c r="AA202" t="s">
        <v>214</v>
      </c>
      <c r="AB202">
        <v>8489</v>
      </c>
      <c r="AC202">
        <v>74650</v>
      </c>
      <c r="AD202" t="s">
        <v>358</v>
      </c>
      <c r="AE202" s="2">
        <v>45716</v>
      </c>
      <c r="AF202">
        <v>2.5</v>
      </c>
      <c r="AG202" s="17">
        <v>0.10416666666666601</v>
      </c>
      <c r="AH202" s="2">
        <v>45716</v>
      </c>
    </row>
    <row r="203" spans="1:34" hidden="1" x14ac:dyDescent="0.25">
      <c r="A203" s="12">
        <v>8489</v>
      </c>
      <c r="B203" s="12">
        <v>0</v>
      </c>
      <c r="C203" t="s">
        <v>212</v>
      </c>
      <c r="D203">
        <v>247647</v>
      </c>
      <c r="E203" s="8" t="s">
        <v>213</v>
      </c>
      <c r="F203" s="12">
        <v>30</v>
      </c>
      <c r="G203" s="8" t="s">
        <v>41</v>
      </c>
      <c r="H203" s="12">
        <v>3233</v>
      </c>
      <c r="I203" t="s">
        <v>343</v>
      </c>
      <c r="K203" t="s">
        <v>101</v>
      </c>
      <c r="L203">
        <v>3</v>
      </c>
      <c r="M203" t="s">
        <v>192</v>
      </c>
      <c r="N203" s="12">
        <v>2</v>
      </c>
      <c r="O203" s="8" t="s">
        <v>158</v>
      </c>
      <c r="P203">
        <v>2</v>
      </c>
      <c r="Q203" s="8">
        <v>2</v>
      </c>
      <c r="R203" s="12">
        <v>1</v>
      </c>
      <c r="S203" s="8">
        <v>1</v>
      </c>
      <c r="T203" s="12">
        <v>2</v>
      </c>
      <c r="U203" s="8" t="s">
        <v>199</v>
      </c>
      <c r="V203" s="2">
        <v>45714</v>
      </c>
      <c r="W203" s="2">
        <v>45714</v>
      </c>
      <c r="X203" s="2">
        <v>45723</v>
      </c>
      <c r="Y203" s="2">
        <v>45723</v>
      </c>
      <c r="Z203" s="2"/>
      <c r="AA203" t="s">
        <v>214</v>
      </c>
      <c r="AB203">
        <v>8489</v>
      </c>
      <c r="AC203">
        <v>74035</v>
      </c>
      <c r="AD203" t="s">
        <v>589</v>
      </c>
      <c r="AE203" s="2">
        <v>45715</v>
      </c>
      <c r="AF203">
        <v>2</v>
      </c>
      <c r="AG203" s="17">
        <v>8.3333333333333301E-2</v>
      </c>
      <c r="AH203" s="2">
        <v>45715</v>
      </c>
    </row>
    <row r="204" spans="1:34" hidden="1" x14ac:dyDescent="0.25">
      <c r="A204" s="12">
        <v>8489</v>
      </c>
      <c r="B204" s="12">
        <v>0</v>
      </c>
      <c r="C204" t="s">
        <v>212</v>
      </c>
      <c r="D204">
        <v>247647</v>
      </c>
      <c r="E204" s="8" t="s">
        <v>213</v>
      </c>
      <c r="F204" s="12">
        <v>30</v>
      </c>
      <c r="G204" s="8" t="s">
        <v>41</v>
      </c>
      <c r="H204" s="12">
        <v>3233</v>
      </c>
      <c r="I204" t="s">
        <v>343</v>
      </c>
      <c r="K204" t="s">
        <v>101</v>
      </c>
      <c r="L204">
        <v>3</v>
      </c>
      <c r="M204" t="s">
        <v>192</v>
      </c>
      <c r="N204" s="12">
        <v>2</v>
      </c>
      <c r="O204" s="8" t="s">
        <v>158</v>
      </c>
      <c r="P204">
        <v>2</v>
      </c>
      <c r="Q204" s="8">
        <v>2</v>
      </c>
      <c r="R204" s="12">
        <v>1</v>
      </c>
      <c r="S204" s="8">
        <v>1</v>
      </c>
      <c r="T204" s="12">
        <v>2</v>
      </c>
      <c r="U204" s="8" t="s">
        <v>199</v>
      </c>
      <c r="V204" s="2">
        <v>45714</v>
      </c>
      <c r="W204" s="2">
        <v>45714</v>
      </c>
      <c r="X204" s="2">
        <v>45723</v>
      </c>
      <c r="Y204" s="2">
        <v>45723</v>
      </c>
      <c r="Z204" s="2"/>
      <c r="AA204" t="s">
        <v>214</v>
      </c>
      <c r="AB204">
        <v>8489</v>
      </c>
      <c r="AC204">
        <v>73648</v>
      </c>
      <c r="AD204" t="s">
        <v>358</v>
      </c>
      <c r="AE204" s="2">
        <v>45714</v>
      </c>
      <c r="AF204">
        <v>2</v>
      </c>
      <c r="AG204" s="17">
        <v>8.3333333333333301E-2</v>
      </c>
      <c r="AH204" s="2">
        <v>45714</v>
      </c>
    </row>
    <row r="205" spans="1:34" hidden="1" x14ac:dyDescent="0.25">
      <c r="A205" s="12">
        <v>8542</v>
      </c>
      <c r="B205" s="12">
        <v>0</v>
      </c>
      <c r="C205" t="s">
        <v>367</v>
      </c>
      <c r="D205">
        <v>247841</v>
      </c>
      <c r="E205" s="8" t="s">
        <v>197</v>
      </c>
      <c r="F205" s="12">
        <v>30</v>
      </c>
      <c r="G205" s="8" t="s">
        <v>41</v>
      </c>
      <c r="H205" s="12">
        <v>3198</v>
      </c>
      <c r="I205" t="s">
        <v>43</v>
      </c>
      <c r="J205" t="s">
        <v>62</v>
      </c>
      <c r="K205" t="s">
        <v>101</v>
      </c>
      <c r="L205">
        <v>2</v>
      </c>
      <c r="M205" t="s">
        <v>157</v>
      </c>
      <c r="N205" s="12">
        <v>3</v>
      </c>
      <c r="O205" s="8" t="s">
        <v>308</v>
      </c>
      <c r="P205">
        <v>1</v>
      </c>
      <c r="Q205" s="8">
        <v>1</v>
      </c>
      <c r="R205" s="12">
        <v>1</v>
      </c>
      <c r="S205" s="8">
        <v>1</v>
      </c>
      <c r="T205" s="12">
        <v>3</v>
      </c>
      <c r="U205" s="8" t="s">
        <v>333</v>
      </c>
      <c r="V205" s="2">
        <v>45719</v>
      </c>
      <c r="W205" s="2">
        <v>45720</v>
      </c>
      <c r="X205" s="2">
        <v>45744</v>
      </c>
      <c r="Y205" s="2">
        <v>45744</v>
      </c>
      <c r="Z205" s="2"/>
      <c r="AA205" t="s">
        <v>368</v>
      </c>
      <c r="AB205">
        <v>8542</v>
      </c>
      <c r="AC205">
        <v>76808</v>
      </c>
      <c r="AD205" t="s">
        <v>369</v>
      </c>
      <c r="AE205" s="2">
        <v>45723</v>
      </c>
      <c r="AF205">
        <v>3</v>
      </c>
      <c r="AG205" s="17">
        <v>0.125</v>
      </c>
      <c r="AH205" s="2">
        <v>45726</v>
      </c>
    </row>
    <row r="206" spans="1:34" hidden="1" x14ac:dyDescent="0.25">
      <c r="A206" s="12">
        <v>8542</v>
      </c>
      <c r="B206" s="12">
        <v>0</v>
      </c>
      <c r="C206" t="s">
        <v>367</v>
      </c>
      <c r="D206">
        <v>247841</v>
      </c>
      <c r="E206" s="8" t="s">
        <v>197</v>
      </c>
      <c r="F206" s="12">
        <v>30</v>
      </c>
      <c r="G206" s="8" t="s">
        <v>41</v>
      </c>
      <c r="H206" s="12">
        <v>3198</v>
      </c>
      <c r="I206" t="s">
        <v>43</v>
      </c>
      <c r="K206" t="s">
        <v>101</v>
      </c>
      <c r="L206">
        <v>2</v>
      </c>
      <c r="M206" t="s">
        <v>157</v>
      </c>
      <c r="N206" s="12">
        <v>3</v>
      </c>
      <c r="O206" s="8" t="s">
        <v>308</v>
      </c>
      <c r="P206">
        <v>1</v>
      </c>
      <c r="Q206" s="8">
        <v>1</v>
      </c>
      <c r="R206" s="12">
        <v>1</v>
      </c>
      <c r="S206" s="8">
        <v>1</v>
      </c>
      <c r="T206" s="12">
        <v>3</v>
      </c>
      <c r="U206" s="8" t="s">
        <v>333</v>
      </c>
      <c r="V206" s="2">
        <v>45719</v>
      </c>
      <c r="W206" s="2">
        <v>45720</v>
      </c>
      <c r="X206" s="2">
        <v>45744</v>
      </c>
      <c r="Y206" s="2">
        <v>45744</v>
      </c>
      <c r="Z206" s="2"/>
      <c r="AA206" t="s">
        <v>368</v>
      </c>
      <c r="AB206">
        <v>8542</v>
      </c>
      <c r="AC206">
        <v>76807</v>
      </c>
      <c r="AD206" t="s">
        <v>590</v>
      </c>
      <c r="AE206" s="2">
        <v>45723</v>
      </c>
      <c r="AF206">
        <v>2</v>
      </c>
      <c r="AG206" s="17">
        <v>8.3333333333333301E-2</v>
      </c>
      <c r="AH206" s="2">
        <v>45726</v>
      </c>
    </row>
    <row r="207" spans="1:34" hidden="1" x14ac:dyDescent="0.25">
      <c r="A207" s="12">
        <v>8542</v>
      </c>
      <c r="B207" s="12">
        <v>0</v>
      </c>
      <c r="C207" t="s">
        <v>367</v>
      </c>
      <c r="D207">
        <v>247841</v>
      </c>
      <c r="E207" s="8" t="s">
        <v>197</v>
      </c>
      <c r="F207" s="12">
        <v>30</v>
      </c>
      <c r="G207" s="8" t="s">
        <v>41</v>
      </c>
      <c r="H207" s="12">
        <v>3198</v>
      </c>
      <c r="I207" t="s">
        <v>43</v>
      </c>
      <c r="K207" t="s">
        <v>101</v>
      </c>
      <c r="L207">
        <v>2</v>
      </c>
      <c r="M207" t="s">
        <v>157</v>
      </c>
      <c r="N207" s="12">
        <v>3</v>
      </c>
      <c r="O207" s="8" t="s">
        <v>308</v>
      </c>
      <c r="P207">
        <v>1</v>
      </c>
      <c r="Q207" s="8">
        <v>1</v>
      </c>
      <c r="R207" s="12">
        <v>1</v>
      </c>
      <c r="S207" s="8">
        <v>1</v>
      </c>
      <c r="T207" s="12">
        <v>3</v>
      </c>
      <c r="U207" s="8" t="s">
        <v>333</v>
      </c>
      <c r="V207" s="2">
        <v>45719</v>
      </c>
      <c r="W207" s="2">
        <v>45720</v>
      </c>
      <c r="X207" s="2">
        <v>45744</v>
      </c>
      <c r="Y207" s="2">
        <v>45744</v>
      </c>
      <c r="Z207" s="2"/>
      <c r="AA207" t="s">
        <v>368</v>
      </c>
      <c r="AB207">
        <v>8542</v>
      </c>
      <c r="AC207">
        <v>76806</v>
      </c>
      <c r="AD207" t="s">
        <v>591</v>
      </c>
      <c r="AE207" s="2">
        <v>45723</v>
      </c>
      <c r="AF207">
        <v>3</v>
      </c>
      <c r="AG207" s="17">
        <v>0.125</v>
      </c>
      <c r="AH207" s="2">
        <v>45726</v>
      </c>
    </row>
    <row r="208" spans="1:34" hidden="1" x14ac:dyDescent="0.25">
      <c r="A208" s="12">
        <v>8496</v>
      </c>
      <c r="B208" s="12">
        <v>0</v>
      </c>
      <c r="C208" t="s">
        <v>215</v>
      </c>
      <c r="D208">
        <v>247828</v>
      </c>
      <c r="E208" s="8" t="s">
        <v>61</v>
      </c>
      <c r="F208" s="12">
        <v>21</v>
      </c>
      <c r="G208" s="8" t="s">
        <v>44</v>
      </c>
      <c r="H208" s="12">
        <v>3233</v>
      </c>
      <c r="I208" t="s">
        <v>343</v>
      </c>
      <c r="J208" t="s">
        <v>62</v>
      </c>
      <c r="K208" t="s">
        <v>101</v>
      </c>
      <c r="L208">
        <v>2</v>
      </c>
      <c r="M208" t="s">
        <v>157</v>
      </c>
      <c r="N208" s="12">
        <v>1</v>
      </c>
      <c r="O208" s="8" t="s">
        <v>193</v>
      </c>
      <c r="P208">
        <v>1</v>
      </c>
      <c r="Q208" s="8">
        <v>1</v>
      </c>
      <c r="R208" s="12">
        <v>1</v>
      </c>
      <c r="S208" s="8">
        <v>1</v>
      </c>
      <c r="T208" s="12">
        <v>1</v>
      </c>
      <c r="U208" s="8" t="s">
        <v>194</v>
      </c>
      <c r="V208" s="2">
        <v>45715</v>
      </c>
      <c r="W208" s="2">
        <v>45715</v>
      </c>
      <c r="X208" s="2">
        <v>45715</v>
      </c>
      <c r="Y208" s="2">
        <v>45715</v>
      </c>
      <c r="Z208" s="2"/>
      <c r="AA208" t="s">
        <v>216</v>
      </c>
      <c r="AB208">
        <v>8496</v>
      </c>
      <c r="AC208">
        <v>74305</v>
      </c>
      <c r="AD208" t="s">
        <v>370</v>
      </c>
      <c r="AE208" s="2">
        <v>45715</v>
      </c>
      <c r="AF208">
        <v>0.5</v>
      </c>
      <c r="AG208" s="17">
        <v>2.0833333333333301E-2</v>
      </c>
      <c r="AH208" s="2">
        <v>45716</v>
      </c>
    </row>
    <row r="209" spans="1:34" hidden="1" x14ac:dyDescent="0.25">
      <c r="A209" s="12">
        <v>8496</v>
      </c>
      <c r="B209" s="12">
        <v>0</v>
      </c>
      <c r="C209" t="s">
        <v>215</v>
      </c>
      <c r="D209">
        <v>247828</v>
      </c>
      <c r="E209" s="8" t="s">
        <v>61</v>
      </c>
      <c r="F209" s="12">
        <v>21</v>
      </c>
      <c r="G209" s="8" t="s">
        <v>44</v>
      </c>
      <c r="H209" s="12">
        <v>3233</v>
      </c>
      <c r="I209" t="s">
        <v>343</v>
      </c>
      <c r="K209" t="s">
        <v>101</v>
      </c>
      <c r="L209">
        <v>2</v>
      </c>
      <c r="M209" t="s">
        <v>157</v>
      </c>
      <c r="N209" s="12">
        <v>1</v>
      </c>
      <c r="O209" s="8" t="s">
        <v>193</v>
      </c>
      <c r="P209">
        <v>1</v>
      </c>
      <c r="Q209" s="8">
        <v>1</v>
      </c>
      <c r="R209" s="12">
        <v>1</v>
      </c>
      <c r="S209" s="8">
        <v>1</v>
      </c>
      <c r="T209" s="12">
        <v>1</v>
      </c>
      <c r="U209" s="8" t="s">
        <v>194</v>
      </c>
      <c r="V209" s="2">
        <v>45715</v>
      </c>
      <c r="W209" s="2">
        <v>45715</v>
      </c>
      <c r="X209" s="2">
        <v>45715</v>
      </c>
      <c r="Y209" s="2">
        <v>45715</v>
      </c>
      <c r="Z209" s="2"/>
      <c r="AA209" t="s">
        <v>216</v>
      </c>
      <c r="AB209">
        <v>8496</v>
      </c>
      <c r="AC209">
        <v>74293</v>
      </c>
      <c r="AD209" t="s">
        <v>370</v>
      </c>
      <c r="AE209" s="2">
        <v>45715</v>
      </c>
      <c r="AF209">
        <v>0.5</v>
      </c>
      <c r="AG209" s="17">
        <v>2.0833333333333301E-2</v>
      </c>
      <c r="AH209" s="2">
        <v>45716</v>
      </c>
    </row>
    <row r="210" spans="1:34" hidden="1" x14ac:dyDescent="0.25">
      <c r="A210" s="12">
        <v>8550</v>
      </c>
      <c r="B210" s="12">
        <v>0</v>
      </c>
      <c r="C210" t="s">
        <v>940</v>
      </c>
      <c r="D210">
        <v>289092</v>
      </c>
      <c r="E210" s="8" t="s">
        <v>145</v>
      </c>
      <c r="F210" s="12">
        <v>30</v>
      </c>
      <c r="G210" s="8" t="s">
        <v>41</v>
      </c>
      <c r="H210" s="12">
        <v>3200</v>
      </c>
      <c r="I210" t="s">
        <v>50</v>
      </c>
      <c r="J210" t="s">
        <v>62</v>
      </c>
      <c r="K210" t="s">
        <v>63</v>
      </c>
      <c r="L210">
        <v>2</v>
      </c>
      <c r="M210" t="s">
        <v>157</v>
      </c>
      <c r="N210" s="12">
        <v>3</v>
      </c>
      <c r="O210" s="8" t="s">
        <v>308</v>
      </c>
      <c r="P210">
        <v>3</v>
      </c>
      <c r="Q210" s="8">
        <v>3</v>
      </c>
      <c r="R210" s="12">
        <v>3</v>
      </c>
      <c r="S210" s="8">
        <v>3</v>
      </c>
      <c r="T210" s="12">
        <v>3</v>
      </c>
      <c r="U210" s="8" t="s">
        <v>333</v>
      </c>
      <c r="V210" s="2">
        <v>45723</v>
      </c>
      <c r="W210" s="2">
        <v>45723</v>
      </c>
      <c r="X210" s="2"/>
      <c r="Y210" s="2"/>
      <c r="Z210" s="2"/>
      <c r="AB210">
        <v>8550</v>
      </c>
      <c r="AC210">
        <v>77063</v>
      </c>
      <c r="AD210" t="s">
        <v>972</v>
      </c>
      <c r="AE210" s="2">
        <v>45727</v>
      </c>
      <c r="AF210">
        <v>1.3333333333333299</v>
      </c>
      <c r="AG210" s="17">
        <v>5.5555555555555497E-2</v>
      </c>
      <c r="AH210" s="2">
        <v>45727</v>
      </c>
    </row>
    <row r="211" spans="1:34" hidden="1" x14ac:dyDescent="0.25">
      <c r="A211" s="12">
        <v>8550</v>
      </c>
      <c r="B211" s="12">
        <v>0</v>
      </c>
      <c r="C211" t="s">
        <v>940</v>
      </c>
      <c r="D211">
        <v>289092</v>
      </c>
      <c r="E211" s="8" t="s">
        <v>145</v>
      </c>
      <c r="F211" s="12">
        <v>30</v>
      </c>
      <c r="G211" s="8" t="s">
        <v>41</v>
      </c>
      <c r="H211" s="12">
        <v>3200</v>
      </c>
      <c r="I211" t="s">
        <v>50</v>
      </c>
      <c r="K211" t="s">
        <v>63</v>
      </c>
      <c r="L211">
        <v>2</v>
      </c>
      <c r="M211" t="s">
        <v>157</v>
      </c>
      <c r="N211" s="12">
        <v>3</v>
      </c>
      <c r="O211" s="8" t="s">
        <v>308</v>
      </c>
      <c r="P211">
        <v>3</v>
      </c>
      <c r="Q211" s="8">
        <v>3</v>
      </c>
      <c r="R211" s="12">
        <v>3</v>
      </c>
      <c r="S211" s="8">
        <v>3</v>
      </c>
      <c r="T211" s="12">
        <v>3</v>
      </c>
      <c r="U211" s="8" t="s">
        <v>333</v>
      </c>
      <c r="V211" s="2">
        <v>45723</v>
      </c>
      <c r="W211" s="2">
        <v>45723</v>
      </c>
      <c r="X211" s="2"/>
      <c r="Y211" s="2"/>
      <c r="Z211" s="2"/>
      <c r="AB211">
        <v>8550</v>
      </c>
      <c r="AC211">
        <v>77033</v>
      </c>
      <c r="AD211" t="s">
        <v>941</v>
      </c>
      <c r="AE211" s="2">
        <v>45726</v>
      </c>
      <c r="AF211">
        <v>1</v>
      </c>
      <c r="AG211" s="17">
        <v>4.1666666666666602E-2</v>
      </c>
      <c r="AH211" s="2">
        <v>45727</v>
      </c>
    </row>
    <row r="212" spans="1:34" hidden="1" x14ac:dyDescent="0.25">
      <c r="A212" s="12">
        <v>8550</v>
      </c>
      <c r="B212" s="12">
        <v>0</v>
      </c>
      <c r="C212" t="s">
        <v>940</v>
      </c>
      <c r="D212">
        <v>289092</v>
      </c>
      <c r="E212" s="8" t="s">
        <v>145</v>
      </c>
      <c r="F212" s="12">
        <v>30</v>
      </c>
      <c r="G212" s="8" t="s">
        <v>41</v>
      </c>
      <c r="H212" s="12">
        <v>3200</v>
      </c>
      <c r="I212" t="s">
        <v>50</v>
      </c>
      <c r="K212" t="s">
        <v>63</v>
      </c>
      <c r="L212">
        <v>2</v>
      </c>
      <c r="M212" t="s">
        <v>157</v>
      </c>
      <c r="N212" s="12">
        <v>3</v>
      </c>
      <c r="O212" s="8" t="s">
        <v>308</v>
      </c>
      <c r="P212">
        <v>3</v>
      </c>
      <c r="Q212" s="8">
        <v>3</v>
      </c>
      <c r="R212" s="12">
        <v>3</v>
      </c>
      <c r="S212" s="8">
        <v>3</v>
      </c>
      <c r="T212" s="12">
        <v>3</v>
      </c>
      <c r="U212" s="8" t="s">
        <v>333</v>
      </c>
      <c r="V212" s="2">
        <v>45723</v>
      </c>
      <c r="W212" s="2">
        <v>45723</v>
      </c>
      <c r="X212" s="2"/>
      <c r="Y212" s="2"/>
      <c r="Z212" s="2"/>
      <c r="AB212">
        <v>8550</v>
      </c>
      <c r="AC212">
        <v>77035</v>
      </c>
      <c r="AD212" t="s">
        <v>942</v>
      </c>
      <c r="AE212" s="2">
        <v>45723</v>
      </c>
      <c r="AF212">
        <v>3</v>
      </c>
      <c r="AG212" s="17">
        <v>0.125</v>
      </c>
      <c r="AH212" s="2">
        <v>45727</v>
      </c>
    </row>
    <row r="213" spans="1:34" hidden="1" x14ac:dyDescent="0.25">
      <c r="A213" s="12">
        <v>8550</v>
      </c>
      <c r="B213" s="12">
        <v>0</v>
      </c>
      <c r="C213" t="s">
        <v>940</v>
      </c>
      <c r="D213">
        <v>289092</v>
      </c>
      <c r="E213" s="8" t="s">
        <v>145</v>
      </c>
      <c r="F213" s="12">
        <v>30</v>
      </c>
      <c r="G213" s="8" t="s">
        <v>41</v>
      </c>
      <c r="H213" s="12">
        <v>3200</v>
      </c>
      <c r="I213" t="s">
        <v>50</v>
      </c>
      <c r="K213" t="s">
        <v>63</v>
      </c>
      <c r="L213">
        <v>2</v>
      </c>
      <c r="M213" t="s">
        <v>157</v>
      </c>
      <c r="N213" s="12">
        <v>3</v>
      </c>
      <c r="O213" s="8" t="s">
        <v>308</v>
      </c>
      <c r="P213">
        <v>3</v>
      </c>
      <c r="Q213" s="8">
        <v>3</v>
      </c>
      <c r="R213" s="12">
        <v>3</v>
      </c>
      <c r="S213" s="8">
        <v>3</v>
      </c>
      <c r="T213" s="12">
        <v>3</v>
      </c>
      <c r="U213" s="8" t="s">
        <v>333</v>
      </c>
      <c r="V213" s="2">
        <v>45723</v>
      </c>
      <c r="W213" s="2">
        <v>45723</v>
      </c>
      <c r="X213" s="2"/>
      <c r="Y213" s="2"/>
      <c r="Z213" s="2"/>
      <c r="AB213">
        <v>8550</v>
      </c>
      <c r="AC213">
        <v>77031</v>
      </c>
      <c r="AD213" t="s">
        <v>943</v>
      </c>
      <c r="AE213" s="2">
        <v>45723</v>
      </c>
      <c r="AF213">
        <v>3.5</v>
      </c>
      <c r="AG213" s="17">
        <v>0.14583333333333301</v>
      </c>
      <c r="AH213" s="2">
        <v>45727</v>
      </c>
    </row>
    <row r="214" spans="1:34" hidden="1" x14ac:dyDescent="0.25">
      <c r="A214" s="12">
        <v>8550</v>
      </c>
      <c r="B214" s="12">
        <v>0</v>
      </c>
      <c r="C214" t="s">
        <v>940</v>
      </c>
      <c r="D214">
        <v>289092</v>
      </c>
      <c r="E214" s="8" t="s">
        <v>145</v>
      </c>
      <c r="F214" s="12">
        <v>30</v>
      </c>
      <c r="G214" s="8" t="s">
        <v>41</v>
      </c>
      <c r="H214" s="12">
        <v>3200</v>
      </c>
      <c r="I214" t="s">
        <v>50</v>
      </c>
      <c r="K214" t="s">
        <v>63</v>
      </c>
      <c r="L214">
        <v>2</v>
      </c>
      <c r="M214" t="s">
        <v>157</v>
      </c>
      <c r="N214" s="12">
        <v>3</v>
      </c>
      <c r="O214" s="8" t="s">
        <v>308</v>
      </c>
      <c r="P214">
        <v>3</v>
      </c>
      <c r="Q214" s="8">
        <v>3</v>
      </c>
      <c r="R214" s="12">
        <v>3</v>
      </c>
      <c r="S214" s="8">
        <v>3</v>
      </c>
      <c r="T214" s="12">
        <v>3</v>
      </c>
      <c r="U214" s="8" t="s">
        <v>333</v>
      </c>
      <c r="V214" s="2">
        <v>45723</v>
      </c>
      <c r="W214" s="2">
        <v>45723</v>
      </c>
      <c r="X214" s="2"/>
      <c r="Y214" s="2"/>
      <c r="Z214" s="2"/>
      <c r="AB214">
        <v>8550</v>
      </c>
      <c r="AC214">
        <v>77027</v>
      </c>
      <c r="AD214" t="s">
        <v>944</v>
      </c>
      <c r="AE214" s="2">
        <v>45723</v>
      </c>
      <c r="AF214">
        <v>2.5</v>
      </c>
      <c r="AG214" s="17">
        <v>0.10416666666666601</v>
      </c>
      <c r="AH214" s="2">
        <v>45727</v>
      </c>
    </row>
    <row r="215" spans="1:34" hidden="1" x14ac:dyDescent="0.25">
      <c r="A215" s="12">
        <v>8546</v>
      </c>
      <c r="B215" s="12">
        <v>0</v>
      </c>
      <c r="C215" t="s">
        <v>945</v>
      </c>
      <c r="D215">
        <v>247700</v>
      </c>
      <c r="E215" s="8" t="s">
        <v>946</v>
      </c>
      <c r="F215" s="12">
        <v>30</v>
      </c>
      <c r="G215" s="8" t="s">
        <v>41</v>
      </c>
      <c r="H215" s="12">
        <v>3200</v>
      </c>
      <c r="I215" t="s">
        <v>50</v>
      </c>
      <c r="J215" t="s">
        <v>62</v>
      </c>
      <c r="K215" t="s">
        <v>63</v>
      </c>
      <c r="L215">
        <v>2</v>
      </c>
      <c r="M215" t="s">
        <v>157</v>
      </c>
      <c r="N215" s="12">
        <v>2</v>
      </c>
      <c r="O215" s="8" t="s">
        <v>158</v>
      </c>
      <c r="P215">
        <v>2</v>
      </c>
      <c r="Q215" s="8">
        <v>2</v>
      </c>
      <c r="R215" s="12">
        <v>2</v>
      </c>
      <c r="S215" s="8">
        <v>2</v>
      </c>
      <c r="T215" s="12">
        <v>2</v>
      </c>
      <c r="U215" s="8" t="s">
        <v>199</v>
      </c>
      <c r="V215" s="2">
        <v>45726</v>
      </c>
      <c r="W215" s="2">
        <v>45726</v>
      </c>
      <c r="X215" s="2">
        <v>45726</v>
      </c>
      <c r="Y215" s="2"/>
      <c r="Z215" s="2">
        <v>45726</v>
      </c>
      <c r="AA215" t="s">
        <v>377</v>
      </c>
      <c r="AB215">
        <v>8546</v>
      </c>
      <c r="AC215">
        <v>76883</v>
      </c>
      <c r="AD215" t="s">
        <v>378</v>
      </c>
      <c r="AE215" s="2">
        <v>45726</v>
      </c>
      <c r="AF215">
        <v>1</v>
      </c>
      <c r="AG215" s="17">
        <v>4.1666666666666602E-2</v>
      </c>
      <c r="AH215" s="2">
        <v>45726</v>
      </c>
    </row>
    <row r="216" spans="1:34" hidden="1" x14ac:dyDescent="0.25">
      <c r="A216" s="12">
        <v>8546</v>
      </c>
      <c r="B216" s="12">
        <v>0</v>
      </c>
      <c r="C216" t="s">
        <v>945</v>
      </c>
      <c r="D216">
        <v>247700</v>
      </c>
      <c r="E216" s="8" t="s">
        <v>946</v>
      </c>
      <c r="F216" s="12">
        <v>30</v>
      </c>
      <c r="G216" s="8" t="s">
        <v>41</v>
      </c>
      <c r="H216" s="12">
        <v>3200</v>
      </c>
      <c r="I216" t="s">
        <v>50</v>
      </c>
      <c r="K216" t="s">
        <v>63</v>
      </c>
      <c r="L216">
        <v>2</v>
      </c>
      <c r="M216" t="s">
        <v>157</v>
      </c>
      <c r="N216" s="12">
        <v>2</v>
      </c>
      <c r="O216" s="8" t="s">
        <v>158</v>
      </c>
      <c r="P216">
        <v>2</v>
      </c>
      <c r="Q216" s="8">
        <v>2</v>
      </c>
      <c r="R216" s="12">
        <v>2</v>
      </c>
      <c r="S216" s="8">
        <v>2</v>
      </c>
      <c r="T216" s="12">
        <v>2</v>
      </c>
      <c r="U216" s="8" t="s">
        <v>199</v>
      </c>
      <c r="V216" s="2">
        <v>45726</v>
      </c>
      <c r="W216" s="2">
        <v>45726</v>
      </c>
      <c r="X216" s="2">
        <v>45726</v>
      </c>
      <c r="Y216" s="2"/>
      <c r="Z216" s="2">
        <v>45726</v>
      </c>
      <c r="AA216" t="s">
        <v>377</v>
      </c>
      <c r="AB216">
        <v>8546</v>
      </c>
      <c r="AC216">
        <v>76882</v>
      </c>
      <c r="AD216" t="s">
        <v>614</v>
      </c>
      <c r="AE216" s="2">
        <v>45726</v>
      </c>
      <c r="AF216">
        <v>2</v>
      </c>
      <c r="AG216" s="17">
        <v>8.3333333333333301E-2</v>
      </c>
      <c r="AH216" s="2">
        <v>45726</v>
      </c>
    </row>
    <row r="217" spans="1:34" x14ac:dyDescent="0.25">
      <c r="A217" s="12">
        <v>8551</v>
      </c>
      <c r="B217" s="12">
        <v>0</v>
      </c>
      <c r="C217" t="s">
        <v>945</v>
      </c>
      <c r="D217">
        <v>247700</v>
      </c>
      <c r="E217" s="8" t="s">
        <v>946</v>
      </c>
      <c r="F217" s="12">
        <v>30</v>
      </c>
      <c r="G217" s="8" t="s">
        <v>41</v>
      </c>
      <c r="H217" s="12">
        <v>339</v>
      </c>
      <c r="I217" t="s">
        <v>371</v>
      </c>
      <c r="J217" t="s">
        <v>62</v>
      </c>
      <c r="K217" t="s">
        <v>63</v>
      </c>
      <c r="L217">
        <v>2</v>
      </c>
      <c r="M217" t="s">
        <v>157</v>
      </c>
      <c r="N217" s="12">
        <v>2</v>
      </c>
      <c r="O217" s="8" t="s">
        <v>158</v>
      </c>
      <c r="P217">
        <v>2</v>
      </c>
      <c r="Q217" s="8">
        <v>2</v>
      </c>
      <c r="R217" s="12">
        <v>2</v>
      </c>
      <c r="S217" s="8">
        <v>2</v>
      </c>
      <c r="T217" s="12">
        <v>2</v>
      </c>
      <c r="U217" s="8" t="s">
        <v>199</v>
      </c>
      <c r="V217" s="2">
        <v>45726</v>
      </c>
      <c r="W217" s="2">
        <v>45726</v>
      </c>
      <c r="X217" s="2">
        <v>45726</v>
      </c>
      <c r="Y217" s="2"/>
      <c r="Z217" s="2"/>
      <c r="AB217">
        <v>8551</v>
      </c>
      <c r="AC217">
        <v>77038</v>
      </c>
      <c r="AD217" t="s">
        <v>378</v>
      </c>
      <c r="AE217" s="2">
        <v>45726</v>
      </c>
      <c r="AF217">
        <v>1</v>
      </c>
      <c r="AG217" s="17">
        <v>4.1666666666666602E-2</v>
      </c>
      <c r="AH217" s="2">
        <v>45727</v>
      </c>
    </row>
    <row r="218" spans="1:34" x14ac:dyDescent="0.25">
      <c r="A218" s="12">
        <v>8551</v>
      </c>
      <c r="B218" s="12">
        <v>0</v>
      </c>
      <c r="C218" t="s">
        <v>945</v>
      </c>
      <c r="D218">
        <v>247700</v>
      </c>
      <c r="E218" s="8" t="s">
        <v>946</v>
      </c>
      <c r="F218" s="12">
        <v>30</v>
      </c>
      <c r="G218" s="8" t="s">
        <v>41</v>
      </c>
      <c r="H218" s="12">
        <v>339</v>
      </c>
      <c r="I218" t="s">
        <v>371</v>
      </c>
      <c r="K218" t="s">
        <v>63</v>
      </c>
      <c r="L218">
        <v>2</v>
      </c>
      <c r="M218" t="s">
        <v>157</v>
      </c>
      <c r="N218" s="12">
        <v>2</v>
      </c>
      <c r="O218" s="8" t="s">
        <v>158</v>
      </c>
      <c r="P218">
        <v>2</v>
      </c>
      <c r="Q218" s="8">
        <v>2</v>
      </c>
      <c r="R218" s="12">
        <v>2</v>
      </c>
      <c r="S218" s="8">
        <v>2</v>
      </c>
      <c r="T218" s="12">
        <v>2</v>
      </c>
      <c r="U218" s="8" t="s">
        <v>199</v>
      </c>
      <c r="V218" s="2">
        <v>45726</v>
      </c>
      <c r="W218" s="2">
        <v>45726</v>
      </c>
      <c r="X218" s="2">
        <v>45726</v>
      </c>
      <c r="Y218" s="2"/>
      <c r="Z218" s="2"/>
      <c r="AB218">
        <v>8551</v>
      </c>
      <c r="AC218">
        <v>77037</v>
      </c>
      <c r="AD218" t="s">
        <v>947</v>
      </c>
      <c r="AE218" s="2">
        <v>45726</v>
      </c>
      <c r="AF218">
        <v>2</v>
      </c>
      <c r="AG218" s="17">
        <v>8.3333333333333301E-2</v>
      </c>
      <c r="AH218" s="2">
        <v>45727</v>
      </c>
    </row>
    <row r="219" spans="1:34" hidden="1" x14ac:dyDescent="0.25">
      <c r="A219" s="12">
        <v>8487</v>
      </c>
      <c r="B219" s="12">
        <v>0</v>
      </c>
      <c r="C219" t="s">
        <v>217</v>
      </c>
      <c r="D219">
        <v>247883</v>
      </c>
      <c r="E219" s="8" t="s">
        <v>209</v>
      </c>
      <c r="F219" s="12">
        <v>30</v>
      </c>
      <c r="G219" s="8" t="s">
        <v>41</v>
      </c>
      <c r="H219" s="12">
        <v>3233</v>
      </c>
      <c r="I219" t="s">
        <v>343</v>
      </c>
      <c r="J219" t="s">
        <v>62</v>
      </c>
      <c r="K219" t="s">
        <v>101</v>
      </c>
      <c r="L219">
        <v>3</v>
      </c>
      <c r="M219" t="s">
        <v>192</v>
      </c>
      <c r="N219" s="12">
        <v>2</v>
      </c>
      <c r="O219" s="8" t="s">
        <v>158</v>
      </c>
      <c r="P219">
        <v>1</v>
      </c>
      <c r="Q219" s="8">
        <v>1</v>
      </c>
      <c r="R219" s="12">
        <v>1</v>
      </c>
      <c r="S219" s="8">
        <v>1</v>
      </c>
      <c r="T219" s="12">
        <v>2</v>
      </c>
      <c r="U219" s="8" t="s">
        <v>199</v>
      </c>
      <c r="V219" s="2">
        <v>45707</v>
      </c>
      <c r="W219" s="2">
        <v>45707</v>
      </c>
      <c r="X219" s="2">
        <v>45721</v>
      </c>
      <c r="Y219" s="2">
        <v>45721</v>
      </c>
      <c r="Z219" s="2"/>
      <c r="AB219">
        <v>8487</v>
      </c>
      <c r="AC219">
        <v>76054</v>
      </c>
      <c r="AD219" t="s">
        <v>372</v>
      </c>
      <c r="AE219" s="2">
        <v>45722</v>
      </c>
      <c r="AF219">
        <v>1.5</v>
      </c>
      <c r="AG219" s="17">
        <v>6.25E-2</v>
      </c>
      <c r="AH219" s="2">
        <v>45723</v>
      </c>
    </row>
    <row r="220" spans="1:34" hidden="1" x14ac:dyDescent="0.25">
      <c r="A220" s="12">
        <v>8487</v>
      </c>
      <c r="B220" s="12">
        <v>0</v>
      </c>
      <c r="C220" t="s">
        <v>217</v>
      </c>
      <c r="D220">
        <v>247883</v>
      </c>
      <c r="E220" s="8" t="s">
        <v>209</v>
      </c>
      <c r="F220" s="12">
        <v>30</v>
      </c>
      <c r="G220" s="8" t="s">
        <v>41</v>
      </c>
      <c r="H220" s="12">
        <v>3233</v>
      </c>
      <c r="I220" t="s">
        <v>343</v>
      </c>
      <c r="K220" t="s">
        <v>101</v>
      </c>
      <c r="L220">
        <v>3</v>
      </c>
      <c r="M220" t="s">
        <v>192</v>
      </c>
      <c r="N220" s="12">
        <v>2</v>
      </c>
      <c r="O220" s="8" t="s">
        <v>158</v>
      </c>
      <c r="P220">
        <v>1</v>
      </c>
      <c r="Q220" s="8">
        <v>1</v>
      </c>
      <c r="R220" s="12">
        <v>1</v>
      </c>
      <c r="S220" s="8">
        <v>1</v>
      </c>
      <c r="T220" s="12">
        <v>2</v>
      </c>
      <c r="U220" s="8" t="s">
        <v>199</v>
      </c>
      <c r="V220" s="2">
        <v>45707</v>
      </c>
      <c r="W220" s="2">
        <v>45707</v>
      </c>
      <c r="X220" s="2">
        <v>45721</v>
      </c>
      <c r="Y220" s="2">
        <v>45721</v>
      </c>
      <c r="Z220" s="2"/>
      <c r="AB220">
        <v>8487</v>
      </c>
      <c r="AC220">
        <v>75506</v>
      </c>
      <c r="AD220" t="s">
        <v>358</v>
      </c>
      <c r="AE220" s="2">
        <v>45720</v>
      </c>
      <c r="AF220">
        <v>2.5</v>
      </c>
      <c r="AG220" s="17">
        <v>0.10416666666666601</v>
      </c>
      <c r="AH220" s="2">
        <v>45721</v>
      </c>
    </row>
    <row r="221" spans="1:34" hidden="1" x14ac:dyDescent="0.25">
      <c r="A221" s="12">
        <v>8487</v>
      </c>
      <c r="B221" s="12">
        <v>0</v>
      </c>
      <c r="C221" t="s">
        <v>217</v>
      </c>
      <c r="D221">
        <v>247883</v>
      </c>
      <c r="E221" s="8" t="s">
        <v>209</v>
      </c>
      <c r="F221" s="12">
        <v>30</v>
      </c>
      <c r="G221" s="8" t="s">
        <v>41</v>
      </c>
      <c r="H221" s="12">
        <v>3233</v>
      </c>
      <c r="I221" t="s">
        <v>343</v>
      </c>
      <c r="K221" t="s">
        <v>101</v>
      </c>
      <c r="L221">
        <v>3</v>
      </c>
      <c r="M221" t="s">
        <v>192</v>
      </c>
      <c r="N221" s="12">
        <v>2</v>
      </c>
      <c r="O221" s="8" t="s">
        <v>158</v>
      </c>
      <c r="P221">
        <v>1</v>
      </c>
      <c r="Q221" s="8">
        <v>1</v>
      </c>
      <c r="R221" s="12">
        <v>1</v>
      </c>
      <c r="S221" s="8">
        <v>1</v>
      </c>
      <c r="T221" s="12">
        <v>2</v>
      </c>
      <c r="U221" s="8" t="s">
        <v>199</v>
      </c>
      <c r="V221" s="2">
        <v>45707</v>
      </c>
      <c r="W221" s="2">
        <v>45707</v>
      </c>
      <c r="X221" s="2">
        <v>45721</v>
      </c>
      <c r="Y221" s="2">
        <v>45721</v>
      </c>
      <c r="Z221" s="2"/>
      <c r="AB221">
        <v>8487</v>
      </c>
      <c r="AC221">
        <v>74653</v>
      </c>
      <c r="AD221" t="s">
        <v>358</v>
      </c>
      <c r="AE221" s="2">
        <v>45716</v>
      </c>
      <c r="AF221">
        <v>1.5</v>
      </c>
      <c r="AG221" s="17">
        <v>6.25E-2</v>
      </c>
      <c r="AH221" s="2">
        <v>45716</v>
      </c>
    </row>
    <row r="222" spans="1:34" hidden="1" x14ac:dyDescent="0.25">
      <c r="A222" s="12">
        <v>8487</v>
      </c>
      <c r="B222" s="12">
        <v>0</v>
      </c>
      <c r="C222" t="s">
        <v>217</v>
      </c>
      <c r="D222">
        <v>247883</v>
      </c>
      <c r="E222" s="8" t="s">
        <v>209</v>
      </c>
      <c r="F222" s="12">
        <v>30</v>
      </c>
      <c r="G222" s="8" t="s">
        <v>41</v>
      </c>
      <c r="H222" s="12">
        <v>3233</v>
      </c>
      <c r="I222" t="s">
        <v>343</v>
      </c>
      <c r="K222" t="s">
        <v>101</v>
      </c>
      <c r="L222">
        <v>3</v>
      </c>
      <c r="M222" t="s">
        <v>192</v>
      </c>
      <c r="N222" s="12">
        <v>2</v>
      </c>
      <c r="O222" s="8" t="s">
        <v>158</v>
      </c>
      <c r="P222">
        <v>1</v>
      </c>
      <c r="Q222" s="8">
        <v>1</v>
      </c>
      <c r="R222" s="12">
        <v>1</v>
      </c>
      <c r="S222" s="8">
        <v>1</v>
      </c>
      <c r="T222" s="12">
        <v>2</v>
      </c>
      <c r="U222" s="8" t="s">
        <v>199</v>
      </c>
      <c r="V222" s="2">
        <v>45707</v>
      </c>
      <c r="W222" s="2">
        <v>45707</v>
      </c>
      <c r="X222" s="2">
        <v>45721</v>
      </c>
      <c r="Y222" s="2">
        <v>45721</v>
      </c>
      <c r="Z222" s="2"/>
      <c r="AB222">
        <v>8487</v>
      </c>
      <c r="AC222">
        <v>74038</v>
      </c>
      <c r="AD222" t="s">
        <v>358</v>
      </c>
      <c r="AE222" s="2">
        <v>45715</v>
      </c>
      <c r="AF222">
        <v>1.5</v>
      </c>
      <c r="AG222" s="17">
        <v>6.25E-2</v>
      </c>
      <c r="AH222" s="2">
        <v>45715</v>
      </c>
    </row>
    <row r="223" spans="1:34" hidden="1" x14ac:dyDescent="0.25">
      <c r="A223" s="12">
        <v>8487</v>
      </c>
      <c r="B223" s="12">
        <v>0</v>
      </c>
      <c r="C223" t="s">
        <v>217</v>
      </c>
      <c r="D223">
        <v>247883</v>
      </c>
      <c r="E223" s="8" t="s">
        <v>209</v>
      </c>
      <c r="F223" s="12">
        <v>30</v>
      </c>
      <c r="G223" s="8" t="s">
        <v>41</v>
      </c>
      <c r="H223" s="12">
        <v>3233</v>
      </c>
      <c r="I223" t="s">
        <v>343</v>
      </c>
      <c r="K223" t="s">
        <v>101</v>
      </c>
      <c r="L223">
        <v>3</v>
      </c>
      <c r="M223" t="s">
        <v>192</v>
      </c>
      <c r="N223" s="12">
        <v>2</v>
      </c>
      <c r="O223" s="8" t="s">
        <v>158</v>
      </c>
      <c r="P223">
        <v>1</v>
      </c>
      <c r="Q223" s="8">
        <v>1</v>
      </c>
      <c r="R223" s="12">
        <v>1</v>
      </c>
      <c r="S223" s="8">
        <v>1</v>
      </c>
      <c r="T223" s="12">
        <v>2</v>
      </c>
      <c r="U223" s="8" t="s">
        <v>199</v>
      </c>
      <c r="V223" s="2">
        <v>45707</v>
      </c>
      <c r="W223" s="2">
        <v>45707</v>
      </c>
      <c r="X223" s="2">
        <v>45721</v>
      </c>
      <c r="Y223" s="2">
        <v>45721</v>
      </c>
      <c r="Z223" s="2"/>
      <c r="AB223">
        <v>8487</v>
      </c>
      <c r="AC223">
        <v>73646</v>
      </c>
      <c r="AD223" t="s">
        <v>596</v>
      </c>
      <c r="AE223" s="2">
        <v>45714</v>
      </c>
      <c r="AF223">
        <v>1</v>
      </c>
      <c r="AG223" s="17">
        <v>4.1666666666666602E-2</v>
      </c>
      <c r="AH223" s="2">
        <v>45714</v>
      </c>
    </row>
    <row r="224" spans="1:34" hidden="1" x14ac:dyDescent="0.25">
      <c r="A224" s="12">
        <v>8487</v>
      </c>
      <c r="B224" s="12">
        <v>0</v>
      </c>
      <c r="C224" t="s">
        <v>217</v>
      </c>
      <c r="D224">
        <v>247883</v>
      </c>
      <c r="E224" s="8" t="s">
        <v>209</v>
      </c>
      <c r="F224" s="12">
        <v>30</v>
      </c>
      <c r="G224" s="8" t="s">
        <v>41</v>
      </c>
      <c r="H224" s="12">
        <v>3233</v>
      </c>
      <c r="I224" t="s">
        <v>343</v>
      </c>
      <c r="K224" t="s">
        <v>101</v>
      </c>
      <c r="L224">
        <v>3</v>
      </c>
      <c r="M224" t="s">
        <v>192</v>
      </c>
      <c r="N224" s="12">
        <v>2</v>
      </c>
      <c r="O224" s="8" t="s">
        <v>158</v>
      </c>
      <c r="P224">
        <v>1</v>
      </c>
      <c r="Q224" s="8">
        <v>1</v>
      </c>
      <c r="R224" s="12">
        <v>1</v>
      </c>
      <c r="S224" s="8">
        <v>1</v>
      </c>
      <c r="T224" s="12">
        <v>2</v>
      </c>
      <c r="U224" s="8" t="s">
        <v>199</v>
      </c>
      <c r="V224" s="2">
        <v>45707</v>
      </c>
      <c r="W224" s="2">
        <v>45707</v>
      </c>
      <c r="X224" s="2">
        <v>45721</v>
      </c>
      <c r="Y224" s="2">
        <v>45721</v>
      </c>
      <c r="Z224" s="2"/>
      <c r="AB224">
        <v>8487</v>
      </c>
      <c r="AC224">
        <v>73382</v>
      </c>
      <c r="AD224" t="s">
        <v>596</v>
      </c>
      <c r="AE224" s="2">
        <v>45713</v>
      </c>
      <c r="AF224">
        <v>1</v>
      </c>
      <c r="AG224" s="17">
        <v>4.1666666666666602E-2</v>
      </c>
      <c r="AH224" s="2">
        <v>45713</v>
      </c>
    </row>
    <row r="225" spans="1:34" hidden="1" x14ac:dyDescent="0.25">
      <c r="A225" s="12">
        <v>8487</v>
      </c>
      <c r="B225" s="12">
        <v>0</v>
      </c>
      <c r="C225" t="s">
        <v>217</v>
      </c>
      <c r="D225">
        <v>247883</v>
      </c>
      <c r="E225" s="8" t="s">
        <v>209</v>
      </c>
      <c r="F225" s="12">
        <v>30</v>
      </c>
      <c r="G225" s="8" t="s">
        <v>41</v>
      </c>
      <c r="H225" s="12">
        <v>3233</v>
      </c>
      <c r="I225" t="s">
        <v>343</v>
      </c>
      <c r="K225" t="s">
        <v>101</v>
      </c>
      <c r="L225">
        <v>3</v>
      </c>
      <c r="M225" t="s">
        <v>192</v>
      </c>
      <c r="N225" s="12">
        <v>2</v>
      </c>
      <c r="O225" s="8" t="s">
        <v>158</v>
      </c>
      <c r="P225">
        <v>1</v>
      </c>
      <c r="Q225" s="8">
        <v>1</v>
      </c>
      <c r="R225" s="12">
        <v>1</v>
      </c>
      <c r="S225" s="8">
        <v>1</v>
      </c>
      <c r="T225" s="12">
        <v>2</v>
      </c>
      <c r="U225" s="8" t="s">
        <v>199</v>
      </c>
      <c r="V225" s="2">
        <v>45707</v>
      </c>
      <c r="W225" s="2">
        <v>45707</v>
      </c>
      <c r="X225" s="2">
        <v>45721</v>
      </c>
      <c r="Y225" s="2">
        <v>45721</v>
      </c>
      <c r="Z225" s="2"/>
      <c r="AB225">
        <v>8487</v>
      </c>
      <c r="AC225">
        <v>73381</v>
      </c>
      <c r="AD225" t="s">
        <v>597</v>
      </c>
      <c r="AE225" s="2">
        <v>45707</v>
      </c>
      <c r="AF225">
        <v>1</v>
      </c>
      <c r="AG225" s="17">
        <v>4.1666666666666602E-2</v>
      </c>
      <c r="AH225" s="2">
        <v>45713</v>
      </c>
    </row>
    <row r="226" spans="1:34" hidden="1" x14ac:dyDescent="0.25">
      <c r="A226" s="12">
        <v>8448</v>
      </c>
      <c r="B226" s="12">
        <v>0</v>
      </c>
      <c r="C226" t="s">
        <v>218</v>
      </c>
      <c r="D226">
        <v>247647</v>
      </c>
      <c r="E226" s="8" t="s">
        <v>213</v>
      </c>
      <c r="F226" s="12">
        <v>21</v>
      </c>
      <c r="G226" s="8" t="s">
        <v>44</v>
      </c>
      <c r="H226" s="12">
        <v>3233</v>
      </c>
      <c r="I226" t="s">
        <v>343</v>
      </c>
      <c r="J226" t="s">
        <v>62</v>
      </c>
      <c r="K226" t="s">
        <v>101</v>
      </c>
      <c r="L226">
        <v>3</v>
      </c>
      <c r="M226" t="s">
        <v>192</v>
      </c>
      <c r="N226" s="12">
        <v>2</v>
      </c>
      <c r="O226" s="8" t="s">
        <v>158</v>
      </c>
      <c r="P226">
        <v>1</v>
      </c>
      <c r="Q226" s="8">
        <v>1</v>
      </c>
      <c r="R226" s="12">
        <v>1</v>
      </c>
      <c r="S226" s="8">
        <v>1</v>
      </c>
      <c r="T226" s="12">
        <v>2</v>
      </c>
      <c r="U226" s="8" t="s">
        <v>199</v>
      </c>
      <c r="V226" s="2">
        <v>45698</v>
      </c>
      <c r="W226" s="2">
        <v>45699</v>
      </c>
      <c r="X226" s="2">
        <v>45706</v>
      </c>
      <c r="Y226" s="2"/>
      <c r="Z226" s="2"/>
      <c r="AA226" t="s">
        <v>219</v>
      </c>
      <c r="AB226">
        <v>8448</v>
      </c>
      <c r="AC226">
        <v>73463</v>
      </c>
      <c r="AD226" t="s">
        <v>373</v>
      </c>
      <c r="AE226" s="2">
        <v>45713</v>
      </c>
      <c r="AF226">
        <v>1.5</v>
      </c>
      <c r="AG226" s="17">
        <v>6.25E-2</v>
      </c>
      <c r="AH226" s="2">
        <v>45713</v>
      </c>
    </row>
    <row r="227" spans="1:34" hidden="1" x14ac:dyDescent="0.25">
      <c r="A227" s="12">
        <v>8448</v>
      </c>
      <c r="B227" s="12">
        <v>0</v>
      </c>
      <c r="C227" t="s">
        <v>218</v>
      </c>
      <c r="D227">
        <v>247647</v>
      </c>
      <c r="E227" s="8" t="s">
        <v>213</v>
      </c>
      <c r="F227" s="12">
        <v>21</v>
      </c>
      <c r="G227" s="8" t="s">
        <v>44</v>
      </c>
      <c r="H227" s="12">
        <v>3233</v>
      </c>
      <c r="I227" t="s">
        <v>343</v>
      </c>
      <c r="K227" t="s">
        <v>101</v>
      </c>
      <c r="L227">
        <v>3</v>
      </c>
      <c r="M227" t="s">
        <v>192</v>
      </c>
      <c r="N227" s="12">
        <v>2</v>
      </c>
      <c r="O227" s="8" t="s">
        <v>158</v>
      </c>
      <c r="P227">
        <v>1</v>
      </c>
      <c r="Q227" s="8">
        <v>1</v>
      </c>
      <c r="R227" s="12">
        <v>1</v>
      </c>
      <c r="S227" s="8">
        <v>1</v>
      </c>
      <c r="T227" s="12">
        <v>2</v>
      </c>
      <c r="U227" s="8" t="s">
        <v>199</v>
      </c>
      <c r="V227" s="2">
        <v>45698</v>
      </c>
      <c r="W227" s="2">
        <v>45699</v>
      </c>
      <c r="X227" s="2">
        <v>45706</v>
      </c>
      <c r="Y227" s="2"/>
      <c r="Z227" s="2"/>
      <c r="AA227" t="s">
        <v>219</v>
      </c>
      <c r="AB227">
        <v>8448</v>
      </c>
      <c r="AC227">
        <v>72098</v>
      </c>
      <c r="AD227" t="s">
        <v>598</v>
      </c>
      <c r="AE227" s="2">
        <v>45706</v>
      </c>
      <c r="AF227">
        <v>2</v>
      </c>
      <c r="AG227" s="17">
        <v>8.3333333333333301E-2</v>
      </c>
      <c r="AH227" s="2">
        <v>45708</v>
      </c>
    </row>
    <row r="228" spans="1:34" hidden="1" x14ac:dyDescent="0.25">
      <c r="A228" s="12">
        <v>8448</v>
      </c>
      <c r="B228" s="12">
        <v>0</v>
      </c>
      <c r="C228" t="s">
        <v>218</v>
      </c>
      <c r="D228">
        <v>247647</v>
      </c>
      <c r="E228" s="8" t="s">
        <v>213</v>
      </c>
      <c r="F228" s="12">
        <v>21</v>
      </c>
      <c r="G228" s="8" t="s">
        <v>44</v>
      </c>
      <c r="H228" s="12">
        <v>3233</v>
      </c>
      <c r="I228" t="s">
        <v>343</v>
      </c>
      <c r="K228" t="s">
        <v>101</v>
      </c>
      <c r="L228">
        <v>3</v>
      </c>
      <c r="M228" t="s">
        <v>192</v>
      </c>
      <c r="N228" s="12">
        <v>2</v>
      </c>
      <c r="O228" s="8" t="s">
        <v>158</v>
      </c>
      <c r="P228">
        <v>1</v>
      </c>
      <c r="Q228" s="8">
        <v>1</v>
      </c>
      <c r="R228" s="12">
        <v>1</v>
      </c>
      <c r="S228" s="8">
        <v>1</v>
      </c>
      <c r="T228" s="12">
        <v>2</v>
      </c>
      <c r="U228" s="8" t="s">
        <v>199</v>
      </c>
      <c r="V228" s="2">
        <v>45698</v>
      </c>
      <c r="W228" s="2">
        <v>45699</v>
      </c>
      <c r="X228" s="2">
        <v>45706</v>
      </c>
      <c r="Y228" s="2"/>
      <c r="Z228" s="2"/>
      <c r="AA228" t="s">
        <v>219</v>
      </c>
      <c r="AB228">
        <v>8448</v>
      </c>
      <c r="AC228">
        <v>72097</v>
      </c>
      <c r="AD228" t="s">
        <v>599</v>
      </c>
      <c r="AE228" s="2">
        <v>45705</v>
      </c>
      <c r="AF228">
        <v>3</v>
      </c>
      <c r="AG228" s="17">
        <v>0.125</v>
      </c>
      <c r="AH228" s="2">
        <v>45708</v>
      </c>
    </row>
    <row r="229" spans="1:34" hidden="1" x14ac:dyDescent="0.25">
      <c r="A229" s="12">
        <v>8448</v>
      </c>
      <c r="B229" s="12">
        <v>0</v>
      </c>
      <c r="C229" t="s">
        <v>218</v>
      </c>
      <c r="D229">
        <v>247647</v>
      </c>
      <c r="E229" s="8" t="s">
        <v>213</v>
      </c>
      <c r="F229" s="12">
        <v>21</v>
      </c>
      <c r="G229" s="8" t="s">
        <v>44</v>
      </c>
      <c r="H229" s="12">
        <v>3233</v>
      </c>
      <c r="I229" t="s">
        <v>343</v>
      </c>
      <c r="K229" t="s">
        <v>101</v>
      </c>
      <c r="L229">
        <v>3</v>
      </c>
      <c r="M229" t="s">
        <v>192</v>
      </c>
      <c r="N229" s="12">
        <v>2</v>
      </c>
      <c r="O229" s="8" t="s">
        <v>158</v>
      </c>
      <c r="P229">
        <v>1</v>
      </c>
      <c r="Q229" s="8">
        <v>1</v>
      </c>
      <c r="R229" s="12">
        <v>1</v>
      </c>
      <c r="S229" s="8">
        <v>1</v>
      </c>
      <c r="T229" s="12">
        <v>2</v>
      </c>
      <c r="U229" s="8" t="s">
        <v>199</v>
      </c>
      <c r="V229" s="2">
        <v>45698</v>
      </c>
      <c r="W229" s="2">
        <v>45699</v>
      </c>
      <c r="X229" s="2">
        <v>45706</v>
      </c>
      <c r="Y229" s="2"/>
      <c r="Z229" s="2"/>
      <c r="AA229" t="s">
        <v>219</v>
      </c>
      <c r="AB229">
        <v>8448</v>
      </c>
      <c r="AC229">
        <v>71398</v>
      </c>
      <c r="AD229" t="s">
        <v>600</v>
      </c>
      <c r="AE229" s="2">
        <v>45705</v>
      </c>
      <c r="AF229">
        <v>3</v>
      </c>
      <c r="AG229" s="17">
        <v>0.125</v>
      </c>
      <c r="AH229" s="2">
        <v>45705</v>
      </c>
    </row>
    <row r="230" spans="1:34" hidden="1" x14ac:dyDescent="0.25">
      <c r="A230" s="12">
        <v>8448</v>
      </c>
      <c r="B230" s="12">
        <v>0</v>
      </c>
      <c r="C230" t="s">
        <v>218</v>
      </c>
      <c r="D230">
        <v>247647</v>
      </c>
      <c r="E230" s="8" t="s">
        <v>213</v>
      </c>
      <c r="F230" s="12">
        <v>21</v>
      </c>
      <c r="G230" s="8" t="s">
        <v>44</v>
      </c>
      <c r="H230" s="12">
        <v>3233</v>
      </c>
      <c r="I230" t="s">
        <v>343</v>
      </c>
      <c r="K230" t="s">
        <v>101</v>
      </c>
      <c r="L230">
        <v>3</v>
      </c>
      <c r="M230" t="s">
        <v>192</v>
      </c>
      <c r="N230" s="12">
        <v>2</v>
      </c>
      <c r="O230" s="8" t="s">
        <v>158</v>
      </c>
      <c r="P230">
        <v>1</v>
      </c>
      <c r="Q230" s="8">
        <v>1</v>
      </c>
      <c r="R230" s="12">
        <v>1</v>
      </c>
      <c r="S230" s="8">
        <v>1</v>
      </c>
      <c r="T230" s="12">
        <v>2</v>
      </c>
      <c r="U230" s="8" t="s">
        <v>199</v>
      </c>
      <c r="V230" s="2">
        <v>45698</v>
      </c>
      <c r="W230" s="2">
        <v>45699</v>
      </c>
      <c r="X230" s="2">
        <v>45706</v>
      </c>
      <c r="Y230" s="2"/>
      <c r="Z230" s="2"/>
      <c r="AA230" t="s">
        <v>219</v>
      </c>
      <c r="AB230">
        <v>8448</v>
      </c>
      <c r="AC230">
        <v>72096</v>
      </c>
      <c r="AD230" t="s">
        <v>601</v>
      </c>
      <c r="AE230" s="2">
        <v>45702</v>
      </c>
      <c r="AF230">
        <v>2</v>
      </c>
      <c r="AG230" s="17">
        <v>8.3333333333333301E-2</v>
      </c>
      <c r="AH230" s="2">
        <v>45708</v>
      </c>
    </row>
    <row r="231" spans="1:34" hidden="1" x14ac:dyDescent="0.25">
      <c r="A231" s="12">
        <v>8448</v>
      </c>
      <c r="B231" s="12">
        <v>0</v>
      </c>
      <c r="C231" t="s">
        <v>218</v>
      </c>
      <c r="D231">
        <v>247647</v>
      </c>
      <c r="E231" s="8" t="s">
        <v>213</v>
      </c>
      <c r="F231" s="12">
        <v>21</v>
      </c>
      <c r="G231" s="8" t="s">
        <v>44</v>
      </c>
      <c r="H231" s="12">
        <v>3233</v>
      </c>
      <c r="I231" t="s">
        <v>343</v>
      </c>
      <c r="K231" t="s">
        <v>101</v>
      </c>
      <c r="L231">
        <v>3</v>
      </c>
      <c r="M231" t="s">
        <v>192</v>
      </c>
      <c r="N231" s="12">
        <v>2</v>
      </c>
      <c r="O231" s="8" t="s">
        <v>158</v>
      </c>
      <c r="P231">
        <v>1</v>
      </c>
      <c r="Q231" s="8">
        <v>1</v>
      </c>
      <c r="R231" s="12">
        <v>1</v>
      </c>
      <c r="S231" s="8">
        <v>1</v>
      </c>
      <c r="T231" s="12">
        <v>2</v>
      </c>
      <c r="U231" s="8" t="s">
        <v>199</v>
      </c>
      <c r="V231" s="2">
        <v>45698</v>
      </c>
      <c r="W231" s="2">
        <v>45699</v>
      </c>
      <c r="X231" s="2">
        <v>45706</v>
      </c>
      <c r="Y231" s="2"/>
      <c r="Z231" s="2"/>
      <c r="AA231" t="s">
        <v>219</v>
      </c>
      <c r="AB231">
        <v>8448</v>
      </c>
      <c r="AC231">
        <v>71397</v>
      </c>
      <c r="AD231" t="s">
        <v>602</v>
      </c>
      <c r="AE231" s="2">
        <v>45702</v>
      </c>
      <c r="AF231">
        <v>2</v>
      </c>
      <c r="AG231" s="17">
        <v>8.3333333333333301E-2</v>
      </c>
      <c r="AH231" s="2">
        <v>45705</v>
      </c>
    </row>
    <row r="232" spans="1:34" hidden="1" x14ac:dyDescent="0.25">
      <c r="A232" s="12">
        <v>8448</v>
      </c>
      <c r="B232" s="12">
        <v>0</v>
      </c>
      <c r="C232" t="s">
        <v>218</v>
      </c>
      <c r="D232">
        <v>247647</v>
      </c>
      <c r="E232" s="8" t="s">
        <v>213</v>
      </c>
      <c r="F232" s="12">
        <v>21</v>
      </c>
      <c r="G232" s="8" t="s">
        <v>44</v>
      </c>
      <c r="H232" s="12">
        <v>3233</v>
      </c>
      <c r="I232" t="s">
        <v>343</v>
      </c>
      <c r="K232" t="s">
        <v>101</v>
      </c>
      <c r="L232">
        <v>3</v>
      </c>
      <c r="M232" t="s">
        <v>192</v>
      </c>
      <c r="N232" s="12">
        <v>2</v>
      </c>
      <c r="O232" s="8" t="s">
        <v>158</v>
      </c>
      <c r="P232">
        <v>1</v>
      </c>
      <c r="Q232" s="8">
        <v>1</v>
      </c>
      <c r="R232" s="12">
        <v>1</v>
      </c>
      <c r="S232" s="8">
        <v>1</v>
      </c>
      <c r="T232" s="12">
        <v>2</v>
      </c>
      <c r="U232" s="8" t="s">
        <v>199</v>
      </c>
      <c r="V232" s="2">
        <v>45698</v>
      </c>
      <c r="W232" s="2">
        <v>45699</v>
      </c>
      <c r="X232" s="2">
        <v>45706</v>
      </c>
      <c r="Y232" s="2"/>
      <c r="Z232" s="2"/>
      <c r="AA232" t="s">
        <v>219</v>
      </c>
      <c r="AB232">
        <v>8448</v>
      </c>
      <c r="AC232">
        <v>72095</v>
      </c>
      <c r="AD232" t="s">
        <v>601</v>
      </c>
      <c r="AE232" s="2">
        <v>45701</v>
      </c>
      <c r="AF232">
        <v>3</v>
      </c>
      <c r="AG232" s="17">
        <v>0.125</v>
      </c>
      <c r="AH232" s="2">
        <v>45708</v>
      </c>
    </row>
    <row r="233" spans="1:34" hidden="1" x14ac:dyDescent="0.25">
      <c r="A233" s="12">
        <v>8448</v>
      </c>
      <c r="B233" s="12">
        <v>0</v>
      </c>
      <c r="C233" t="s">
        <v>218</v>
      </c>
      <c r="D233">
        <v>247647</v>
      </c>
      <c r="E233" s="8" t="s">
        <v>213</v>
      </c>
      <c r="F233" s="12">
        <v>21</v>
      </c>
      <c r="G233" s="8" t="s">
        <v>44</v>
      </c>
      <c r="H233" s="12">
        <v>3233</v>
      </c>
      <c r="I233" t="s">
        <v>343</v>
      </c>
      <c r="K233" t="s">
        <v>101</v>
      </c>
      <c r="L233">
        <v>3</v>
      </c>
      <c r="M233" t="s">
        <v>192</v>
      </c>
      <c r="N233" s="12">
        <v>2</v>
      </c>
      <c r="O233" s="8" t="s">
        <v>158</v>
      </c>
      <c r="P233">
        <v>1</v>
      </c>
      <c r="Q233" s="8">
        <v>1</v>
      </c>
      <c r="R233" s="12">
        <v>1</v>
      </c>
      <c r="S233" s="8">
        <v>1</v>
      </c>
      <c r="T233" s="12">
        <v>2</v>
      </c>
      <c r="U233" s="8" t="s">
        <v>199</v>
      </c>
      <c r="V233" s="2">
        <v>45698</v>
      </c>
      <c r="W233" s="2">
        <v>45699</v>
      </c>
      <c r="X233" s="2">
        <v>45706</v>
      </c>
      <c r="Y233" s="2"/>
      <c r="Z233" s="2"/>
      <c r="AA233" t="s">
        <v>219</v>
      </c>
      <c r="AB233">
        <v>8448</v>
      </c>
      <c r="AC233">
        <v>71396</v>
      </c>
      <c r="AD233" t="s">
        <v>603</v>
      </c>
      <c r="AE233" s="2">
        <v>45701</v>
      </c>
      <c r="AF233">
        <v>3</v>
      </c>
      <c r="AG233" s="17">
        <v>0.125</v>
      </c>
      <c r="AH233" s="2">
        <v>45705</v>
      </c>
    </row>
    <row r="234" spans="1:34" hidden="1" x14ac:dyDescent="0.25">
      <c r="A234" s="12">
        <v>8448</v>
      </c>
      <c r="B234" s="12">
        <v>0</v>
      </c>
      <c r="C234" t="s">
        <v>218</v>
      </c>
      <c r="D234">
        <v>247647</v>
      </c>
      <c r="E234" s="8" t="s">
        <v>213</v>
      </c>
      <c r="F234" s="12">
        <v>21</v>
      </c>
      <c r="G234" s="8" t="s">
        <v>44</v>
      </c>
      <c r="H234" s="12">
        <v>3233</v>
      </c>
      <c r="I234" t="s">
        <v>343</v>
      </c>
      <c r="K234" t="s">
        <v>101</v>
      </c>
      <c r="L234">
        <v>3</v>
      </c>
      <c r="M234" t="s">
        <v>192</v>
      </c>
      <c r="N234" s="12">
        <v>2</v>
      </c>
      <c r="O234" s="8" t="s">
        <v>158</v>
      </c>
      <c r="P234">
        <v>1</v>
      </c>
      <c r="Q234" s="8">
        <v>1</v>
      </c>
      <c r="R234" s="12">
        <v>1</v>
      </c>
      <c r="S234" s="8">
        <v>1</v>
      </c>
      <c r="T234" s="12">
        <v>2</v>
      </c>
      <c r="U234" s="8" t="s">
        <v>199</v>
      </c>
      <c r="V234" s="2">
        <v>45698</v>
      </c>
      <c r="W234" s="2">
        <v>45699</v>
      </c>
      <c r="X234" s="2">
        <v>45706</v>
      </c>
      <c r="Y234" s="2"/>
      <c r="Z234" s="2"/>
      <c r="AA234" t="s">
        <v>219</v>
      </c>
      <c r="AB234">
        <v>8448</v>
      </c>
      <c r="AC234">
        <v>72094</v>
      </c>
      <c r="AD234" t="s">
        <v>601</v>
      </c>
      <c r="AE234" s="2">
        <v>45700</v>
      </c>
      <c r="AF234">
        <v>3</v>
      </c>
      <c r="AG234" s="17">
        <v>0.125</v>
      </c>
      <c r="AH234" s="2">
        <v>45708</v>
      </c>
    </row>
    <row r="235" spans="1:34" hidden="1" x14ac:dyDescent="0.25">
      <c r="A235" s="12">
        <v>8448</v>
      </c>
      <c r="B235" s="12">
        <v>0</v>
      </c>
      <c r="C235" t="s">
        <v>218</v>
      </c>
      <c r="D235">
        <v>247647</v>
      </c>
      <c r="E235" s="8" t="s">
        <v>213</v>
      </c>
      <c r="F235" s="12">
        <v>21</v>
      </c>
      <c r="G235" s="8" t="s">
        <v>44</v>
      </c>
      <c r="H235" s="12">
        <v>3233</v>
      </c>
      <c r="I235" t="s">
        <v>343</v>
      </c>
      <c r="K235" t="s">
        <v>101</v>
      </c>
      <c r="L235">
        <v>3</v>
      </c>
      <c r="M235" t="s">
        <v>192</v>
      </c>
      <c r="N235" s="12">
        <v>2</v>
      </c>
      <c r="O235" s="8" t="s">
        <v>158</v>
      </c>
      <c r="P235">
        <v>1</v>
      </c>
      <c r="Q235" s="8">
        <v>1</v>
      </c>
      <c r="R235" s="12">
        <v>1</v>
      </c>
      <c r="S235" s="8">
        <v>1</v>
      </c>
      <c r="T235" s="12">
        <v>2</v>
      </c>
      <c r="U235" s="8" t="s">
        <v>199</v>
      </c>
      <c r="V235" s="2">
        <v>45698</v>
      </c>
      <c r="W235" s="2">
        <v>45699</v>
      </c>
      <c r="X235" s="2">
        <v>45706</v>
      </c>
      <c r="Y235" s="2"/>
      <c r="Z235" s="2"/>
      <c r="AA235" t="s">
        <v>219</v>
      </c>
      <c r="AB235">
        <v>8448</v>
      </c>
      <c r="AC235">
        <v>71395</v>
      </c>
      <c r="AD235" t="s">
        <v>604</v>
      </c>
      <c r="AE235" s="2">
        <v>45700</v>
      </c>
      <c r="AF235">
        <v>3</v>
      </c>
      <c r="AG235" s="17">
        <v>0.125</v>
      </c>
      <c r="AH235" s="2">
        <v>45705</v>
      </c>
    </row>
    <row r="236" spans="1:34" hidden="1" x14ac:dyDescent="0.25">
      <c r="A236" s="12">
        <v>8448</v>
      </c>
      <c r="B236" s="12">
        <v>0</v>
      </c>
      <c r="C236" t="s">
        <v>218</v>
      </c>
      <c r="D236">
        <v>247647</v>
      </c>
      <c r="E236" s="8" t="s">
        <v>213</v>
      </c>
      <c r="F236" s="12">
        <v>21</v>
      </c>
      <c r="G236" s="8" t="s">
        <v>44</v>
      </c>
      <c r="H236" s="12">
        <v>3233</v>
      </c>
      <c r="I236" t="s">
        <v>343</v>
      </c>
      <c r="K236" t="s">
        <v>101</v>
      </c>
      <c r="L236">
        <v>3</v>
      </c>
      <c r="M236" t="s">
        <v>192</v>
      </c>
      <c r="N236" s="12">
        <v>2</v>
      </c>
      <c r="O236" s="8" t="s">
        <v>158</v>
      </c>
      <c r="P236">
        <v>1</v>
      </c>
      <c r="Q236" s="8">
        <v>1</v>
      </c>
      <c r="R236" s="12">
        <v>1</v>
      </c>
      <c r="S236" s="8">
        <v>1</v>
      </c>
      <c r="T236" s="12">
        <v>2</v>
      </c>
      <c r="U236" s="8" t="s">
        <v>199</v>
      </c>
      <c r="V236" s="2">
        <v>45698</v>
      </c>
      <c r="W236" s="2">
        <v>45699</v>
      </c>
      <c r="X236" s="2">
        <v>45706</v>
      </c>
      <c r="Y236" s="2"/>
      <c r="Z236" s="2"/>
      <c r="AA236" t="s">
        <v>219</v>
      </c>
      <c r="AB236">
        <v>8448</v>
      </c>
      <c r="AC236">
        <v>72093</v>
      </c>
      <c r="AD236" t="s">
        <v>601</v>
      </c>
      <c r="AE236" s="2">
        <v>45699</v>
      </c>
      <c r="AF236">
        <v>4</v>
      </c>
      <c r="AG236" s="17">
        <v>0.16666666666666599</v>
      </c>
      <c r="AH236" s="2">
        <v>45708</v>
      </c>
    </row>
    <row r="237" spans="1:34" hidden="1" x14ac:dyDescent="0.25">
      <c r="A237" s="12">
        <v>8448</v>
      </c>
      <c r="B237" s="12">
        <v>0</v>
      </c>
      <c r="C237" t="s">
        <v>218</v>
      </c>
      <c r="D237">
        <v>247647</v>
      </c>
      <c r="E237" s="8" t="s">
        <v>213</v>
      </c>
      <c r="F237" s="12">
        <v>21</v>
      </c>
      <c r="G237" s="8" t="s">
        <v>44</v>
      </c>
      <c r="H237" s="12">
        <v>3233</v>
      </c>
      <c r="I237" t="s">
        <v>343</v>
      </c>
      <c r="K237" t="s">
        <v>101</v>
      </c>
      <c r="L237">
        <v>3</v>
      </c>
      <c r="M237" t="s">
        <v>192</v>
      </c>
      <c r="N237" s="12">
        <v>2</v>
      </c>
      <c r="O237" s="8" t="s">
        <v>158</v>
      </c>
      <c r="P237">
        <v>1</v>
      </c>
      <c r="Q237" s="8">
        <v>1</v>
      </c>
      <c r="R237" s="12">
        <v>1</v>
      </c>
      <c r="S237" s="8">
        <v>1</v>
      </c>
      <c r="T237" s="12">
        <v>2</v>
      </c>
      <c r="U237" s="8" t="s">
        <v>199</v>
      </c>
      <c r="V237" s="2">
        <v>45698</v>
      </c>
      <c r="W237" s="2">
        <v>45699</v>
      </c>
      <c r="X237" s="2">
        <v>45706</v>
      </c>
      <c r="Y237" s="2"/>
      <c r="Z237" s="2"/>
      <c r="AA237" t="s">
        <v>219</v>
      </c>
      <c r="AB237">
        <v>8448</v>
      </c>
      <c r="AC237">
        <v>71394</v>
      </c>
      <c r="AD237" t="s">
        <v>604</v>
      </c>
      <c r="AE237" s="2">
        <v>45699</v>
      </c>
      <c r="AF237">
        <v>4</v>
      </c>
      <c r="AG237" s="17">
        <v>0.16666666666666599</v>
      </c>
      <c r="AH237" s="2">
        <v>45705</v>
      </c>
    </row>
    <row r="238" spans="1:34" hidden="1" x14ac:dyDescent="0.25">
      <c r="A238" s="12">
        <v>8448</v>
      </c>
      <c r="B238" s="12">
        <v>0</v>
      </c>
      <c r="C238" t="s">
        <v>218</v>
      </c>
      <c r="D238">
        <v>247647</v>
      </c>
      <c r="E238" s="8" t="s">
        <v>213</v>
      </c>
      <c r="F238" s="12">
        <v>21</v>
      </c>
      <c r="G238" s="8" t="s">
        <v>44</v>
      </c>
      <c r="H238" s="12">
        <v>3233</v>
      </c>
      <c r="I238" t="s">
        <v>343</v>
      </c>
      <c r="K238" t="s">
        <v>101</v>
      </c>
      <c r="L238">
        <v>3</v>
      </c>
      <c r="M238" t="s">
        <v>192</v>
      </c>
      <c r="N238" s="12">
        <v>2</v>
      </c>
      <c r="O238" s="8" t="s">
        <v>158</v>
      </c>
      <c r="P238">
        <v>1</v>
      </c>
      <c r="Q238" s="8">
        <v>1</v>
      </c>
      <c r="R238" s="12">
        <v>1</v>
      </c>
      <c r="S238" s="8">
        <v>1</v>
      </c>
      <c r="T238" s="12">
        <v>2</v>
      </c>
      <c r="U238" s="8" t="s">
        <v>199</v>
      </c>
      <c r="V238" s="2">
        <v>45698</v>
      </c>
      <c r="W238" s="2">
        <v>45699</v>
      </c>
      <c r="X238" s="2">
        <v>45706</v>
      </c>
      <c r="Y238" s="2"/>
      <c r="Z238" s="2"/>
      <c r="AA238" t="s">
        <v>219</v>
      </c>
      <c r="AB238">
        <v>8448</v>
      </c>
      <c r="AC238">
        <v>72092</v>
      </c>
      <c r="AD238" t="s">
        <v>599</v>
      </c>
      <c r="AE238" s="2">
        <v>45698</v>
      </c>
      <c r="AF238">
        <v>3</v>
      </c>
      <c r="AG238" s="17">
        <v>0.125</v>
      </c>
      <c r="AH238" s="2">
        <v>45708</v>
      </c>
    </row>
    <row r="239" spans="1:34" hidden="1" x14ac:dyDescent="0.25">
      <c r="A239" s="12">
        <v>8448</v>
      </c>
      <c r="B239" s="12">
        <v>0</v>
      </c>
      <c r="C239" t="s">
        <v>218</v>
      </c>
      <c r="D239">
        <v>247647</v>
      </c>
      <c r="E239" s="8" t="s">
        <v>213</v>
      </c>
      <c r="F239" s="12">
        <v>21</v>
      </c>
      <c r="G239" s="8" t="s">
        <v>44</v>
      </c>
      <c r="H239" s="12">
        <v>3233</v>
      </c>
      <c r="I239" t="s">
        <v>343</v>
      </c>
      <c r="K239" t="s">
        <v>101</v>
      </c>
      <c r="L239">
        <v>3</v>
      </c>
      <c r="M239" t="s">
        <v>192</v>
      </c>
      <c r="N239" s="12">
        <v>2</v>
      </c>
      <c r="O239" s="8" t="s">
        <v>158</v>
      </c>
      <c r="P239">
        <v>1</v>
      </c>
      <c r="Q239" s="8">
        <v>1</v>
      </c>
      <c r="R239" s="12">
        <v>1</v>
      </c>
      <c r="S239" s="8">
        <v>1</v>
      </c>
      <c r="T239" s="12">
        <v>2</v>
      </c>
      <c r="U239" s="8" t="s">
        <v>199</v>
      </c>
      <c r="V239" s="2">
        <v>45698</v>
      </c>
      <c r="W239" s="2">
        <v>45699</v>
      </c>
      <c r="X239" s="2">
        <v>45706</v>
      </c>
      <c r="Y239" s="2"/>
      <c r="Z239" s="2"/>
      <c r="AA239" t="s">
        <v>219</v>
      </c>
      <c r="AB239">
        <v>8448</v>
      </c>
      <c r="AC239">
        <v>71393</v>
      </c>
      <c r="AD239" t="s">
        <v>605</v>
      </c>
      <c r="AE239" s="2">
        <v>45698</v>
      </c>
      <c r="AF239">
        <v>3</v>
      </c>
      <c r="AG239" s="17">
        <v>0.125</v>
      </c>
      <c r="AH239" s="2">
        <v>45705</v>
      </c>
    </row>
    <row r="240" spans="1:34" hidden="1" x14ac:dyDescent="0.25">
      <c r="A240" s="12">
        <v>8448</v>
      </c>
      <c r="B240" s="12">
        <v>0</v>
      </c>
      <c r="C240" t="s">
        <v>218</v>
      </c>
      <c r="D240">
        <v>247647</v>
      </c>
      <c r="E240" s="8" t="s">
        <v>213</v>
      </c>
      <c r="F240" s="12">
        <v>21</v>
      </c>
      <c r="G240" s="8" t="s">
        <v>44</v>
      </c>
      <c r="H240" s="12">
        <v>3233</v>
      </c>
      <c r="I240" t="s">
        <v>343</v>
      </c>
      <c r="K240" t="s">
        <v>101</v>
      </c>
      <c r="L240">
        <v>3</v>
      </c>
      <c r="M240" t="s">
        <v>192</v>
      </c>
      <c r="N240" s="12">
        <v>2</v>
      </c>
      <c r="O240" s="8" t="s">
        <v>158</v>
      </c>
      <c r="P240">
        <v>1</v>
      </c>
      <c r="Q240" s="8">
        <v>1</v>
      </c>
      <c r="R240" s="12">
        <v>1</v>
      </c>
      <c r="S240" s="8">
        <v>1</v>
      </c>
      <c r="T240" s="12">
        <v>2</v>
      </c>
      <c r="U240" s="8" t="s">
        <v>199</v>
      </c>
      <c r="V240" s="2">
        <v>45698</v>
      </c>
      <c r="W240" s="2">
        <v>45699</v>
      </c>
      <c r="X240" s="2">
        <v>45706</v>
      </c>
      <c r="Y240" s="2"/>
      <c r="Z240" s="2"/>
      <c r="AA240" t="s">
        <v>219</v>
      </c>
      <c r="AB240">
        <v>8448</v>
      </c>
      <c r="AC240">
        <v>72091</v>
      </c>
      <c r="AD240" t="s">
        <v>601</v>
      </c>
      <c r="AE240" s="2">
        <v>45695</v>
      </c>
      <c r="AF240">
        <v>1</v>
      </c>
      <c r="AG240" s="17">
        <v>4.1666666666666602E-2</v>
      </c>
      <c r="AH240" s="2">
        <v>45708</v>
      </c>
    </row>
    <row r="241" spans="1:34" hidden="1" x14ac:dyDescent="0.25">
      <c r="A241" s="12">
        <v>8448</v>
      </c>
      <c r="B241" s="12">
        <v>0</v>
      </c>
      <c r="C241" t="s">
        <v>218</v>
      </c>
      <c r="D241">
        <v>247647</v>
      </c>
      <c r="E241" s="8" t="s">
        <v>213</v>
      </c>
      <c r="F241" s="12">
        <v>21</v>
      </c>
      <c r="G241" s="8" t="s">
        <v>44</v>
      </c>
      <c r="H241" s="12">
        <v>3233</v>
      </c>
      <c r="I241" t="s">
        <v>343</v>
      </c>
      <c r="K241" t="s">
        <v>101</v>
      </c>
      <c r="L241">
        <v>3</v>
      </c>
      <c r="M241" t="s">
        <v>192</v>
      </c>
      <c r="N241" s="12">
        <v>2</v>
      </c>
      <c r="O241" s="8" t="s">
        <v>158</v>
      </c>
      <c r="P241">
        <v>1</v>
      </c>
      <c r="Q241" s="8">
        <v>1</v>
      </c>
      <c r="R241" s="12">
        <v>1</v>
      </c>
      <c r="S241" s="8">
        <v>1</v>
      </c>
      <c r="T241" s="12">
        <v>2</v>
      </c>
      <c r="U241" s="8" t="s">
        <v>199</v>
      </c>
      <c r="V241" s="2">
        <v>45698</v>
      </c>
      <c r="W241" s="2">
        <v>45699</v>
      </c>
      <c r="X241" s="2">
        <v>45706</v>
      </c>
      <c r="Y241" s="2"/>
      <c r="Z241" s="2"/>
      <c r="AA241" t="s">
        <v>219</v>
      </c>
      <c r="AB241">
        <v>8448</v>
      </c>
      <c r="AC241">
        <v>71392</v>
      </c>
      <c r="AD241" t="s">
        <v>606</v>
      </c>
      <c r="AE241" s="2">
        <v>45695</v>
      </c>
      <c r="AF241">
        <v>1</v>
      </c>
      <c r="AG241" s="17">
        <v>4.1666666666666602E-2</v>
      </c>
      <c r="AH241" s="2">
        <v>45705</v>
      </c>
    </row>
    <row r="242" spans="1:34" hidden="1" x14ac:dyDescent="0.25">
      <c r="A242" s="12">
        <v>8481</v>
      </c>
      <c r="B242" s="12">
        <v>0</v>
      </c>
      <c r="C242" t="s">
        <v>220</v>
      </c>
      <c r="D242">
        <v>247888</v>
      </c>
      <c r="E242" s="8" t="s">
        <v>184</v>
      </c>
      <c r="F242" s="12">
        <v>21</v>
      </c>
      <c r="G242" s="8" t="s">
        <v>44</v>
      </c>
      <c r="H242" s="12">
        <v>3233</v>
      </c>
      <c r="I242" t="s">
        <v>343</v>
      </c>
      <c r="J242" t="s">
        <v>62</v>
      </c>
      <c r="K242" t="s">
        <v>63</v>
      </c>
      <c r="L242">
        <v>3</v>
      </c>
      <c r="M242" t="s">
        <v>192</v>
      </c>
      <c r="N242" s="12">
        <v>2</v>
      </c>
      <c r="O242" s="8" t="s">
        <v>158</v>
      </c>
      <c r="P242">
        <v>1</v>
      </c>
      <c r="Q242" s="8">
        <v>1</v>
      </c>
      <c r="R242" s="12">
        <v>1</v>
      </c>
      <c r="S242" s="8">
        <v>1</v>
      </c>
      <c r="T242" s="12">
        <v>2</v>
      </c>
      <c r="U242" s="8" t="s">
        <v>199</v>
      </c>
      <c r="V242" s="2">
        <v>45708</v>
      </c>
      <c r="W242" s="2">
        <v>45709</v>
      </c>
      <c r="X242" s="2">
        <v>45714</v>
      </c>
      <c r="Y242" s="2">
        <v>45714</v>
      </c>
      <c r="Z242" s="2"/>
      <c r="AA242" t="s">
        <v>221</v>
      </c>
      <c r="AB242">
        <v>8481</v>
      </c>
      <c r="AC242">
        <v>74024</v>
      </c>
      <c r="AD242" t="s">
        <v>374</v>
      </c>
      <c r="AE242" s="2">
        <v>45714</v>
      </c>
      <c r="AF242">
        <v>1</v>
      </c>
      <c r="AG242" s="17">
        <v>4.1666666666666602E-2</v>
      </c>
      <c r="AH242" s="2">
        <v>45715</v>
      </c>
    </row>
    <row r="243" spans="1:34" hidden="1" x14ac:dyDescent="0.25">
      <c r="A243" s="12">
        <v>8481</v>
      </c>
      <c r="B243" s="12">
        <v>0</v>
      </c>
      <c r="C243" t="s">
        <v>220</v>
      </c>
      <c r="D243">
        <v>247888</v>
      </c>
      <c r="E243" s="8" t="s">
        <v>184</v>
      </c>
      <c r="F243" s="12">
        <v>21</v>
      </c>
      <c r="G243" s="8" t="s">
        <v>44</v>
      </c>
      <c r="H243" s="12">
        <v>3233</v>
      </c>
      <c r="I243" t="s">
        <v>343</v>
      </c>
      <c r="K243" t="s">
        <v>63</v>
      </c>
      <c r="L243">
        <v>3</v>
      </c>
      <c r="M243" t="s">
        <v>192</v>
      </c>
      <c r="N243" s="12">
        <v>2</v>
      </c>
      <c r="O243" s="8" t="s">
        <v>158</v>
      </c>
      <c r="P243">
        <v>1</v>
      </c>
      <c r="Q243" s="8">
        <v>1</v>
      </c>
      <c r="R243" s="12">
        <v>1</v>
      </c>
      <c r="S243" s="8">
        <v>1</v>
      </c>
      <c r="T243" s="12">
        <v>2</v>
      </c>
      <c r="U243" s="8" t="s">
        <v>199</v>
      </c>
      <c r="V243" s="2">
        <v>45708</v>
      </c>
      <c r="W243" s="2">
        <v>45709</v>
      </c>
      <c r="X243" s="2">
        <v>45714</v>
      </c>
      <c r="Y243" s="2">
        <v>45714</v>
      </c>
      <c r="Z243" s="2"/>
      <c r="AA243" t="s">
        <v>221</v>
      </c>
      <c r="AB243">
        <v>8481</v>
      </c>
      <c r="AC243">
        <v>74023</v>
      </c>
      <c r="AD243" t="s">
        <v>607</v>
      </c>
      <c r="AE243" s="2">
        <v>45713</v>
      </c>
      <c r="AF243">
        <v>1.5</v>
      </c>
      <c r="AG243" s="17">
        <v>6.25E-2</v>
      </c>
      <c r="AH243" s="2">
        <v>45715</v>
      </c>
    </row>
    <row r="244" spans="1:34" hidden="1" x14ac:dyDescent="0.25">
      <c r="A244" s="12">
        <v>8481</v>
      </c>
      <c r="B244" s="12">
        <v>0</v>
      </c>
      <c r="C244" t="s">
        <v>220</v>
      </c>
      <c r="D244">
        <v>247888</v>
      </c>
      <c r="E244" s="8" t="s">
        <v>184</v>
      </c>
      <c r="F244" s="12">
        <v>21</v>
      </c>
      <c r="G244" s="8" t="s">
        <v>44</v>
      </c>
      <c r="H244" s="12">
        <v>3233</v>
      </c>
      <c r="I244" t="s">
        <v>343</v>
      </c>
      <c r="K244" t="s">
        <v>63</v>
      </c>
      <c r="L244">
        <v>3</v>
      </c>
      <c r="M244" t="s">
        <v>192</v>
      </c>
      <c r="N244" s="12">
        <v>2</v>
      </c>
      <c r="O244" s="8" t="s">
        <v>158</v>
      </c>
      <c r="P244">
        <v>1</v>
      </c>
      <c r="Q244" s="8">
        <v>1</v>
      </c>
      <c r="R244" s="12">
        <v>1</v>
      </c>
      <c r="S244" s="8">
        <v>1</v>
      </c>
      <c r="T244" s="12">
        <v>2</v>
      </c>
      <c r="U244" s="8" t="s">
        <v>199</v>
      </c>
      <c r="V244" s="2">
        <v>45708</v>
      </c>
      <c r="W244" s="2">
        <v>45709</v>
      </c>
      <c r="X244" s="2">
        <v>45714</v>
      </c>
      <c r="Y244" s="2">
        <v>45714</v>
      </c>
      <c r="Z244" s="2"/>
      <c r="AA244" t="s">
        <v>221</v>
      </c>
      <c r="AB244">
        <v>8481</v>
      </c>
      <c r="AC244">
        <v>74022</v>
      </c>
      <c r="AD244" t="s">
        <v>608</v>
      </c>
      <c r="AE244" s="2">
        <v>45712</v>
      </c>
      <c r="AF244">
        <v>2</v>
      </c>
      <c r="AG244" s="17">
        <v>8.3333333333333301E-2</v>
      </c>
      <c r="AH244" s="2">
        <v>45715</v>
      </c>
    </row>
    <row r="245" spans="1:34" hidden="1" x14ac:dyDescent="0.25">
      <c r="A245" s="12">
        <v>8481</v>
      </c>
      <c r="B245" s="12">
        <v>0</v>
      </c>
      <c r="C245" t="s">
        <v>220</v>
      </c>
      <c r="D245">
        <v>247888</v>
      </c>
      <c r="E245" s="8" t="s">
        <v>184</v>
      </c>
      <c r="F245" s="12">
        <v>21</v>
      </c>
      <c r="G245" s="8" t="s">
        <v>44</v>
      </c>
      <c r="H245" s="12">
        <v>3233</v>
      </c>
      <c r="I245" t="s">
        <v>343</v>
      </c>
      <c r="K245" t="s">
        <v>63</v>
      </c>
      <c r="L245">
        <v>3</v>
      </c>
      <c r="M245" t="s">
        <v>192</v>
      </c>
      <c r="N245" s="12">
        <v>2</v>
      </c>
      <c r="O245" s="8" t="s">
        <v>158</v>
      </c>
      <c r="P245">
        <v>1</v>
      </c>
      <c r="Q245" s="8">
        <v>1</v>
      </c>
      <c r="R245" s="12">
        <v>1</v>
      </c>
      <c r="S245" s="8">
        <v>1</v>
      </c>
      <c r="T245" s="12">
        <v>2</v>
      </c>
      <c r="U245" s="8" t="s">
        <v>199</v>
      </c>
      <c r="V245" s="2">
        <v>45708</v>
      </c>
      <c r="W245" s="2">
        <v>45709</v>
      </c>
      <c r="X245" s="2">
        <v>45714</v>
      </c>
      <c r="Y245" s="2">
        <v>45714</v>
      </c>
      <c r="Z245" s="2"/>
      <c r="AA245" t="s">
        <v>221</v>
      </c>
      <c r="AB245">
        <v>8481</v>
      </c>
      <c r="AC245">
        <v>74021</v>
      </c>
      <c r="AD245" t="s">
        <v>609</v>
      </c>
      <c r="AE245" s="2">
        <v>45709</v>
      </c>
      <c r="AF245">
        <v>1</v>
      </c>
      <c r="AG245" s="17">
        <v>4.1666666666666602E-2</v>
      </c>
      <c r="AH245" s="2">
        <v>45715</v>
      </c>
    </row>
    <row r="246" spans="1:34" hidden="1" x14ac:dyDescent="0.25">
      <c r="A246" s="12">
        <v>8522</v>
      </c>
      <c r="B246" s="12">
        <v>0</v>
      </c>
      <c r="C246" t="s">
        <v>375</v>
      </c>
      <c r="D246">
        <v>247828</v>
      </c>
      <c r="E246" s="8" t="s">
        <v>61</v>
      </c>
      <c r="F246" s="12">
        <v>22</v>
      </c>
      <c r="G246" s="8" t="s">
        <v>45</v>
      </c>
      <c r="H246" s="12">
        <v>195</v>
      </c>
      <c r="I246" t="s">
        <v>346</v>
      </c>
      <c r="J246" t="s">
        <v>62</v>
      </c>
      <c r="K246" t="s">
        <v>101</v>
      </c>
      <c r="L246">
        <v>2</v>
      </c>
      <c r="M246" t="s">
        <v>157</v>
      </c>
      <c r="N246" s="12">
        <v>2</v>
      </c>
      <c r="O246" s="8" t="s">
        <v>158</v>
      </c>
      <c r="P246">
        <v>1</v>
      </c>
      <c r="Q246" s="8">
        <v>1</v>
      </c>
      <c r="R246" s="12">
        <v>1</v>
      </c>
      <c r="S246" s="8">
        <v>1</v>
      </c>
      <c r="T246" s="12">
        <v>1</v>
      </c>
      <c r="U246" s="8" t="s">
        <v>194</v>
      </c>
      <c r="V246" s="2">
        <v>45721</v>
      </c>
      <c r="W246" s="2">
        <v>45721</v>
      </c>
      <c r="X246" s="2">
        <v>45721</v>
      </c>
      <c r="Y246" s="2">
        <v>45721</v>
      </c>
      <c r="Z246" s="2">
        <v>45721</v>
      </c>
      <c r="AB246">
        <v>8522</v>
      </c>
      <c r="AC246">
        <v>75589</v>
      </c>
      <c r="AD246" t="s">
        <v>361</v>
      </c>
      <c r="AE246" s="2">
        <v>45721</v>
      </c>
      <c r="AF246">
        <v>0.5</v>
      </c>
      <c r="AG246" s="17">
        <v>2.0833333333333301E-2</v>
      </c>
      <c r="AH246" s="2">
        <v>45721</v>
      </c>
    </row>
    <row r="247" spans="1:34" hidden="1" x14ac:dyDescent="0.25">
      <c r="A247" s="12">
        <v>8522</v>
      </c>
      <c r="B247" s="12">
        <v>0</v>
      </c>
      <c r="C247" t="s">
        <v>375</v>
      </c>
      <c r="D247">
        <v>247828</v>
      </c>
      <c r="E247" s="8" t="s">
        <v>61</v>
      </c>
      <c r="F247" s="12">
        <v>22</v>
      </c>
      <c r="G247" s="8" t="s">
        <v>45</v>
      </c>
      <c r="H247" s="12">
        <v>195</v>
      </c>
      <c r="I247" t="s">
        <v>346</v>
      </c>
      <c r="K247" t="s">
        <v>101</v>
      </c>
      <c r="L247">
        <v>2</v>
      </c>
      <c r="M247" t="s">
        <v>157</v>
      </c>
      <c r="N247" s="12">
        <v>2</v>
      </c>
      <c r="O247" s="8" t="s">
        <v>158</v>
      </c>
      <c r="P247">
        <v>1</v>
      </c>
      <c r="Q247" s="8">
        <v>1</v>
      </c>
      <c r="R247" s="12">
        <v>1</v>
      </c>
      <c r="S247" s="8">
        <v>1</v>
      </c>
      <c r="T247" s="12">
        <v>1</v>
      </c>
      <c r="U247" s="8" t="s">
        <v>194</v>
      </c>
      <c r="V247" s="2">
        <v>45721</v>
      </c>
      <c r="W247" s="2">
        <v>45721</v>
      </c>
      <c r="X247" s="2">
        <v>45721</v>
      </c>
      <c r="Y247" s="2">
        <v>45721</v>
      </c>
      <c r="Z247" s="2">
        <v>45721</v>
      </c>
      <c r="AB247">
        <v>8522</v>
      </c>
      <c r="AC247">
        <v>75588</v>
      </c>
      <c r="AD247" t="s">
        <v>610</v>
      </c>
      <c r="AE247" s="2">
        <v>45721</v>
      </c>
      <c r="AF247">
        <v>0.5</v>
      </c>
      <c r="AG247" s="17">
        <v>2.0833333333333301E-2</v>
      </c>
      <c r="AH247" s="2">
        <v>45721</v>
      </c>
    </row>
    <row r="248" spans="1:34" hidden="1" x14ac:dyDescent="0.25">
      <c r="A248" s="12">
        <v>8522</v>
      </c>
      <c r="B248" s="12">
        <v>0</v>
      </c>
      <c r="C248" t="s">
        <v>375</v>
      </c>
      <c r="D248">
        <v>247828</v>
      </c>
      <c r="E248" s="8" t="s">
        <v>61</v>
      </c>
      <c r="F248" s="12">
        <v>22</v>
      </c>
      <c r="G248" s="8" t="s">
        <v>45</v>
      </c>
      <c r="H248" s="12">
        <v>195</v>
      </c>
      <c r="I248" t="s">
        <v>346</v>
      </c>
      <c r="K248" t="s">
        <v>101</v>
      </c>
      <c r="L248">
        <v>2</v>
      </c>
      <c r="M248" t="s">
        <v>157</v>
      </c>
      <c r="N248" s="12">
        <v>2</v>
      </c>
      <c r="O248" s="8" t="s">
        <v>158</v>
      </c>
      <c r="P248">
        <v>1</v>
      </c>
      <c r="Q248" s="8">
        <v>1</v>
      </c>
      <c r="R248" s="12">
        <v>1</v>
      </c>
      <c r="S248" s="8">
        <v>1</v>
      </c>
      <c r="T248" s="12">
        <v>1</v>
      </c>
      <c r="U248" s="8" t="s">
        <v>194</v>
      </c>
      <c r="V248" s="2">
        <v>45721</v>
      </c>
      <c r="W248" s="2">
        <v>45721</v>
      </c>
      <c r="X248" s="2">
        <v>45721</v>
      </c>
      <c r="Y248" s="2">
        <v>45721</v>
      </c>
      <c r="Z248" s="2">
        <v>45721</v>
      </c>
      <c r="AB248">
        <v>8522</v>
      </c>
      <c r="AC248">
        <v>75587</v>
      </c>
      <c r="AD248" t="s">
        <v>611</v>
      </c>
      <c r="AE248" s="2">
        <v>45721</v>
      </c>
      <c r="AF248">
        <v>0.5</v>
      </c>
      <c r="AG248" s="17">
        <v>2.0833333333333301E-2</v>
      </c>
      <c r="AH248" s="2">
        <v>45721</v>
      </c>
    </row>
    <row r="249" spans="1:34" hidden="1" x14ac:dyDescent="0.25">
      <c r="A249" s="12">
        <v>8522</v>
      </c>
      <c r="B249" s="12">
        <v>0</v>
      </c>
      <c r="C249" t="s">
        <v>375</v>
      </c>
      <c r="D249">
        <v>247828</v>
      </c>
      <c r="E249" s="8" t="s">
        <v>61</v>
      </c>
      <c r="F249" s="12">
        <v>22</v>
      </c>
      <c r="G249" s="8" t="s">
        <v>45</v>
      </c>
      <c r="H249" s="12">
        <v>195</v>
      </c>
      <c r="I249" t="s">
        <v>346</v>
      </c>
      <c r="K249" t="s">
        <v>101</v>
      </c>
      <c r="L249">
        <v>2</v>
      </c>
      <c r="M249" t="s">
        <v>157</v>
      </c>
      <c r="N249" s="12">
        <v>2</v>
      </c>
      <c r="O249" s="8" t="s">
        <v>158</v>
      </c>
      <c r="P249">
        <v>1</v>
      </c>
      <c r="Q249" s="8">
        <v>1</v>
      </c>
      <c r="R249" s="12">
        <v>1</v>
      </c>
      <c r="S249" s="8">
        <v>1</v>
      </c>
      <c r="T249" s="12">
        <v>1</v>
      </c>
      <c r="U249" s="8" t="s">
        <v>194</v>
      </c>
      <c r="V249" s="2">
        <v>45721</v>
      </c>
      <c r="W249" s="2">
        <v>45721</v>
      </c>
      <c r="X249" s="2">
        <v>45721</v>
      </c>
      <c r="Y249" s="2">
        <v>45721</v>
      </c>
      <c r="Z249" s="2">
        <v>45721</v>
      </c>
      <c r="AB249">
        <v>8522</v>
      </c>
      <c r="AC249">
        <v>75586</v>
      </c>
      <c r="AD249" t="s">
        <v>612</v>
      </c>
      <c r="AE249" s="2">
        <v>45721</v>
      </c>
      <c r="AF249">
        <v>0.5</v>
      </c>
      <c r="AG249" s="17">
        <v>2.0833333333333301E-2</v>
      </c>
      <c r="AH249" s="2">
        <v>45721</v>
      </c>
    </row>
    <row r="250" spans="1:34" hidden="1" x14ac:dyDescent="0.25">
      <c r="A250" s="12">
        <v>8482</v>
      </c>
      <c r="B250" s="12">
        <v>0</v>
      </c>
      <c r="C250" t="s">
        <v>222</v>
      </c>
      <c r="D250">
        <v>247014</v>
      </c>
      <c r="E250" s="8" t="s">
        <v>223</v>
      </c>
      <c r="F250" s="12">
        <v>22</v>
      </c>
      <c r="G250" s="8" t="s">
        <v>45</v>
      </c>
      <c r="H250" s="12">
        <v>3233</v>
      </c>
      <c r="I250" t="s">
        <v>343</v>
      </c>
      <c r="J250" t="s">
        <v>62</v>
      </c>
      <c r="K250" t="s">
        <v>101</v>
      </c>
      <c r="L250">
        <v>2</v>
      </c>
      <c r="M250" t="s">
        <v>157</v>
      </c>
      <c r="N250" s="12">
        <v>2</v>
      </c>
      <c r="O250" s="8" t="s">
        <v>158</v>
      </c>
      <c r="P250">
        <v>2</v>
      </c>
      <c r="Q250" s="8">
        <v>2</v>
      </c>
      <c r="R250" s="12">
        <v>2</v>
      </c>
      <c r="S250" s="8">
        <v>2</v>
      </c>
      <c r="T250" s="12">
        <v>2</v>
      </c>
      <c r="U250" s="8" t="s">
        <v>199</v>
      </c>
      <c r="V250" s="2">
        <v>45708</v>
      </c>
      <c r="W250" s="2">
        <v>45709</v>
      </c>
      <c r="X250" s="2">
        <v>45716</v>
      </c>
      <c r="Y250" s="2">
        <v>45747</v>
      </c>
      <c r="Z250" s="2"/>
      <c r="AB250">
        <v>8482</v>
      </c>
      <c r="AC250">
        <v>73113</v>
      </c>
      <c r="AD250" t="s">
        <v>376</v>
      </c>
      <c r="AE250" s="2">
        <v>45712</v>
      </c>
      <c r="AF250">
        <v>2</v>
      </c>
      <c r="AG250" s="17">
        <v>8.3333333333333301E-2</v>
      </c>
      <c r="AH250" s="2">
        <v>45712</v>
      </c>
    </row>
    <row r="251" spans="1:34" hidden="1" x14ac:dyDescent="0.25">
      <c r="A251" s="12">
        <v>8482</v>
      </c>
      <c r="B251" s="12">
        <v>0</v>
      </c>
      <c r="C251" t="s">
        <v>222</v>
      </c>
      <c r="D251">
        <v>247014</v>
      </c>
      <c r="E251" s="8" t="s">
        <v>223</v>
      </c>
      <c r="F251" s="12">
        <v>22</v>
      </c>
      <c r="G251" s="8" t="s">
        <v>45</v>
      </c>
      <c r="H251" s="12">
        <v>3233</v>
      </c>
      <c r="I251" t="s">
        <v>343</v>
      </c>
      <c r="K251" t="s">
        <v>101</v>
      </c>
      <c r="L251">
        <v>2</v>
      </c>
      <c r="M251" t="s">
        <v>157</v>
      </c>
      <c r="N251" s="12">
        <v>2</v>
      </c>
      <c r="O251" s="8" t="s">
        <v>158</v>
      </c>
      <c r="P251">
        <v>2</v>
      </c>
      <c r="Q251" s="8">
        <v>2</v>
      </c>
      <c r="R251" s="12">
        <v>2</v>
      </c>
      <c r="S251" s="8">
        <v>2</v>
      </c>
      <c r="T251" s="12">
        <v>2</v>
      </c>
      <c r="U251" s="8" t="s">
        <v>199</v>
      </c>
      <c r="V251" s="2">
        <v>45708</v>
      </c>
      <c r="W251" s="2">
        <v>45709</v>
      </c>
      <c r="X251" s="2">
        <v>45716</v>
      </c>
      <c r="Y251" s="2">
        <v>45747</v>
      </c>
      <c r="Z251" s="2"/>
      <c r="AB251">
        <v>8482</v>
      </c>
      <c r="AC251">
        <v>73112</v>
      </c>
      <c r="AD251" t="s">
        <v>613</v>
      </c>
      <c r="AE251" s="2">
        <v>45709</v>
      </c>
      <c r="AF251">
        <v>1.5</v>
      </c>
      <c r="AG251" s="17">
        <v>6.25E-2</v>
      </c>
      <c r="AH251" s="2">
        <v>45712</v>
      </c>
    </row>
    <row r="252" spans="1:34" hidden="1" x14ac:dyDescent="0.25">
      <c r="A252" s="12">
        <v>8501</v>
      </c>
      <c r="B252" s="12">
        <v>0</v>
      </c>
      <c r="C252" t="s">
        <v>328</v>
      </c>
      <c r="E252" s="8"/>
      <c r="F252" s="12">
        <v>30</v>
      </c>
      <c r="G252" s="8" t="s">
        <v>41</v>
      </c>
      <c r="H252" s="12">
        <v>2767</v>
      </c>
      <c r="I252" t="s">
        <v>348</v>
      </c>
      <c r="J252" t="s">
        <v>62</v>
      </c>
      <c r="K252" t="s">
        <v>101</v>
      </c>
      <c r="L252">
        <v>4</v>
      </c>
      <c r="M252" t="s">
        <v>207</v>
      </c>
      <c r="N252" s="12">
        <v>2</v>
      </c>
      <c r="O252" s="8" t="s">
        <v>158</v>
      </c>
      <c r="P252">
        <v>2</v>
      </c>
      <c r="Q252" s="8">
        <v>2</v>
      </c>
      <c r="R252" s="12">
        <v>1</v>
      </c>
      <c r="S252" s="8">
        <v>1</v>
      </c>
      <c r="T252" s="12">
        <v>2</v>
      </c>
      <c r="U252" s="8" t="s">
        <v>199</v>
      </c>
      <c r="V252" s="2">
        <v>45719</v>
      </c>
      <c r="W252" s="2">
        <v>45719</v>
      </c>
      <c r="X252" s="2">
        <v>45747</v>
      </c>
      <c r="Y252" s="2"/>
      <c r="Z252" s="2"/>
      <c r="AA252" t="s">
        <v>329</v>
      </c>
      <c r="AB252">
        <v>8501</v>
      </c>
      <c r="AC252">
        <v>76234</v>
      </c>
      <c r="AD252" t="s">
        <v>380</v>
      </c>
      <c r="AE252" s="2">
        <v>45723</v>
      </c>
      <c r="AF252">
        <v>1</v>
      </c>
      <c r="AG252" s="17">
        <v>4.1666666666666602E-2</v>
      </c>
      <c r="AH252" s="2">
        <v>45723</v>
      </c>
    </row>
    <row r="253" spans="1:34" hidden="1" x14ac:dyDescent="0.25">
      <c r="A253" s="12">
        <v>8501</v>
      </c>
      <c r="B253" s="12">
        <v>0</v>
      </c>
      <c r="C253" t="s">
        <v>328</v>
      </c>
      <c r="E253" s="8"/>
      <c r="F253" s="12">
        <v>30</v>
      </c>
      <c r="G253" s="8" t="s">
        <v>41</v>
      </c>
      <c r="H253" s="12">
        <v>2767</v>
      </c>
      <c r="I253" t="s">
        <v>348</v>
      </c>
      <c r="K253" t="s">
        <v>101</v>
      </c>
      <c r="L253">
        <v>4</v>
      </c>
      <c r="M253" t="s">
        <v>207</v>
      </c>
      <c r="N253" s="12">
        <v>2</v>
      </c>
      <c r="O253" s="8" t="s">
        <v>158</v>
      </c>
      <c r="P253">
        <v>2</v>
      </c>
      <c r="Q253" s="8">
        <v>2</v>
      </c>
      <c r="R253" s="12">
        <v>1</v>
      </c>
      <c r="S253" s="8">
        <v>1</v>
      </c>
      <c r="T253" s="12">
        <v>2</v>
      </c>
      <c r="U253" s="8" t="s">
        <v>199</v>
      </c>
      <c r="V253" s="2">
        <v>45719</v>
      </c>
      <c r="W253" s="2">
        <v>45719</v>
      </c>
      <c r="X253" s="2">
        <v>45747</v>
      </c>
      <c r="Y253" s="2"/>
      <c r="Z253" s="2"/>
      <c r="AA253" t="s">
        <v>329</v>
      </c>
      <c r="AB253">
        <v>8501</v>
      </c>
      <c r="AC253">
        <v>76233</v>
      </c>
      <c r="AD253" t="s">
        <v>615</v>
      </c>
      <c r="AE253" s="2">
        <v>45723</v>
      </c>
      <c r="AF253">
        <v>5</v>
      </c>
      <c r="AG253" s="17">
        <v>0.20833333333333301</v>
      </c>
      <c r="AH253" s="2">
        <v>45723</v>
      </c>
    </row>
    <row r="254" spans="1:34" hidden="1" x14ac:dyDescent="0.25">
      <c r="A254" s="12">
        <v>8501</v>
      </c>
      <c r="B254" s="12">
        <v>0</v>
      </c>
      <c r="C254" t="s">
        <v>328</v>
      </c>
      <c r="E254" s="8"/>
      <c r="F254" s="12">
        <v>30</v>
      </c>
      <c r="G254" s="8" t="s">
        <v>41</v>
      </c>
      <c r="H254" s="12">
        <v>2767</v>
      </c>
      <c r="I254" t="s">
        <v>348</v>
      </c>
      <c r="K254" t="s">
        <v>101</v>
      </c>
      <c r="L254">
        <v>4</v>
      </c>
      <c r="M254" t="s">
        <v>207</v>
      </c>
      <c r="N254" s="12">
        <v>2</v>
      </c>
      <c r="O254" s="8" t="s">
        <v>158</v>
      </c>
      <c r="P254">
        <v>2</v>
      </c>
      <c r="Q254" s="8">
        <v>2</v>
      </c>
      <c r="R254" s="12">
        <v>1</v>
      </c>
      <c r="S254" s="8">
        <v>1</v>
      </c>
      <c r="T254" s="12">
        <v>2</v>
      </c>
      <c r="U254" s="8" t="s">
        <v>199</v>
      </c>
      <c r="V254" s="2">
        <v>45719</v>
      </c>
      <c r="W254" s="2">
        <v>45719</v>
      </c>
      <c r="X254" s="2">
        <v>45747</v>
      </c>
      <c r="Y254" s="2"/>
      <c r="Z254" s="2"/>
      <c r="AA254" t="s">
        <v>329</v>
      </c>
      <c r="AB254">
        <v>8501</v>
      </c>
      <c r="AC254">
        <v>75937</v>
      </c>
      <c r="AD254" t="s">
        <v>616</v>
      </c>
      <c r="AE254" s="2">
        <v>45722</v>
      </c>
      <c r="AF254">
        <v>2</v>
      </c>
      <c r="AG254" s="17">
        <v>8.3333333333333301E-2</v>
      </c>
      <c r="AH254" s="2">
        <v>45723</v>
      </c>
    </row>
    <row r="255" spans="1:34" hidden="1" x14ac:dyDescent="0.25">
      <c r="A255" s="12">
        <v>8501</v>
      </c>
      <c r="B255" s="12">
        <v>0</v>
      </c>
      <c r="C255" t="s">
        <v>328</v>
      </c>
      <c r="E255" s="8"/>
      <c r="F255" s="12">
        <v>30</v>
      </c>
      <c r="G255" s="8" t="s">
        <v>41</v>
      </c>
      <c r="H255" s="12">
        <v>2767</v>
      </c>
      <c r="I255" t="s">
        <v>348</v>
      </c>
      <c r="K255" t="s">
        <v>101</v>
      </c>
      <c r="L255">
        <v>4</v>
      </c>
      <c r="M255" t="s">
        <v>207</v>
      </c>
      <c r="N255" s="12">
        <v>2</v>
      </c>
      <c r="O255" s="8" t="s">
        <v>158</v>
      </c>
      <c r="P255">
        <v>2</v>
      </c>
      <c r="Q255" s="8">
        <v>2</v>
      </c>
      <c r="R255" s="12">
        <v>1</v>
      </c>
      <c r="S255" s="8">
        <v>1</v>
      </c>
      <c r="T255" s="12">
        <v>2</v>
      </c>
      <c r="U255" s="8" t="s">
        <v>199</v>
      </c>
      <c r="V255" s="2">
        <v>45719</v>
      </c>
      <c r="W255" s="2">
        <v>45719</v>
      </c>
      <c r="X255" s="2">
        <v>45747</v>
      </c>
      <c r="Y255" s="2"/>
      <c r="Z255" s="2"/>
      <c r="AA255" t="s">
        <v>329</v>
      </c>
      <c r="AB255">
        <v>8501</v>
      </c>
      <c r="AC255">
        <v>75936</v>
      </c>
      <c r="AD255" t="s">
        <v>617</v>
      </c>
      <c r="AE255" s="2">
        <v>45722</v>
      </c>
      <c r="AF255">
        <v>6</v>
      </c>
      <c r="AG255" s="17">
        <v>0.25</v>
      </c>
      <c r="AH255" s="2">
        <v>45723</v>
      </c>
    </row>
    <row r="256" spans="1:34" hidden="1" x14ac:dyDescent="0.25">
      <c r="A256" s="12">
        <v>8501</v>
      </c>
      <c r="B256" s="12">
        <v>0</v>
      </c>
      <c r="C256" t="s">
        <v>328</v>
      </c>
      <c r="E256" s="8"/>
      <c r="F256" s="12">
        <v>30</v>
      </c>
      <c r="G256" s="8" t="s">
        <v>41</v>
      </c>
      <c r="H256" s="12">
        <v>2767</v>
      </c>
      <c r="I256" t="s">
        <v>348</v>
      </c>
      <c r="K256" t="s">
        <v>101</v>
      </c>
      <c r="L256">
        <v>4</v>
      </c>
      <c r="M256" t="s">
        <v>207</v>
      </c>
      <c r="N256" s="12">
        <v>2</v>
      </c>
      <c r="O256" s="8" t="s">
        <v>158</v>
      </c>
      <c r="P256">
        <v>2</v>
      </c>
      <c r="Q256" s="8">
        <v>2</v>
      </c>
      <c r="R256" s="12">
        <v>1</v>
      </c>
      <c r="S256" s="8">
        <v>1</v>
      </c>
      <c r="T256" s="12">
        <v>2</v>
      </c>
      <c r="U256" s="8" t="s">
        <v>199</v>
      </c>
      <c r="V256" s="2">
        <v>45719</v>
      </c>
      <c r="W256" s="2">
        <v>45719</v>
      </c>
      <c r="X256" s="2">
        <v>45747</v>
      </c>
      <c r="Y256" s="2"/>
      <c r="Z256" s="2"/>
      <c r="AA256" t="s">
        <v>329</v>
      </c>
      <c r="AB256">
        <v>8501</v>
      </c>
      <c r="AC256">
        <v>75938</v>
      </c>
      <c r="AD256" t="s">
        <v>618</v>
      </c>
      <c r="AE256" s="2">
        <v>45721</v>
      </c>
      <c r="AF256">
        <v>5</v>
      </c>
      <c r="AG256" s="17">
        <v>0.20833333333333301</v>
      </c>
      <c r="AH256" s="2">
        <v>45723</v>
      </c>
    </row>
    <row r="257" spans="1:34" hidden="1" x14ac:dyDescent="0.25">
      <c r="A257" s="12">
        <v>8501</v>
      </c>
      <c r="B257" s="12">
        <v>0</v>
      </c>
      <c r="C257" t="s">
        <v>328</v>
      </c>
      <c r="E257" s="8"/>
      <c r="F257" s="12">
        <v>30</v>
      </c>
      <c r="G257" s="8" t="s">
        <v>41</v>
      </c>
      <c r="H257" s="12">
        <v>2767</v>
      </c>
      <c r="I257" t="s">
        <v>348</v>
      </c>
      <c r="K257" t="s">
        <v>101</v>
      </c>
      <c r="L257">
        <v>4</v>
      </c>
      <c r="M257" t="s">
        <v>207</v>
      </c>
      <c r="N257" s="12">
        <v>2</v>
      </c>
      <c r="O257" s="8" t="s">
        <v>158</v>
      </c>
      <c r="P257">
        <v>2</v>
      </c>
      <c r="Q257" s="8">
        <v>2</v>
      </c>
      <c r="R257" s="12">
        <v>1</v>
      </c>
      <c r="S257" s="8">
        <v>1</v>
      </c>
      <c r="T257" s="12">
        <v>2</v>
      </c>
      <c r="U257" s="8" t="s">
        <v>199</v>
      </c>
      <c r="V257" s="2">
        <v>45719</v>
      </c>
      <c r="W257" s="2">
        <v>45719</v>
      </c>
      <c r="X257" s="2">
        <v>45747</v>
      </c>
      <c r="Y257" s="2"/>
      <c r="Z257" s="2"/>
      <c r="AA257" t="s">
        <v>329</v>
      </c>
      <c r="AB257">
        <v>8501</v>
      </c>
      <c r="AC257">
        <v>75489</v>
      </c>
      <c r="AD257" t="s">
        <v>619</v>
      </c>
      <c r="AE257" s="2">
        <v>45721</v>
      </c>
      <c r="AF257">
        <v>0.5</v>
      </c>
      <c r="AG257" s="17">
        <v>2.0833333333333301E-2</v>
      </c>
      <c r="AH257" s="2">
        <v>45721</v>
      </c>
    </row>
    <row r="258" spans="1:34" hidden="1" x14ac:dyDescent="0.25">
      <c r="A258" s="12">
        <v>8501</v>
      </c>
      <c r="B258" s="12">
        <v>0</v>
      </c>
      <c r="C258" t="s">
        <v>328</v>
      </c>
      <c r="E258" s="8"/>
      <c r="F258" s="12">
        <v>30</v>
      </c>
      <c r="G258" s="8" t="s">
        <v>41</v>
      </c>
      <c r="H258" s="12">
        <v>2767</v>
      </c>
      <c r="I258" t="s">
        <v>348</v>
      </c>
      <c r="K258" t="s">
        <v>101</v>
      </c>
      <c r="L258">
        <v>4</v>
      </c>
      <c r="M258" t="s">
        <v>207</v>
      </c>
      <c r="N258" s="12">
        <v>2</v>
      </c>
      <c r="O258" s="8" t="s">
        <v>158</v>
      </c>
      <c r="P258">
        <v>2</v>
      </c>
      <c r="Q258" s="8">
        <v>2</v>
      </c>
      <c r="R258" s="12">
        <v>1</v>
      </c>
      <c r="S258" s="8">
        <v>1</v>
      </c>
      <c r="T258" s="12">
        <v>2</v>
      </c>
      <c r="U258" s="8" t="s">
        <v>199</v>
      </c>
      <c r="V258" s="2">
        <v>45719</v>
      </c>
      <c r="W258" s="2">
        <v>45719</v>
      </c>
      <c r="X258" s="2">
        <v>45747</v>
      </c>
      <c r="Y258" s="2"/>
      <c r="Z258" s="2"/>
      <c r="AA258" t="s">
        <v>329</v>
      </c>
      <c r="AB258">
        <v>8501</v>
      </c>
      <c r="AC258">
        <v>75488</v>
      </c>
      <c r="AD258" t="s">
        <v>620</v>
      </c>
      <c r="AE258" s="2">
        <v>45721</v>
      </c>
      <c r="AF258">
        <v>0.5</v>
      </c>
      <c r="AG258" s="17">
        <v>2.0833333333333301E-2</v>
      </c>
      <c r="AH258" s="2">
        <v>45721</v>
      </c>
    </row>
    <row r="259" spans="1:34" hidden="1" x14ac:dyDescent="0.25">
      <c r="A259" s="12">
        <v>8501</v>
      </c>
      <c r="B259" s="12">
        <v>0</v>
      </c>
      <c r="C259" t="s">
        <v>328</v>
      </c>
      <c r="E259" s="8"/>
      <c r="F259" s="12">
        <v>30</v>
      </c>
      <c r="G259" s="8" t="s">
        <v>41</v>
      </c>
      <c r="H259" s="12">
        <v>2767</v>
      </c>
      <c r="I259" t="s">
        <v>348</v>
      </c>
      <c r="K259" t="s">
        <v>101</v>
      </c>
      <c r="L259">
        <v>4</v>
      </c>
      <c r="M259" t="s">
        <v>207</v>
      </c>
      <c r="N259" s="12">
        <v>2</v>
      </c>
      <c r="O259" s="8" t="s">
        <v>158</v>
      </c>
      <c r="P259">
        <v>2</v>
      </c>
      <c r="Q259" s="8">
        <v>2</v>
      </c>
      <c r="R259" s="12">
        <v>1</v>
      </c>
      <c r="S259" s="8">
        <v>1</v>
      </c>
      <c r="T259" s="12">
        <v>2</v>
      </c>
      <c r="U259" s="8" t="s">
        <v>199</v>
      </c>
      <c r="V259" s="2">
        <v>45719</v>
      </c>
      <c r="W259" s="2">
        <v>45719</v>
      </c>
      <c r="X259" s="2">
        <v>45747</v>
      </c>
      <c r="Y259" s="2"/>
      <c r="Z259" s="2"/>
      <c r="AA259" t="s">
        <v>329</v>
      </c>
      <c r="AB259">
        <v>8501</v>
      </c>
      <c r="AC259">
        <v>75487</v>
      </c>
      <c r="AD259" t="s">
        <v>621</v>
      </c>
      <c r="AE259" s="2">
        <v>45720</v>
      </c>
      <c r="AF259">
        <v>4</v>
      </c>
      <c r="AG259" s="17">
        <v>0.16666666666666599</v>
      </c>
      <c r="AH259" s="2">
        <v>45721</v>
      </c>
    </row>
    <row r="260" spans="1:34" hidden="1" x14ac:dyDescent="0.25">
      <c r="A260" s="12">
        <v>8501</v>
      </c>
      <c r="B260" s="12">
        <v>0</v>
      </c>
      <c r="C260" t="s">
        <v>328</v>
      </c>
      <c r="E260" s="8"/>
      <c r="F260" s="12">
        <v>30</v>
      </c>
      <c r="G260" s="8" t="s">
        <v>41</v>
      </c>
      <c r="H260" s="12">
        <v>2767</v>
      </c>
      <c r="I260" t="s">
        <v>348</v>
      </c>
      <c r="K260" t="s">
        <v>101</v>
      </c>
      <c r="L260">
        <v>4</v>
      </c>
      <c r="M260" t="s">
        <v>207</v>
      </c>
      <c r="N260" s="12">
        <v>2</v>
      </c>
      <c r="O260" s="8" t="s">
        <v>158</v>
      </c>
      <c r="P260">
        <v>2</v>
      </c>
      <c r="Q260" s="8">
        <v>2</v>
      </c>
      <c r="R260" s="12">
        <v>1</v>
      </c>
      <c r="S260" s="8">
        <v>1</v>
      </c>
      <c r="T260" s="12">
        <v>2</v>
      </c>
      <c r="U260" s="8" t="s">
        <v>199</v>
      </c>
      <c r="V260" s="2">
        <v>45719</v>
      </c>
      <c r="W260" s="2">
        <v>45719</v>
      </c>
      <c r="X260" s="2">
        <v>45747</v>
      </c>
      <c r="Y260" s="2"/>
      <c r="Z260" s="2"/>
      <c r="AA260" t="s">
        <v>329</v>
      </c>
      <c r="AB260">
        <v>8501</v>
      </c>
      <c r="AC260">
        <v>75038</v>
      </c>
      <c r="AD260" t="s">
        <v>622</v>
      </c>
      <c r="AE260" s="2">
        <v>45719</v>
      </c>
      <c r="AF260">
        <v>1</v>
      </c>
      <c r="AG260" s="17">
        <v>4.1666666666666602E-2</v>
      </c>
      <c r="AH260" s="2">
        <v>45719</v>
      </c>
    </row>
    <row r="261" spans="1:34" hidden="1" x14ac:dyDescent="0.25">
      <c r="A261" s="12">
        <v>8501</v>
      </c>
      <c r="B261" s="12">
        <v>0</v>
      </c>
      <c r="C261" t="s">
        <v>328</v>
      </c>
      <c r="E261" s="8"/>
      <c r="F261" s="12">
        <v>30</v>
      </c>
      <c r="G261" s="8" t="s">
        <v>41</v>
      </c>
      <c r="H261" s="12">
        <v>2767</v>
      </c>
      <c r="I261" t="s">
        <v>348</v>
      </c>
      <c r="K261" t="s">
        <v>101</v>
      </c>
      <c r="L261">
        <v>4</v>
      </c>
      <c r="M261" t="s">
        <v>207</v>
      </c>
      <c r="N261" s="12">
        <v>2</v>
      </c>
      <c r="O261" s="8" t="s">
        <v>158</v>
      </c>
      <c r="P261">
        <v>2</v>
      </c>
      <c r="Q261" s="8">
        <v>2</v>
      </c>
      <c r="R261" s="12">
        <v>1</v>
      </c>
      <c r="S261" s="8">
        <v>1</v>
      </c>
      <c r="T261" s="12">
        <v>2</v>
      </c>
      <c r="U261" s="8" t="s">
        <v>199</v>
      </c>
      <c r="V261" s="2">
        <v>45719</v>
      </c>
      <c r="W261" s="2">
        <v>45719</v>
      </c>
      <c r="X261" s="2">
        <v>45747</v>
      </c>
      <c r="Y261" s="2"/>
      <c r="Z261" s="2"/>
      <c r="AA261" t="s">
        <v>329</v>
      </c>
      <c r="AB261">
        <v>8501</v>
      </c>
      <c r="AC261">
        <v>75036</v>
      </c>
      <c r="AD261" t="s">
        <v>623</v>
      </c>
      <c r="AE261" s="2">
        <v>45719</v>
      </c>
      <c r="AF261">
        <v>0.5</v>
      </c>
      <c r="AG261" s="17">
        <v>2.0833333333333301E-2</v>
      </c>
      <c r="AH261" s="2">
        <v>45719</v>
      </c>
    </row>
    <row r="262" spans="1:34" hidden="1" x14ac:dyDescent="0.25">
      <c r="A262" s="12">
        <v>8501</v>
      </c>
      <c r="B262" s="12">
        <v>0</v>
      </c>
      <c r="C262" t="s">
        <v>328</v>
      </c>
      <c r="E262" s="8"/>
      <c r="F262" s="12">
        <v>30</v>
      </c>
      <c r="G262" s="8" t="s">
        <v>41</v>
      </c>
      <c r="H262" s="12">
        <v>2767</v>
      </c>
      <c r="I262" t="s">
        <v>348</v>
      </c>
      <c r="K262" t="s">
        <v>101</v>
      </c>
      <c r="L262">
        <v>4</v>
      </c>
      <c r="M262" t="s">
        <v>207</v>
      </c>
      <c r="N262" s="12">
        <v>2</v>
      </c>
      <c r="O262" s="8" t="s">
        <v>158</v>
      </c>
      <c r="P262">
        <v>2</v>
      </c>
      <c r="Q262" s="8">
        <v>2</v>
      </c>
      <c r="R262" s="12">
        <v>1</v>
      </c>
      <c r="S262" s="8">
        <v>1</v>
      </c>
      <c r="T262" s="12">
        <v>2</v>
      </c>
      <c r="U262" s="8" t="s">
        <v>199</v>
      </c>
      <c r="V262" s="2">
        <v>45719</v>
      </c>
      <c r="W262" s="2">
        <v>45719</v>
      </c>
      <c r="X262" s="2">
        <v>45747</v>
      </c>
      <c r="Y262" s="2"/>
      <c r="Z262" s="2"/>
      <c r="AA262" t="s">
        <v>329</v>
      </c>
      <c r="AB262">
        <v>8501</v>
      </c>
      <c r="AC262">
        <v>75034</v>
      </c>
      <c r="AD262" t="s">
        <v>624</v>
      </c>
      <c r="AE262" s="2">
        <v>45719</v>
      </c>
      <c r="AF262">
        <v>4</v>
      </c>
      <c r="AG262" s="17">
        <v>0.16666666666666599</v>
      </c>
      <c r="AH262" s="2">
        <v>45719</v>
      </c>
    </row>
    <row r="263" spans="1:34" hidden="1" x14ac:dyDescent="0.25">
      <c r="A263" s="12">
        <v>8289</v>
      </c>
      <c r="B263" s="12">
        <v>0</v>
      </c>
      <c r="C263" t="s">
        <v>224</v>
      </c>
      <c r="E263" s="8"/>
      <c r="F263" s="12">
        <v>28</v>
      </c>
      <c r="G263" s="8" t="s">
        <v>42</v>
      </c>
      <c r="H263" s="12">
        <v>3203</v>
      </c>
      <c r="I263" t="s">
        <v>47</v>
      </c>
      <c r="J263" t="s">
        <v>62</v>
      </c>
      <c r="K263" t="s">
        <v>63</v>
      </c>
      <c r="N263" s="12"/>
      <c r="O263" s="8"/>
      <c r="Q263" s="8"/>
      <c r="R263" s="12"/>
      <c r="S263" s="8"/>
      <c r="T263" s="12"/>
      <c r="U263" s="8"/>
      <c r="V263" s="2">
        <v>45691</v>
      </c>
      <c r="W263" s="2">
        <v>45691</v>
      </c>
      <c r="X263" s="2"/>
      <c r="Y263" s="2"/>
      <c r="Z263" s="2"/>
      <c r="AB263">
        <v>8289</v>
      </c>
      <c r="AC263">
        <v>73634</v>
      </c>
      <c r="AD263" t="s">
        <v>345</v>
      </c>
      <c r="AE263" s="2">
        <v>45714</v>
      </c>
      <c r="AF263">
        <v>9</v>
      </c>
      <c r="AG263" s="17">
        <v>0.375</v>
      </c>
      <c r="AH263" s="2">
        <v>45714</v>
      </c>
    </row>
    <row r="264" spans="1:34" hidden="1" x14ac:dyDescent="0.25">
      <c r="A264" s="12">
        <v>8289</v>
      </c>
      <c r="B264" s="12">
        <v>0</v>
      </c>
      <c r="C264" t="s">
        <v>224</v>
      </c>
      <c r="E264" s="8"/>
      <c r="F264" s="12">
        <v>28</v>
      </c>
      <c r="G264" s="8" t="s">
        <v>42</v>
      </c>
      <c r="H264" s="12">
        <v>3203</v>
      </c>
      <c r="I264" t="s">
        <v>47</v>
      </c>
      <c r="K264" t="s">
        <v>63</v>
      </c>
      <c r="N264" s="12"/>
      <c r="O264" s="8"/>
      <c r="Q264" s="8"/>
      <c r="R264" s="12"/>
      <c r="S264" s="8"/>
      <c r="T264" s="12"/>
      <c r="U264" s="8"/>
      <c r="V264" s="2">
        <v>45691</v>
      </c>
      <c r="W264" s="2">
        <v>45691</v>
      </c>
      <c r="X264" s="2"/>
      <c r="Y264" s="2"/>
      <c r="Z264" s="2"/>
      <c r="AB264">
        <v>8289</v>
      </c>
      <c r="AC264">
        <v>73283</v>
      </c>
      <c r="AD264" t="s">
        <v>345</v>
      </c>
      <c r="AE264" s="2">
        <v>45713</v>
      </c>
      <c r="AF264">
        <v>9</v>
      </c>
      <c r="AG264" s="17">
        <v>0.375</v>
      </c>
      <c r="AH264" s="2">
        <v>45713</v>
      </c>
    </row>
    <row r="265" spans="1:34" hidden="1" x14ac:dyDescent="0.25">
      <c r="A265" s="12">
        <v>8289</v>
      </c>
      <c r="B265" s="12">
        <v>0</v>
      </c>
      <c r="C265" t="s">
        <v>224</v>
      </c>
      <c r="E265" s="8"/>
      <c r="F265" s="12">
        <v>28</v>
      </c>
      <c r="G265" s="8" t="s">
        <v>42</v>
      </c>
      <c r="H265" s="12">
        <v>3203</v>
      </c>
      <c r="I265" t="s">
        <v>47</v>
      </c>
      <c r="K265" t="s">
        <v>63</v>
      </c>
      <c r="N265" s="12"/>
      <c r="O265" s="8"/>
      <c r="Q265" s="8"/>
      <c r="R265" s="12"/>
      <c r="S265" s="8"/>
      <c r="T265" s="12"/>
      <c r="U265" s="8"/>
      <c r="V265" s="2">
        <v>45691</v>
      </c>
      <c r="W265" s="2">
        <v>45691</v>
      </c>
      <c r="X265" s="2"/>
      <c r="Y265" s="2"/>
      <c r="Z265" s="2"/>
      <c r="AB265">
        <v>8289</v>
      </c>
      <c r="AC265">
        <v>73084</v>
      </c>
      <c r="AD265" t="s">
        <v>345</v>
      </c>
      <c r="AE265" s="2">
        <v>45712</v>
      </c>
      <c r="AF265">
        <v>9</v>
      </c>
      <c r="AG265" s="17">
        <v>0.375</v>
      </c>
      <c r="AH265" s="2">
        <v>45712</v>
      </c>
    </row>
    <row r="266" spans="1:34" hidden="1" x14ac:dyDescent="0.25">
      <c r="A266" s="12">
        <v>8289</v>
      </c>
      <c r="B266" s="12">
        <v>0</v>
      </c>
      <c r="C266" t="s">
        <v>224</v>
      </c>
      <c r="E266" s="8"/>
      <c r="F266" s="12">
        <v>28</v>
      </c>
      <c r="G266" s="8" t="s">
        <v>42</v>
      </c>
      <c r="H266" s="12">
        <v>3203</v>
      </c>
      <c r="I266" t="s">
        <v>47</v>
      </c>
      <c r="K266" t="s">
        <v>63</v>
      </c>
      <c r="N266" s="12"/>
      <c r="O266" s="8"/>
      <c r="Q266" s="8"/>
      <c r="R266" s="12"/>
      <c r="S266" s="8"/>
      <c r="T266" s="12"/>
      <c r="U266" s="8"/>
      <c r="V266" s="2">
        <v>45691</v>
      </c>
      <c r="W266" s="2">
        <v>45691</v>
      </c>
      <c r="X266" s="2"/>
      <c r="Y266" s="2"/>
      <c r="Z266" s="2"/>
      <c r="AB266">
        <v>8289</v>
      </c>
      <c r="AC266">
        <v>73082</v>
      </c>
      <c r="AD266" t="s">
        <v>345</v>
      </c>
      <c r="AE266" s="2">
        <v>45709</v>
      </c>
      <c r="AF266">
        <v>9</v>
      </c>
      <c r="AG266" s="17">
        <v>0.375</v>
      </c>
      <c r="AH266" s="2">
        <v>45712</v>
      </c>
    </row>
    <row r="267" spans="1:34" hidden="1" x14ac:dyDescent="0.25">
      <c r="A267" s="12">
        <v>8289</v>
      </c>
      <c r="B267" s="12">
        <v>0</v>
      </c>
      <c r="C267" t="s">
        <v>224</v>
      </c>
      <c r="E267" s="8"/>
      <c r="F267" s="12">
        <v>28</v>
      </c>
      <c r="G267" s="8" t="s">
        <v>42</v>
      </c>
      <c r="H267" s="12">
        <v>3203</v>
      </c>
      <c r="I267" t="s">
        <v>47</v>
      </c>
      <c r="K267" t="s">
        <v>63</v>
      </c>
      <c r="N267" s="12"/>
      <c r="O267" s="8"/>
      <c r="Q267" s="8"/>
      <c r="R267" s="12"/>
      <c r="S267" s="8"/>
      <c r="T267" s="12"/>
      <c r="U267" s="8"/>
      <c r="V267" s="2">
        <v>45691</v>
      </c>
      <c r="W267" s="2">
        <v>45691</v>
      </c>
      <c r="X267" s="2"/>
      <c r="Y267" s="2"/>
      <c r="Z267" s="2"/>
      <c r="AB267">
        <v>8289</v>
      </c>
      <c r="AC267">
        <v>72179</v>
      </c>
      <c r="AD267" t="s">
        <v>345</v>
      </c>
      <c r="AE267" s="2">
        <v>45708</v>
      </c>
      <c r="AF267">
        <v>6.5</v>
      </c>
      <c r="AG267" s="17">
        <v>0.27083333333333298</v>
      </c>
      <c r="AH267" s="2">
        <v>45708</v>
      </c>
    </row>
    <row r="268" spans="1:34" hidden="1" x14ac:dyDescent="0.25">
      <c r="A268" s="12">
        <v>8289</v>
      </c>
      <c r="B268" s="12">
        <v>0</v>
      </c>
      <c r="C268" t="s">
        <v>224</v>
      </c>
      <c r="E268" s="8"/>
      <c r="F268" s="12">
        <v>28</v>
      </c>
      <c r="G268" s="8" t="s">
        <v>42</v>
      </c>
      <c r="H268" s="12">
        <v>3203</v>
      </c>
      <c r="I268" t="s">
        <v>47</v>
      </c>
      <c r="K268" t="s">
        <v>63</v>
      </c>
      <c r="N268" s="12"/>
      <c r="O268" s="8"/>
      <c r="Q268" s="8"/>
      <c r="R268" s="12"/>
      <c r="S268" s="8"/>
      <c r="T268" s="12"/>
      <c r="U268" s="8"/>
      <c r="V268" s="2">
        <v>45691</v>
      </c>
      <c r="W268" s="2">
        <v>45691</v>
      </c>
      <c r="X268" s="2"/>
      <c r="Y268" s="2"/>
      <c r="Z268" s="2"/>
      <c r="AB268">
        <v>8289</v>
      </c>
      <c r="AC268">
        <v>72167</v>
      </c>
      <c r="AD268" t="s">
        <v>345</v>
      </c>
      <c r="AE268" s="2">
        <v>45708</v>
      </c>
      <c r="AF268">
        <v>1</v>
      </c>
      <c r="AG268" s="17">
        <v>4.1666666666666602E-2</v>
      </c>
      <c r="AH268" s="2">
        <v>45708</v>
      </c>
    </row>
    <row r="269" spans="1:34" hidden="1" x14ac:dyDescent="0.25">
      <c r="A269" s="12">
        <v>8289</v>
      </c>
      <c r="B269" s="12">
        <v>0</v>
      </c>
      <c r="C269" t="s">
        <v>224</v>
      </c>
      <c r="E269" s="8"/>
      <c r="F269" s="12">
        <v>28</v>
      </c>
      <c r="G269" s="8" t="s">
        <v>42</v>
      </c>
      <c r="H269" s="12">
        <v>3203</v>
      </c>
      <c r="I269" t="s">
        <v>47</v>
      </c>
      <c r="K269" t="s">
        <v>63</v>
      </c>
      <c r="N269" s="12"/>
      <c r="O269" s="8"/>
      <c r="Q269" s="8"/>
      <c r="R269" s="12"/>
      <c r="S269" s="8"/>
      <c r="T269" s="12"/>
      <c r="U269" s="8"/>
      <c r="V269" s="2">
        <v>45691</v>
      </c>
      <c r="W269" s="2">
        <v>45691</v>
      </c>
      <c r="X269" s="2"/>
      <c r="Y269" s="2"/>
      <c r="Z269" s="2"/>
      <c r="AB269">
        <v>8289</v>
      </c>
      <c r="AC269">
        <v>72152</v>
      </c>
      <c r="AD269" t="s">
        <v>345</v>
      </c>
      <c r="AE269" s="2">
        <v>45708</v>
      </c>
      <c r="AF269">
        <v>1.5</v>
      </c>
      <c r="AG269" s="17">
        <v>6.25E-2</v>
      </c>
      <c r="AH269" s="2">
        <v>45708</v>
      </c>
    </row>
    <row r="270" spans="1:34" hidden="1" x14ac:dyDescent="0.25">
      <c r="A270" s="12">
        <v>8289</v>
      </c>
      <c r="B270" s="12">
        <v>0</v>
      </c>
      <c r="C270" t="s">
        <v>224</v>
      </c>
      <c r="E270" s="8"/>
      <c r="F270" s="12">
        <v>28</v>
      </c>
      <c r="G270" s="8" t="s">
        <v>42</v>
      </c>
      <c r="H270" s="12">
        <v>3203</v>
      </c>
      <c r="I270" t="s">
        <v>47</v>
      </c>
      <c r="K270" t="s">
        <v>63</v>
      </c>
      <c r="N270" s="12"/>
      <c r="O270" s="8"/>
      <c r="Q270" s="8"/>
      <c r="R270" s="12"/>
      <c r="S270" s="8"/>
      <c r="T270" s="12"/>
      <c r="U270" s="8"/>
      <c r="V270" s="2">
        <v>45691</v>
      </c>
      <c r="W270" s="2">
        <v>45691</v>
      </c>
      <c r="X270" s="2"/>
      <c r="Y270" s="2"/>
      <c r="Z270" s="2"/>
      <c r="AB270">
        <v>8289</v>
      </c>
      <c r="AC270">
        <v>72040</v>
      </c>
      <c r="AD270" t="s">
        <v>625</v>
      </c>
      <c r="AE270" s="2">
        <v>45708</v>
      </c>
      <c r="AF270">
        <v>1.5</v>
      </c>
      <c r="AG270" s="17">
        <v>6.25E-2</v>
      </c>
      <c r="AH270" s="2">
        <v>45708</v>
      </c>
    </row>
    <row r="271" spans="1:34" hidden="1" x14ac:dyDescent="0.25">
      <c r="A271" s="12">
        <v>8289</v>
      </c>
      <c r="B271" s="12">
        <v>0</v>
      </c>
      <c r="C271" t="s">
        <v>224</v>
      </c>
      <c r="E271" s="8"/>
      <c r="F271" s="12">
        <v>28</v>
      </c>
      <c r="G271" s="8" t="s">
        <v>42</v>
      </c>
      <c r="H271" s="12">
        <v>3203</v>
      </c>
      <c r="I271" t="s">
        <v>47</v>
      </c>
      <c r="K271" t="s">
        <v>63</v>
      </c>
      <c r="N271" s="12"/>
      <c r="O271" s="8"/>
      <c r="Q271" s="8"/>
      <c r="R271" s="12"/>
      <c r="S271" s="8"/>
      <c r="T271" s="12"/>
      <c r="U271" s="8"/>
      <c r="V271" s="2">
        <v>45691</v>
      </c>
      <c r="W271" s="2">
        <v>45691</v>
      </c>
      <c r="X271" s="2"/>
      <c r="Y271" s="2"/>
      <c r="Z271" s="2"/>
      <c r="AB271">
        <v>8289</v>
      </c>
      <c r="AC271">
        <v>72156</v>
      </c>
      <c r="AD271" t="s">
        <v>345</v>
      </c>
      <c r="AE271" s="2">
        <v>45707</v>
      </c>
      <c r="AF271">
        <v>2</v>
      </c>
      <c r="AG271" s="17">
        <v>8.3333333333333301E-2</v>
      </c>
      <c r="AH271" s="2">
        <v>45708</v>
      </c>
    </row>
    <row r="272" spans="1:34" hidden="1" x14ac:dyDescent="0.25">
      <c r="A272" s="12">
        <v>8289</v>
      </c>
      <c r="B272" s="12">
        <v>0</v>
      </c>
      <c r="C272" t="s">
        <v>224</v>
      </c>
      <c r="E272" s="8"/>
      <c r="F272" s="12">
        <v>28</v>
      </c>
      <c r="G272" s="8" t="s">
        <v>42</v>
      </c>
      <c r="H272" s="12">
        <v>3203</v>
      </c>
      <c r="I272" t="s">
        <v>47</v>
      </c>
      <c r="K272" t="s">
        <v>63</v>
      </c>
      <c r="N272" s="12"/>
      <c r="O272" s="8"/>
      <c r="Q272" s="8"/>
      <c r="R272" s="12"/>
      <c r="S272" s="8"/>
      <c r="T272" s="12"/>
      <c r="U272" s="8"/>
      <c r="V272" s="2">
        <v>45691</v>
      </c>
      <c r="W272" s="2">
        <v>45691</v>
      </c>
      <c r="X272" s="2"/>
      <c r="Y272" s="2"/>
      <c r="Z272" s="2"/>
      <c r="AB272">
        <v>8289</v>
      </c>
      <c r="AC272">
        <v>72153</v>
      </c>
      <c r="AD272" t="s">
        <v>345</v>
      </c>
      <c r="AE272" s="2">
        <v>45707</v>
      </c>
      <c r="AF272">
        <v>7</v>
      </c>
      <c r="AG272" s="17">
        <v>0.29166666666666602</v>
      </c>
      <c r="AH272" s="2">
        <v>45708</v>
      </c>
    </row>
    <row r="273" spans="1:34" hidden="1" x14ac:dyDescent="0.25">
      <c r="A273" s="12">
        <v>8289</v>
      </c>
      <c r="B273" s="12">
        <v>0</v>
      </c>
      <c r="C273" t="s">
        <v>224</v>
      </c>
      <c r="E273" s="8"/>
      <c r="F273" s="12">
        <v>28</v>
      </c>
      <c r="G273" s="8" t="s">
        <v>42</v>
      </c>
      <c r="H273" s="12">
        <v>3203</v>
      </c>
      <c r="I273" t="s">
        <v>47</v>
      </c>
      <c r="K273" t="s">
        <v>63</v>
      </c>
      <c r="N273" s="12"/>
      <c r="O273" s="8"/>
      <c r="Q273" s="8"/>
      <c r="R273" s="12"/>
      <c r="S273" s="8"/>
      <c r="T273" s="12"/>
      <c r="U273" s="8"/>
      <c r="V273" s="2">
        <v>45691</v>
      </c>
      <c r="W273" s="2">
        <v>45691</v>
      </c>
      <c r="X273" s="2"/>
      <c r="Y273" s="2"/>
      <c r="Z273" s="2"/>
      <c r="AB273">
        <v>8289</v>
      </c>
      <c r="AC273">
        <v>72172</v>
      </c>
      <c r="AD273" t="s">
        <v>345</v>
      </c>
      <c r="AE273" s="2">
        <v>45706</v>
      </c>
      <c r="AF273">
        <v>1</v>
      </c>
      <c r="AG273" s="17">
        <v>4.1666666666666602E-2</v>
      </c>
      <c r="AH273" s="2">
        <v>45708</v>
      </c>
    </row>
    <row r="274" spans="1:34" hidden="1" x14ac:dyDescent="0.25">
      <c r="A274" s="12">
        <v>8289</v>
      </c>
      <c r="B274" s="12">
        <v>0</v>
      </c>
      <c r="C274" t="s">
        <v>224</v>
      </c>
      <c r="E274" s="8"/>
      <c r="F274" s="12">
        <v>28</v>
      </c>
      <c r="G274" s="8" t="s">
        <v>42</v>
      </c>
      <c r="H274" s="12">
        <v>3203</v>
      </c>
      <c r="I274" t="s">
        <v>47</v>
      </c>
      <c r="K274" t="s">
        <v>63</v>
      </c>
      <c r="N274" s="12"/>
      <c r="O274" s="8"/>
      <c r="Q274" s="8"/>
      <c r="R274" s="12"/>
      <c r="S274" s="8"/>
      <c r="T274" s="12"/>
      <c r="U274" s="8"/>
      <c r="V274" s="2">
        <v>45691</v>
      </c>
      <c r="W274" s="2">
        <v>45691</v>
      </c>
      <c r="X274" s="2"/>
      <c r="Y274" s="2"/>
      <c r="Z274" s="2"/>
      <c r="AB274">
        <v>8289</v>
      </c>
      <c r="AC274">
        <v>72171</v>
      </c>
      <c r="AD274" t="s">
        <v>345</v>
      </c>
      <c r="AE274" s="2">
        <v>45706</v>
      </c>
      <c r="AF274">
        <v>2</v>
      </c>
      <c r="AG274" s="17">
        <v>8.3333333333333301E-2</v>
      </c>
      <c r="AH274" s="2">
        <v>45708</v>
      </c>
    </row>
    <row r="275" spans="1:34" hidden="1" x14ac:dyDescent="0.25">
      <c r="A275" s="12">
        <v>8289</v>
      </c>
      <c r="B275" s="12">
        <v>0</v>
      </c>
      <c r="C275" t="s">
        <v>224</v>
      </c>
      <c r="E275" s="8"/>
      <c r="F275" s="12">
        <v>28</v>
      </c>
      <c r="G275" s="8" t="s">
        <v>42</v>
      </c>
      <c r="H275" s="12">
        <v>3203</v>
      </c>
      <c r="I275" t="s">
        <v>47</v>
      </c>
      <c r="K275" t="s">
        <v>63</v>
      </c>
      <c r="N275" s="12"/>
      <c r="O275" s="8"/>
      <c r="Q275" s="8"/>
      <c r="R275" s="12"/>
      <c r="S275" s="8"/>
      <c r="T275" s="12"/>
      <c r="U275" s="8"/>
      <c r="V275" s="2">
        <v>45691</v>
      </c>
      <c r="W275" s="2">
        <v>45691</v>
      </c>
      <c r="X275" s="2"/>
      <c r="Y275" s="2"/>
      <c r="Z275" s="2"/>
      <c r="AB275">
        <v>8289</v>
      </c>
      <c r="AC275">
        <v>71532</v>
      </c>
      <c r="AD275" t="s">
        <v>345</v>
      </c>
      <c r="AE275" s="2">
        <v>45706</v>
      </c>
      <c r="AF275">
        <v>1</v>
      </c>
      <c r="AG275" s="17">
        <v>4.1666666666666602E-2</v>
      </c>
      <c r="AH275" s="2">
        <v>45706</v>
      </c>
    </row>
    <row r="276" spans="1:34" hidden="1" x14ac:dyDescent="0.25">
      <c r="A276" s="12">
        <v>8289</v>
      </c>
      <c r="B276" s="12">
        <v>0</v>
      </c>
      <c r="C276" t="s">
        <v>224</v>
      </c>
      <c r="E276" s="8"/>
      <c r="F276" s="12">
        <v>28</v>
      </c>
      <c r="G276" s="8" t="s">
        <v>42</v>
      </c>
      <c r="H276" s="12">
        <v>3203</v>
      </c>
      <c r="I276" t="s">
        <v>47</v>
      </c>
      <c r="K276" t="s">
        <v>63</v>
      </c>
      <c r="N276" s="12"/>
      <c r="O276" s="8"/>
      <c r="Q276" s="8"/>
      <c r="R276" s="12"/>
      <c r="S276" s="8"/>
      <c r="T276" s="12"/>
      <c r="U276" s="8"/>
      <c r="V276" s="2">
        <v>45691</v>
      </c>
      <c r="W276" s="2">
        <v>45691</v>
      </c>
      <c r="X276" s="2"/>
      <c r="Y276" s="2"/>
      <c r="Z276" s="2"/>
      <c r="AB276">
        <v>8289</v>
      </c>
      <c r="AC276">
        <v>71665</v>
      </c>
      <c r="AD276" t="s">
        <v>345</v>
      </c>
      <c r="AE276" s="2">
        <v>45705</v>
      </c>
      <c r="AF276">
        <v>1</v>
      </c>
      <c r="AG276" s="17">
        <v>4.1666666666666602E-2</v>
      </c>
      <c r="AH276" s="2">
        <v>45706</v>
      </c>
    </row>
    <row r="277" spans="1:34" hidden="1" x14ac:dyDescent="0.25">
      <c r="A277" s="12">
        <v>8289</v>
      </c>
      <c r="B277" s="12">
        <v>0</v>
      </c>
      <c r="C277" t="s">
        <v>224</v>
      </c>
      <c r="E277" s="8"/>
      <c r="F277" s="12">
        <v>28</v>
      </c>
      <c r="G277" s="8" t="s">
        <v>42</v>
      </c>
      <c r="H277" s="12">
        <v>3203</v>
      </c>
      <c r="I277" t="s">
        <v>47</v>
      </c>
      <c r="K277" t="s">
        <v>63</v>
      </c>
      <c r="N277" s="12"/>
      <c r="O277" s="8"/>
      <c r="Q277" s="8"/>
      <c r="R277" s="12"/>
      <c r="S277" s="8"/>
      <c r="T277" s="12"/>
      <c r="U277" s="8"/>
      <c r="V277" s="2">
        <v>45691</v>
      </c>
      <c r="W277" s="2">
        <v>45691</v>
      </c>
      <c r="X277" s="2"/>
      <c r="Y277" s="2"/>
      <c r="Z277" s="2"/>
      <c r="AB277">
        <v>8289</v>
      </c>
      <c r="AC277">
        <v>71390</v>
      </c>
      <c r="AD277" t="s">
        <v>345</v>
      </c>
      <c r="AE277" s="2">
        <v>45705</v>
      </c>
      <c r="AF277">
        <v>0</v>
      </c>
      <c r="AG277" s="17">
        <v>0</v>
      </c>
      <c r="AH277" s="2">
        <v>45705</v>
      </c>
    </row>
    <row r="278" spans="1:34" hidden="1" x14ac:dyDescent="0.25">
      <c r="A278" s="12">
        <v>8289</v>
      </c>
      <c r="B278" s="12">
        <v>0</v>
      </c>
      <c r="C278" t="s">
        <v>224</v>
      </c>
      <c r="E278" s="8"/>
      <c r="F278" s="12">
        <v>28</v>
      </c>
      <c r="G278" s="8" t="s">
        <v>42</v>
      </c>
      <c r="H278" s="12">
        <v>3203</v>
      </c>
      <c r="I278" t="s">
        <v>47</v>
      </c>
      <c r="K278" t="s">
        <v>63</v>
      </c>
      <c r="N278" s="12"/>
      <c r="O278" s="8"/>
      <c r="Q278" s="8"/>
      <c r="R278" s="12"/>
      <c r="S278" s="8"/>
      <c r="T278" s="12"/>
      <c r="U278" s="8"/>
      <c r="V278" s="2">
        <v>45691</v>
      </c>
      <c r="W278" s="2">
        <v>45691</v>
      </c>
      <c r="X278" s="2"/>
      <c r="Y278" s="2"/>
      <c r="Z278" s="2"/>
      <c r="AB278">
        <v>8289</v>
      </c>
      <c r="AC278">
        <v>71384</v>
      </c>
      <c r="AD278" t="s">
        <v>345</v>
      </c>
      <c r="AE278" s="2">
        <v>45705</v>
      </c>
      <c r="AF278">
        <v>1</v>
      </c>
      <c r="AG278" s="17">
        <v>4.1666666666666602E-2</v>
      </c>
      <c r="AH278" s="2">
        <v>45705</v>
      </c>
    </row>
    <row r="279" spans="1:34" hidden="1" x14ac:dyDescent="0.25">
      <c r="A279" s="12">
        <v>8289</v>
      </c>
      <c r="B279" s="12">
        <v>0</v>
      </c>
      <c r="C279" t="s">
        <v>224</v>
      </c>
      <c r="E279" s="8"/>
      <c r="F279" s="12">
        <v>28</v>
      </c>
      <c r="G279" s="8" t="s">
        <v>42</v>
      </c>
      <c r="H279" s="12">
        <v>3203</v>
      </c>
      <c r="I279" t="s">
        <v>47</v>
      </c>
      <c r="K279" t="s">
        <v>63</v>
      </c>
      <c r="N279" s="12"/>
      <c r="O279" s="8"/>
      <c r="Q279" s="8"/>
      <c r="R279" s="12"/>
      <c r="S279" s="8"/>
      <c r="T279" s="12"/>
      <c r="U279" s="8"/>
      <c r="V279" s="2">
        <v>45691</v>
      </c>
      <c r="W279" s="2">
        <v>45691</v>
      </c>
      <c r="X279" s="2"/>
      <c r="Y279" s="2"/>
      <c r="Z279" s="2"/>
      <c r="AB279">
        <v>8289</v>
      </c>
      <c r="AC279">
        <v>71378</v>
      </c>
      <c r="AD279" t="s">
        <v>345</v>
      </c>
      <c r="AE279" s="2">
        <v>45705</v>
      </c>
      <c r="AF279">
        <v>1</v>
      </c>
      <c r="AG279" s="17">
        <v>4.1666666666666602E-2</v>
      </c>
      <c r="AH279" s="2">
        <v>45705</v>
      </c>
    </row>
    <row r="280" spans="1:34" hidden="1" x14ac:dyDescent="0.25">
      <c r="A280" s="12">
        <v>8289</v>
      </c>
      <c r="B280" s="12">
        <v>0</v>
      </c>
      <c r="C280" t="s">
        <v>224</v>
      </c>
      <c r="E280" s="8"/>
      <c r="F280" s="12">
        <v>28</v>
      </c>
      <c r="G280" s="8" t="s">
        <v>42</v>
      </c>
      <c r="H280" s="12">
        <v>3203</v>
      </c>
      <c r="I280" t="s">
        <v>47</v>
      </c>
      <c r="K280" t="s">
        <v>63</v>
      </c>
      <c r="N280" s="12"/>
      <c r="O280" s="8"/>
      <c r="Q280" s="8"/>
      <c r="R280" s="12"/>
      <c r="S280" s="8"/>
      <c r="T280" s="12"/>
      <c r="U280" s="8"/>
      <c r="V280" s="2">
        <v>45691</v>
      </c>
      <c r="W280" s="2">
        <v>45691</v>
      </c>
      <c r="X280" s="2"/>
      <c r="Y280" s="2"/>
      <c r="Z280" s="2"/>
      <c r="AB280">
        <v>8289</v>
      </c>
      <c r="AC280">
        <v>71373</v>
      </c>
      <c r="AD280" t="s">
        <v>345</v>
      </c>
      <c r="AE280" s="2">
        <v>45705</v>
      </c>
      <c r="AF280">
        <v>1</v>
      </c>
      <c r="AG280" s="17">
        <v>4.1666666666666602E-2</v>
      </c>
      <c r="AH280" s="2">
        <v>45705</v>
      </c>
    </row>
    <row r="281" spans="1:34" hidden="1" x14ac:dyDescent="0.25">
      <c r="A281" s="12">
        <v>8289</v>
      </c>
      <c r="B281" s="12">
        <v>0</v>
      </c>
      <c r="C281" t="s">
        <v>224</v>
      </c>
      <c r="E281" s="8"/>
      <c r="F281" s="12">
        <v>28</v>
      </c>
      <c r="G281" s="8" t="s">
        <v>42</v>
      </c>
      <c r="H281" s="12">
        <v>3203</v>
      </c>
      <c r="I281" t="s">
        <v>47</v>
      </c>
      <c r="K281" t="s">
        <v>63</v>
      </c>
      <c r="N281" s="12"/>
      <c r="O281" s="8"/>
      <c r="Q281" s="8"/>
      <c r="R281" s="12"/>
      <c r="S281" s="8"/>
      <c r="T281" s="12"/>
      <c r="U281" s="8"/>
      <c r="V281" s="2">
        <v>45691</v>
      </c>
      <c r="W281" s="2">
        <v>45691</v>
      </c>
      <c r="X281" s="2"/>
      <c r="Y281" s="2"/>
      <c r="Z281" s="2"/>
      <c r="AB281">
        <v>8289</v>
      </c>
      <c r="AC281">
        <v>71366</v>
      </c>
      <c r="AD281" t="s">
        <v>345</v>
      </c>
      <c r="AE281" s="2">
        <v>45705</v>
      </c>
      <c r="AF281">
        <v>2</v>
      </c>
      <c r="AG281" s="17">
        <v>8.3333333333333301E-2</v>
      </c>
      <c r="AH281" s="2">
        <v>45705</v>
      </c>
    </row>
    <row r="282" spans="1:34" hidden="1" x14ac:dyDescent="0.25">
      <c r="A282" s="12">
        <v>8289</v>
      </c>
      <c r="B282" s="12">
        <v>0</v>
      </c>
      <c r="C282" t="s">
        <v>224</v>
      </c>
      <c r="E282" s="8"/>
      <c r="F282" s="12">
        <v>28</v>
      </c>
      <c r="G282" s="8" t="s">
        <v>42</v>
      </c>
      <c r="H282" s="12">
        <v>3203</v>
      </c>
      <c r="I282" t="s">
        <v>47</v>
      </c>
      <c r="K282" t="s">
        <v>63</v>
      </c>
      <c r="N282" s="12"/>
      <c r="O282" s="8"/>
      <c r="Q282" s="8"/>
      <c r="R282" s="12"/>
      <c r="S282" s="8"/>
      <c r="T282" s="12"/>
      <c r="U282" s="8"/>
      <c r="V282" s="2">
        <v>45691</v>
      </c>
      <c r="W282" s="2">
        <v>45691</v>
      </c>
      <c r="X282" s="2"/>
      <c r="Y282" s="2"/>
      <c r="Z282" s="2"/>
      <c r="AB282">
        <v>8289</v>
      </c>
      <c r="AC282">
        <v>71318</v>
      </c>
      <c r="AD282" t="s">
        <v>345</v>
      </c>
      <c r="AE282" s="2">
        <v>45705</v>
      </c>
      <c r="AF282">
        <v>1</v>
      </c>
      <c r="AG282" s="17">
        <v>4.1666666666666602E-2</v>
      </c>
      <c r="AH282" s="2">
        <v>45705</v>
      </c>
    </row>
    <row r="283" spans="1:34" hidden="1" x14ac:dyDescent="0.25">
      <c r="A283" s="12">
        <v>8289</v>
      </c>
      <c r="B283" s="12">
        <v>0</v>
      </c>
      <c r="C283" t="s">
        <v>224</v>
      </c>
      <c r="E283" s="8"/>
      <c r="F283" s="12">
        <v>28</v>
      </c>
      <c r="G283" s="8" t="s">
        <v>42</v>
      </c>
      <c r="H283" s="12">
        <v>3203</v>
      </c>
      <c r="I283" t="s">
        <v>47</v>
      </c>
      <c r="K283" t="s">
        <v>63</v>
      </c>
      <c r="N283" s="12"/>
      <c r="O283" s="8"/>
      <c r="Q283" s="8"/>
      <c r="R283" s="12"/>
      <c r="S283" s="8"/>
      <c r="T283" s="12"/>
      <c r="U283" s="8"/>
      <c r="V283" s="2">
        <v>45691</v>
      </c>
      <c r="W283" s="2">
        <v>45691</v>
      </c>
      <c r="X283" s="2"/>
      <c r="Y283" s="2"/>
      <c r="Z283" s="2"/>
      <c r="AB283">
        <v>8289</v>
      </c>
      <c r="AC283">
        <v>71168</v>
      </c>
      <c r="AD283" t="s">
        <v>345</v>
      </c>
      <c r="AE283" s="2">
        <v>45702</v>
      </c>
      <c r="AF283">
        <v>5</v>
      </c>
      <c r="AG283" s="17">
        <v>0.20833333333333301</v>
      </c>
      <c r="AH283" s="2">
        <v>45705</v>
      </c>
    </row>
    <row r="284" spans="1:34" hidden="1" x14ac:dyDescent="0.25">
      <c r="A284" s="12">
        <v>8289</v>
      </c>
      <c r="B284" s="12">
        <v>0</v>
      </c>
      <c r="C284" t="s">
        <v>224</v>
      </c>
      <c r="E284" s="8"/>
      <c r="F284" s="12">
        <v>28</v>
      </c>
      <c r="G284" s="8" t="s">
        <v>42</v>
      </c>
      <c r="H284" s="12">
        <v>3203</v>
      </c>
      <c r="I284" t="s">
        <v>47</v>
      </c>
      <c r="K284" t="s">
        <v>63</v>
      </c>
      <c r="N284" s="12"/>
      <c r="O284" s="8"/>
      <c r="Q284" s="8"/>
      <c r="R284" s="12"/>
      <c r="S284" s="8"/>
      <c r="T284" s="12"/>
      <c r="U284" s="8"/>
      <c r="V284" s="2">
        <v>45691</v>
      </c>
      <c r="W284" s="2">
        <v>45691</v>
      </c>
      <c r="X284" s="2"/>
      <c r="Y284" s="2"/>
      <c r="Z284" s="2"/>
      <c r="AB284">
        <v>8289</v>
      </c>
      <c r="AC284">
        <v>70386</v>
      </c>
      <c r="AD284" t="s">
        <v>345</v>
      </c>
      <c r="AE284" s="2">
        <v>45702</v>
      </c>
      <c r="AF284">
        <v>1</v>
      </c>
      <c r="AG284" s="17">
        <v>4.1666666666666602E-2</v>
      </c>
      <c r="AH284" s="2">
        <v>45702</v>
      </c>
    </row>
    <row r="285" spans="1:34" hidden="1" x14ac:dyDescent="0.25">
      <c r="A285" s="12">
        <v>8289</v>
      </c>
      <c r="B285" s="12">
        <v>0</v>
      </c>
      <c r="C285" t="s">
        <v>224</v>
      </c>
      <c r="E285" s="8"/>
      <c r="F285" s="12">
        <v>28</v>
      </c>
      <c r="G285" s="8" t="s">
        <v>42</v>
      </c>
      <c r="H285" s="12">
        <v>3203</v>
      </c>
      <c r="I285" t="s">
        <v>47</v>
      </c>
      <c r="K285" t="s">
        <v>63</v>
      </c>
      <c r="N285" s="12"/>
      <c r="O285" s="8"/>
      <c r="Q285" s="8"/>
      <c r="R285" s="12"/>
      <c r="S285" s="8"/>
      <c r="T285" s="12"/>
      <c r="U285" s="8"/>
      <c r="V285" s="2">
        <v>45691</v>
      </c>
      <c r="W285" s="2">
        <v>45691</v>
      </c>
      <c r="X285" s="2"/>
      <c r="Y285" s="2"/>
      <c r="Z285" s="2"/>
      <c r="AB285">
        <v>8289</v>
      </c>
      <c r="AC285">
        <v>70385</v>
      </c>
      <c r="AD285" t="s">
        <v>345</v>
      </c>
      <c r="AE285" s="2">
        <v>45702</v>
      </c>
      <c r="AF285">
        <v>1</v>
      </c>
      <c r="AG285" s="17">
        <v>4.1666666666666602E-2</v>
      </c>
      <c r="AH285" s="2">
        <v>45702</v>
      </c>
    </row>
    <row r="286" spans="1:34" hidden="1" x14ac:dyDescent="0.25">
      <c r="A286" s="12">
        <v>8289</v>
      </c>
      <c r="B286" s="12">
        <v>0</v>
      </c>
      <c r="C286" t="s">
        <v>224</v>
      </c>
      <c r="E286" s="8"/>
      <c r="F286" s="12">
        <v>28</v>
      </c>
      <c r="G286" s="8" t="s">
        <v>42</v>
      </c>
      <c r="H286" s="12">
        <v>3203</v>
      </c>
      <c r="I286" t="s">
        <v>47</v>
      </c>
      <c r="K286" t="s">
        <v>63</v>
      </c>
      <c r="N286" s="12"/>
      <c r="O286" s="8"/>
      <c r="Q286" s="8"/>
      <c r="R286" s="12"/>
      <c r="S286" s="8"/>
      <c r="T286" s="12"/>
      <c r="U286" s="8"/>
      <c r="V286" s="2">
        <v>45691</v>
      </c>
      <c r="W286" s="2">
        <v>45691</v>
      </c>
      <c r="X286" s="2"/>
      <c r="Y286" s="2"/>
      <c r="Z286" s="2"/>
      <c r="AB286">
        <v>8289</v>
      </c>
      <c r="AC286">
        <v>70325</v>
      </c>
      <c r="AD286" t="s">
        <v>345</v>
      </c>
      <c r="AE286" s="2">
        <v>45702</v>
      </c>
      <c r="AF286">
        <v>1</v>
      </c>
      <c r="AG286" s="17">
        <v>4.1666666666666602E-2</v>
      </c>
      <c r="AH286" s="2">
        <v>45702</v>
      </c>
    </row>
    <row r="287" spans="1:34" hidden="1" x14ac:dyDescent="0.25">
      <c r="A287" s="12">
        <v>8289</v>
      </c>
      <c r="B287" s="12">
        <v>0</v>
      </c>
      <c r="C287" t="s">
        <v>224</v>
      </c>
      <c r="E287" s="8"/>
      <c r="F287" s="12">
        <v>28</v>
      </c>
      <c r="G287" s="8" t="s">
        <v>42</v>
      </c>
      <c r="H287" s="12">
        <v>3203</v>
      </c>
      <c r="I287" t="s">
        <v>47</v>
      </c>
      <c r="K287" t="s">
        <v>63</v>
      </c>
      <c r="N287" s="12"/>
      <c r="O287" s="8"/>
      <c r="Q287" s="8"/>
      <c r="R287" s="12"/>
      <c r="S287" s="8"/>
      <c r="T287" s="12"/>
      <c r="U287" s="8"/>
      <c r="V287" s="2">
        <v>45691</v>
      </c>
      <c r="W287" s="2">
        <v>45691</v>
      </c>
      <c r="X287" s="2"/>
      <c r="Y287" s="2"/>
      <c r="Z287" s="2"/>
      <c r="AB287">
        <v>8289</v>
      </c>
      <c r="AC287">
        <v>70155</v>
      </c>
      <c r="AD287" t="s">
        <v>345</v>
      </c>
      <c r="AE287" s="2">
        <v>45701</v>
      </c>
      <c r="AF287">
        <v>4</v>
      </c>
      <c r="AG287" s="17">
        <v>0.16666666666666599</v>
      </c>
      <c r="AH287" s="2">
        <v>45701</v>
      </c>
    </row>
    <row r="288" spans="1:34" hidden="1" x14ac:dyDescent="0.25">
      <c r="A288" s="12">
        <v>8289</v>
      </c>
      <c r="B288" s="12">
        <v>0</v>
      </c>
      <c r="C288" t="s">
        <v>224</v>
      </c>
      <c r="E288" s="8"/>
      <c r="F288" s="12">
        <v>28</v>
      </c>
      <c r="G288" s="8" t="s">
        <v>42</v>
      </c>
      <c r="H288" s="12">
        <v>3203</v>
      </c>
      <c r="I288" t="s">
        <v>47</v>
      </c>
      <c r="K288" t="s">
        <v>63</v>
      </c>
      <c r="N288" s="12"/>
      <c r="O288" s="8"/>
      <c r="Q288" s="8"/>
      <c r="R288" s="12"/>
      <c r="S288" s="8"/>
      <c r="T288" s="12"/>
      <c r="U288" s="8"/>
      <c r="V288" s="2">
        <v>45691</v>
      </c>
      <c r="W288" s="2">
        <v>45691</v>
      </c>
      <c r="X288" s="2"/>
      <c r="Y288" s="2"/>
      <c r="Z288" s="2"/>
      <c r="AB288">
        <v>8289</v>
      </c>
      <c r="AC288">
        <v>70152</v>
      </c>
      <c r="AD288" t="s">
        <v>345</v>
      </c>
      <c r="AE288" s="2">
        <v>45701</v>
      </c>
      <c r="AF288">
        <v>2</v>
      </c>
      <c r="AG288" s="17">
        <v>8.3333333333333301E-2</v>
      </c>
      <c r="AH288" s="2">
        <v>45701</v>
      </c>
    </row>
    <row r="289" spans="1:34" hidden="1" x14ac:dyDescent="0.25">
      <c r="A289" s="12">
        <v>8289</v>
      </c>
      <c r="B289" s="12">
        <v>0</v>
      </c>
      <c r="C289" t="s">
        <v>224</v>
      </c>
      <c r="E289" s="8"/>
      <c r="F289" s="12">
        <v>28</v>
      </c>
      <c r="G289" s="8" t="s">
        <v>42</v>
      </c>
      <c r="H289" s="12">
        <v>3203</v>
      </c>
      <c r="I289" t="s">
        <v>47</v>
      </c>
      <c r="K289" t="s">
        <v>63</v>
      </c>
      <c r="N289" s="12"/>
      <c r="O289" s="8"/>
      <c r="Q289" s="8"/>
      <c r="R289" s="12"/>
      <c r="S289" s="8"/>
      <c r="T289" s="12"/>
      <c r="U289" s="8"/>
      <c r="V289" s="2">
        <v>45691</v>
      </c>
      <c r="W289" s="2">
        <v>45691</v>
      </c>
      <c r="X289" s="2"/>
      <c r="Y289" s="2"/>
      <c r="Z289" s="2"/>
      <c r="AB289">
        <v>8289</v>
      </c>
      <c r="AC289">
        <v>70065</v>
      </c>
      <c r="AD289" t="s">
        <v>345</v>
      </c>
      <c r="AE289" s="2">
        <v>45701</v>
      </c>
      <c r="AF289">
        <v>1</v>
      </c>
      <c r="AG289" s="17">
        <v>4.1666666666666602E-2</v>
      </c>
      <c r="AH289" s="2">
        <v>45701</v>
      </c>
    </row>
    <row r="290" spans="1:34" hidden="1" x14ac:dyDescent="0.25">
      <c r="A290" s="12">
        <v>8289</v>
      </c>
      <c r="B290" s="12">
        <v>0</v>
      </c>
      <c r="C290" t="s">
        <v>224</v>
      </c>
      <c r="E290" s="8"/>
      <c r="F290" s="12">
        <v>28</v>
      </c>
      <c r="G290" s="8" t="s">
        <v>42</v>
      </c>
      <c r="H290" s="12">
        <v>3203</v>
      </c>
      <c r="I290" t="s">
        <v>47</v>
      </c>
      <c r="K290" t="s">
        <v>63</v>
      </c>
      <c r="N290" s="12"/>
      <c r="O290" s="8"/>
      <c r="Q290" s="8"/>
      <c r="R290" s="12"/>
      <c r="S290" s="8"/>
      <c r="T290" s="12"/>
      <c r="U290" s="8"/>
      <c r="V290" s="2">
        <v>45691</v>
      </c>
      <c r="W290" s="2">
        <v>45691</v>
      </c>
      <c r="X290" s="2"/>
      <c r="Y290" s="2"/>
      <c r="Z290" s="2"/>
      <c r="AB290">
        <v>8289</v>
      </c>
      <c r="AC290">
        <v>70064</v>
      </c>
      <c r="AD290" t="s">
        <v>345</v>
      </c>
      <c r="AE290" s="2">
        <v>45701</v>
      </c>
      <c r="AF290">
        <v>1</v>
      </c>
      <c r="AG290" s="17">
        <v>4.1666666666666602E-2</v>
      </c>
      <c r="AH290" s="2">
        <v>45701</v>
      </c>
    </row>
    <row r="291" spans="1:34" hidden="1" x14ac:dyDescent="0.25">
      <c r="A291" s="12">
        <v>8289</v>
      </c>
      <c r="B291" s="12">
        <v>0</v>
      </c>
      <c r="C291" t="s">
        <v>224</v>
      </c>
      <c r="E291" s="8"/>
      <c r="F291" s="12">
        <v>28</v>
      </c>
      <c r="G291" s="8" t="s">
        <v>42</v>
      </c>
      <c r="H291" s="12">
        <v>3203</v>
      </c>
      <c r="I291" t="s">
        <v>47</v>
      </c>
      <c r="K291" t="s">
        <v>63</v>
      </c>
      <c r="N291" s="12"/>
      <c r="O291" s="8"/>
      <c r="Q291" s="8"/>
      <c r="R291" s="12"/>
      <c r="S291" s="8"/>
      <c r="T291" s="12"/>
      <c r="U291" s="8"/>
      <c r="V291" s="2">
        <v>45691</v>
      </c>
      <c r="W291" s="2">
        <v>45691</v>
      </c>
      <c r="X291" s="2"/>
      <c r="Y291" s="2"/>
      <c r="Z291" s="2"/>
      <c r="AB291">
        <v>8289</v>
      </c>
      <c r="AC291">
        <v>70063</v>
      </c>
      <c r="AD291" t="s">
        <v>345</v>
      </c>
      <c r="AE291" s="2">
        <v>45701</v>
      </c>
      <c r="AF291">
        <v>1</v>
      </c>
      <c r="AG291" s="17">
        <v>4.1666666666666602E-2</v>
      </c>
      <c r="AH291" s="2">
        <v>45701</v>
      </c>
    </row>
    <row r="292" spans="1:34" hidden="1" x14ac:dyDescent="0.25">
      <c r="A292" s="12">
        <v>8289</v>
      </c>
      <c r="B292" s="12">
        <v>0</v>
      </c>
      <c r="C292" t="s">
        <v>224</v>
      </c>
      <c r="E292" s="8"/>
      <c r="F292" s="12">
        <v>28</v>
      </c>
      <c r="G292" s="8" t="s">
        <v>42</v>
      </c>
      <c r="H292" s="12">
        <v>3203</v>
      </c>
      <c r="I292" t="s">
        <v>47</v>
      </c>
      <c r="K292" t="s">
        <v>63</v>
      </c>
      <c r="N292" s="12"/>
      <c r="O292" s="8"/>
      <c r="Q292" s="8"/>
      <c r="R292" s="12"/>
      <c r="S292" s="8"/>
      <c r="T292" s="12"/>
      <c r="U292" s="8"/>
      <c r="V292" s="2">
        <v>45691</v>
      </c>
      <c r="W292" s="2">
        <v>45691</v>
      </c>
      <c r="X292" s="2"/>
      <c r="Y292" s="2"/>
      <c r="Z292" s="2"/>
      <c r="AB292">
        <v>8289</v>
      </c>
      <c r="AC292">
        <v>70041</v>
      </c>
      <c r="AD292" t="s">
        <v>345</v>
      </c>
      <c r="AE292" s="2">
        <v>45700</v>
      </c>
      <c r="AF292">
        <v>1</v>
      </c>
      <c r="AG292" s="17">
        <v>4.1666666666666602E-2</v>
      </c>
      <c r="AH292" s="2">
        <v>45701</v>
      </c>
    </row>
    <row r="293" spans="1:34" hidden="1" x14ac:dyDescent="0.25">
      <c r="A293" s="12">
        <v>8289</v>
      </c>
      <c r="B293" s="12">
        <v>0</v>
      </c>
      <c r="C293" t="s">
        <v>224</v>
      </c>
      <c r="E293" s="8"/>
      <c r="F293" s="12">
        <v>28</v>
      </c>
      <c r="G293" s="8" t="s">
        <v>42</v>
      </c>
      <c r="H293" s="12">
        <v>3203</v>
      </c>
      <c r="I293" t="s">
        <v>47</v>
      </c>
      <c r="K293" t="s">
        <v>63</v>
      </c>
      <c r="N293" s="12"/>
      <c r="O293" s="8"/>
      <c r="Q293" s="8"/>
      <c r="R293" s="12"/>
      <c r="S293" s="8"/>
      <c r="T293" s="12"/>
      <c r="U293" s="8"/>
      <c r="V293" s="2">
        <v>45691</v>
      </c>
      <c r="W293" s="2">
        <v>45691</v>
      </c>
      <c r="X293" s="2"/>
      <c r="Y293" s="2"/>
      <c r="Z293" s="2"/>
      <c r="AB293">
        <v>8289</v>
      </c>
      <c r="AC293">
        <v>69869</v>
      </c>
      <c r="AD293" t="s">
        <v>345</v>
      </c>
      <c r="AE293" s="2">
        <v>45700</v>
      </c>
      <c r="AF293">
        <v>3</v>
      </c>
      <c r="AG293" s="17">
        <v>0.125</v>
      </c>
      <c r="AH293" s="2">
        <v>45700</v>
      </c>
    </row>
    <row r="294" spans="1:34" hidden="1" x14ac:dyDescent="0.25">
      <c r="A294" s="12">
        <v>8289</v>
      </c>
      <c r="B294" s="12">
        <v>0</v>
      </c>
      <c r="C294" t="s">
        <v>224</v>
      </c>
      <c r="E294" s="8"/>
      <c r="F294" s="12">
        <v>28</v>
      </c>
      <c r="G294" s="8" t="s">
        <v>42</v>
      </c>
      <c r="H294" s="12">
        <v>3203</v>
      </c>
      <c r="I294" t="s">
        <v>47</v>
      </c>
      <c r="K294" t="s">
        <v>63</v>
      </c>
      <c r="N294" s="12"/>
      <c r="O294" s="8"/>
      <c r="Q294" s="8"/>
      <c r="R294" s="12"/>
      <c r="S294" s="8"/>
      <c r="T294" s="12"/>
      <c r="U294" s="8"/>
      <c r="V294" s="2">
        <v>45691</v>
      </c>
      <c r="W294" s="2">
        <v>45691</v>
      </c>
      <c r="X294" s="2"/>
      <c r="Y294" s="2"/>
      <c r="Z294" s="2"/>
      <c r="AB294">
        <v>8289</v>
      </c>
      <c r="AC294">
        <v>69861</v>
      </c>
      <c r="AD294" t="s">
        <v>345</v>
      </c>
      <c r="AE294" s="2">
        <v>45700</v>
      </c>
      <c r="AF294">
        <v>2</v>
      </c>
      <c r="AG294" s="17">
        <v>8.3333333333333301E-2</v>
      </c>
      <c r="AH294" s="2">
        <v>45700</v>
      </c>
    </row>
    <row r="295" spans="1:34" hidden="1" x14ac:dyDescent="0.25">
      <c r="A295" s="12">
        <v>8289</v>
      </c>
      <c r="B295" s="12">
        <v>0</v>
      </c>
      <c r="C295" t="s">
        <v>224</v>
      </c>
      <c r="E295" s="8"/>
      <c r="F295" s="12">
        <v>28</v>
      </c>
      <c r="G295" s="8" t="s">
        <v>42</v>
      </c>
      <c r="H295" s="12">
        <v>3203</v>
      </c>
      <c r="I295" t="s">
        <v>47</v>
      </c>
      <c r="K295" t="s">
        <v>63</v>
      </c>
      <c r="N295" s="12"/>
      <c r="O295" s="8"/>
      <c r="Q295" s="8"/>
      <c r="R295" s="12"/>
      <c r="S295" s="8"/>
      <c r="T295" s="12"/>
      <c r="U295" s="8"/>
      <c r="V295" s="2">
        <v>45691</v>
      </c>
      <c r="W295" s="2">
        <v>45691</v>
      </c>
      <c r="X295" s="2"/>
      <c r="Y295" s="2"/>
      <c r="Z295" s="2"/>
      <c r="AB295">
        <v>8289</v>
      </c>
      <c r="AC295">
        <v>69857</v>
      </c>
      <c r="AD295" t="s">
        <v>345</v>
      </c>
      <c r="AE295" s="2">
        <v>45700</v>
      </c>
      <c r="AF295">
        <v>2</v>
      </c>
      <c r="AG295" s="17">
        <v>8.3333333333333301E-2</v>
      </c>
      <c r="AH295" s="2">
        <v>45700</v>
      </c>
    </row>
    <row r="296" spans="1:34" hidden="1" x14ac:dyDescent="0.25">
      <c r="A296" s="12">
        <v>8289</v>
      </c>
      <c r="B296" s="12">
        <v>0</v>
      </c>
      <c r="C296" t="s">
        <v>224</v>
      </c>
      <c r="E296" s="8"/>
      <c r="F296" s="12">
        <v>28</v>
      </c>
      <c r="G296" s="8" t="s">
        <v>42</v>
      </c>
      <c r="H296" s="12">
        <v>3203</v>
      </c>
      <c r="I296" t="s">
        <v>47</v>
      </c>
      <c r="K296" t="s">
        <v>63</v>
      </c>
      <c r="N296" s="12"/>
      <c r="O296" s="8"/>
      <c r="Q296" s="8"/>
      <c r="R296" s="12"/>
      <c r="S296" s="8"/>
      <c r="T296" s="12"/>
      <c r="U296" s="8"/>
      <c r="V296" s="2">
        <v>45691</v>
      </c>
      <c r="W296" s="2">
        <v>45691</v>
      </c>
      <c r="X296" s="2"/>
      <c r="Y296" s="2"/>
      <c r="Z296" s="2"/>
      <c r="AB296">
        <v>8289</v>
      </c>
      <c r="AC296">
        <v>69856</v>
      </c>
      <c r="AD296" t="s">
        <v>345</v>
      </c>
      <c r="AE296" s="2">
        <v>45700</v>
      </c>
      <c r="AF296">
        <v>0</v>
      </c>
      <c r="AG296" s="17">
        <v>0</v>
      </c>
      <c r="AH296" s="2">
        <v>45700</v>
      </c>
    </row>
    <row r="297" spans="1:34" hidden="1" x14ac:dyDescent="0.25">
      <c r="A297" s="12">
        <v>8289</v>
      </c>
      <c r="B297" s="12">
        <v>0</v>
      </c>
      <c r="C297" t="s">
        <v>224</v>
      </c>
      <c r="E297" s="8"/>
      <c r="F297" s="12">
        <v>28</v>
      </c>
      <c r="G297" s="8" t="s">
        <v>42</v>
      </c>
      <c r="H297" s="12">
        <v>3203</v>
      </c>
      <c r="I297" t="s">
        <v>47</v>
      </c>
      <c r="K297" t="s">
        <v>63</v>
      </c>
      <c r="N297" s="12"/>
      <c r="O297" s="8"/>
      <c r="Q297" s="8"/>
      <c r="R297" s="12"/>
      <c r="S297" s="8"/>
      <c r="T297" s="12"/>
      <c r="U297" s="8"/>
      <c r="V297" s="2">
        <v>45691</v>
      </c>
      <c r="W297" s="2">
        <v>45691</v>
      </c>
      <c r="X297" s="2"/>
      <c r="Y297" s="2"/>
      <c r="Z297" s="2"/>
      <c r="AB297">
        <v>8289</v>
      </c>
      <c r="AC297">
        <v>69855</v>
      </c>
      <c r="AD297" t="s">
        <v>345</v>
      </c>
      <c r="AE297" s="2">
        <v>45700</v>
      </c>
      <c r="AF297">
        <v>1</v>
      </c>
      <c r="AG297" s="17">
        <v>4.1666666666666602E-2</v>
      </c>
      <c r="AH297" s="2">
        <v>45700</v>
      </c>
    </row>
    <row r="298" spans="1:34" hidden="1" x14ac:dyDescent="0.25">
      <c r="A298" s="12">
        <v>8289</v>
      </c>
      <c r="B298" s="12">
        <v>0</v>
      </c>
      <c r="C298" t="s">
        <v>224</v>
      </c>
      <c r="E298" s="8"/>
      <c r="F298" s="12">
        <v>28</v>
      </c>
      <c r="G298" s="8" t="s">
        <v>42</v>
      </c>
      <c r="H298" s="12">
        <v>3203</v>
      </c>
      <c r="I298" t="s">
        <v>47</v>
      </c>
      <c r="K298" t="s">
        <v>63</v>
      </c>
      <c r="N298" s="12"/>
      <c r="O298" s="8"/>
      <c r="Q298" s="8"/>
      <c r="R298" s="12"/>
      <c r="S298" s="8"/>
      <c r="T298" s="12"/>
      <c r="U298" s="8"/>
      <c r="V298" s="2">
        <v>45691</v>
      </c>
      <c r="W298" s="2">
        <v>45691</v>
      </c>
      <c r="X298" s="2"/>
      <c r="Y298" s="2"/>
      <c r="Z298" s="2"/>
      <c r="AB298">
        <v>8289</v>
      </c>
      <c r="AC298">
        <v>69561</v>
      </c>
      <c r="AD298" t="s">
        <v>345</v>
      </c>
      <c r="AE298" s="2">
        <v>45699</v>
      </c>
      <c r="AF298">
        <v>2</v>
      </c>
      <c r="AG298" s="17">
        <v>8.3333333333333301E-2</v>
      </c>
      <c r="AH298" s="2">
        <v>45699</v>
      </c>
    </row>
    <row r="299" spans="1:34" hidden="1" x14ac:dyDescent="0.25">
      <c r="A299" s="12">
        <v>8289</v>
      </c>
      <c r="B299" s="12">
        <v>0</v>
      </c>
      <c r="C299" t="s">
        <v>224</v>
      </c>
      <c r="E299" s="8"/>
      <c r="F299" s="12">
        <v>28</v>
      </c>
      <c r="G299" s="8" t="s">
        <v>42</v>
      </c>
      <c r="H299" s="12">
        <v>3203</v>
      </c>
      <c r="I299" t="s">
        <v>47</v>
      </c>
      <c r="K299" t="s">
        <v>63</v>
      </c>
      <c r="N299" s="12"/>
      <c r="O299" s="8"/>
      <c r="Q299" s="8"/>
      <c r="R299" s="12"/>
      <c r="S299" s="8"/>
      <c r="T299" s="12"/>
      <c r="U299" s="8"/>
      <c r="V299" s="2">
        <v>45691</v>
      </c>
      <c r="W299" s="2">
        <v>45691</v>
      </c>
      <c r="X299" s="2"/>
      <c r="Y299" s="2"/>
      <c r="Z299" s="2"/>
      <c r="AB299">
        <v>8289</v>
      </c>
      <c r="AC299">
        <v>69474</v>
      </c>
      <c r="AD299" t="s">
        <v>345</v>
      </c>
      <c r="AE299" s="2">
        <v>45699</v>
      </c>
      <c r="AF299">
        <v>2</v>
      </c>
      <c r="AG299" s="17">
        <v>8.3333333333333301E-2</v>
      </c>
      <c r="AH299" s="2">
        <v>45699</v>
      </c>
    </row>
    <row r="300" spans="1:34" hidden="1" x14ac:dyDescent="0.25">
      <c r="A300" s="12">
        <v>8289</v>
      </c>
      <c r="B300" s="12">
        <v>0</v>
      </c>
      <c r="C300" t="s">
        <v>224</v>
      </c>
      <c r="E300" s="8"/>
      <c r="F300" s="12">
        <v>28</v>
      </c>
      <c r="G300" s="8" t="s">
        <v>42</v>
      </c>
      <c r="H300" s="12">
        <v>3203</v>
      </c>
      <c r="I300" t="s">
        <v>47</v>
      </c>
      <c r="K300" t="s">
        <v>63</v>
      </c>
      <c r="N300" s="12"/>
      <c r="O300" s="8"/>
      <c r="Q300" s="8"/>
      <c r="R300" s="12"/>
      <c r="S300" s="8"/>
      <c r="T300" s="12"/>
      <c r="U300" s="8"/>
      <c r="V300" s="2">
        <v>45691</v>
      </c>
      <c r="W300" s="2">
        <v>45691</v>
      </c>
      <c r="X300" s="2"/>
      <c r="Y300" s="2"/>
      <c r="Z300" s="2"/>
      <c r="AB300">
        <v>8289</v>
      </c>
      <c r="AC300">
        <v>69438</v>
      </c>
      <c r="AD300" t="s">
        <v>345</v>
      </c>
      <c r="AE300" s="2">
        <v>45699</v>
      </c>
      <c r="AF300">
        <v>3</v>
      </c>
      <c r="AG300" s="17">
        <v>0.125</v>
      </c>
      <c r="AH300" s="2">
        <v>45699</v>
      </c>
    </row>
    <row r="301" spans="1:34" hidden="1" x14ac:dyDescent="0.25">
      <c r="A301" s="12">
        <v>8289</v>
      </c>
      <c r="B301" s="12">
        <v>0</v>
      </c>
      <c r="C301" t="s">
        <v>224</v>
      </c>
      <c r="E301" s="8"/>
      <c r="F301" s="12">
        <v>28</v>
      </c>
      <c r="G301" s="8" t="s">
        <v>42</v>
      </c>
      <c r="H301" s="12">
        <v>3203</v>
      </c>
      <c r="I301" t="s">
        <v>47</v>
      </c>
      <c r="K301" t="s">
        <v>63</v>
      </c>
      <c r="N301" s="12"/>
      <c r="O301" s="8"/>
      <c r="Q301" s="8"/>
      <c r="R301" s="12"/>
      <c r="S301" s="8"/>
      <c r="T301" s="12"/>
      <c r="U301" s="8"/>
      <c r="V301" s="2">
        <v>45691</v>
      </c>
      <c r="W301" s="2">
        <v>45691</v>
      </c>
      <c r="X301" s="2"/>
      <c r="Y301" s="2"/>
      <c r="Z301" s="2"/>
      <c r="AB301">
        <v>8289</v>
      </c>
      <c r="AC301">
        <v>69437</v>
      </c>
      <c r="AD301" t="s">
        <v>345</v>
      </c>
      <c r="AE301" s="2">
        <v>45699</v>
      </c>
      <c r="AF301">
        <v>2</v>
      </c>
      <c r="AG301" s="17">
        <v>8.3333333333333301E-2</v>
      </c>
      <c r="AH301" s="2">
        <v>45699</v>
      </c>
    </row>
    <row r="302" spans="1:34" hidden="1" x14ac:dyDescent="0.25">
      <c r="A302" s="12">
        <v>8289</v>
      </c>
      <c r="B302" s="12">
        <v>0</v>
      </c>
      <c r="C302" t="s">
        <v>224</v>
      </c>
      <c r="E302" s="8"/>
      <c r="F302" s="12">
        <v>28</v>
      </c>
      <c r="G302" s="8" t="s">
        <v>42</v>
      </c>
      <c r="H302" s="12">
        <v>3203</v>
      </c>
      <c r="I302" t="s">
        <v>47</v>
      </c>
      <c r="K302" t="s">
        <v>63</v>
      </c>
      <c r="N302" s="12"/>
      <c r="O302" s="8"/>
      <c r="Q302" s="8"/>
      <c r="R302" s="12"/>
      <c r="S302" s="8"/>
      <c r="T302" s="12"/>
      <c r="U302" s="8"/>
      <c r="V302" s="2">
        <v>45691</v>
      </c>
      <c r="W302" s="2">
        <v>45691</v>
      </c>
      <c r="X302" s="2"/>
      <c r="Y302" s="2"/>
      <c r="Z302" s="2"/>
      <c r="AB302">
        <v>8289</v>
      </c>
      <c r="AC302">
        <v>69303</v>
      </c>
      <c r="AD302" t="s">
        <v>345</v>
      </c>
      <c r="AE302" s="2">
        <v>45698</v>
      </c>
      <c r="AF302">
        <v>3</v>
      </c>
      <c r="AG302" s="17">
        <v>0.125</v>
      </c>
      <c r="AH302" s="2">
        <v>45698</v>
      </c>
    </row>
    <row r="303" spans="1:34" hidden="1" x14ac:dyDescent="0.25">
      <c r="A303" s="12">
        <v>8289</v>
      </c>
      <c r="B303" s="12">
        <v>0</v>
      </c>
      <c r="C303" t="s">
        <v>224</v>
      </c>
      <c r="E303" s="8"/>
      <c r="F303" s="12">
        <v>28</v>
      </c>
      <c r="G303" s="8" t="s">
        <v>42</v>
      </c>
      <c r="H303" s="12">
        <v>3203</v>
      </c>
      <c r="I303" t="s">
        <v>47</v>
      </c>
      <c r="K303" t="s">
        <v>63</v>
      </c>
      <c r="N303" s="12"/>
      <c r="O303" s="8"/>
      <c r="Q303" s="8"/>
      <c r="R303" s="12"/>
      <c r="S303" s="8"/>
      <c r="T303" s="12"/>
      <c r="U303" s="8"/>
      <c r="V303" s="2">
        <v>45691</v>
      </c>
      <c r="W303" s="2">
        <v>45691</v>
      </c>
      <c r="X303" s="2"/>
      <c r="Y303" s="2"/>
      <c r="Z303" s="2"/>
      <c r="AB303">
        <v>8289</v>
      </c>
      <c r="AC303">
        <v>69259</v>
      </c>
      <c r="AD303" t="s">
        <v>345</v>
      </c>
      <c r="AE303" s="2">
        <v>45698</v>
      </c>
      <c r="AF303">
        <v>3</v>
      </c>
      <c r="AG303" s="17">
        <v>0.125</v>
      </c>
      <c r="AH303" s="2">
        <v>45698</v>
      </c>
    </row>
    <row r="304" spans="1:34" hidden="1" x14ac:dyDescent="0.25">
      <c r="A304" s="12">
        <v>8289</v>
      </c>
      <c r="B304" s="12">
        <v>0</v>
      </c>
      <c r="C304" t="s">
        <v>224</v>
      </c>
      <c r="E304" s="8"/>
      <c r="F304" s="12">
        <v>28</v>
      </c>
      <c r="G304" s="8" t="s">
        <v>42</v>
      </c>
      <c r="H304" s="12">
        <v>3203</v>
      </c>
      <c r="I304" t="s">
        <v>47</v>
      </c>
      <c r="K304" t="s">
        <v>63</v>
      </c>
      <c r="N304" s="12"/>
      <c r="O304" s="8"/>
      <c r="Q304" s="8"/>
      <c r="R304" s="12"/>
      <c r="S304" s="8"/>
      <c r="T304" s="12"/>
      <c r="U304" s="8"/>
      <c r="V304" s="2">
        <v>45691</v>
      </c>
      <c r="W304" s="2">
        <v>45691</v>
      </c>
      <c r="X304" s="2"/>
      <c r="Y304" s="2"/>
      <c r="Z304" s="2"/>
      <c r="AB304">
        <v>8289</v>
      </c>
      <c r="AC304">
        <v>69215</v>
      </c>
      <c r="AD304" t="s">
        <v>345</v>
      </c>
      <c r="AE304" s="2">
        <v>45698</v>
      </c>
      <c r="AF304">
        <v>1</v>
      </c>
      <c r="AG304" s="17">
        <v>4.1666666666666602E-2</v>
      </c>
      <c r="AH304" s="2">
        <v>45698</v>
      </c>
    </row>
    <row r="305" spans="1:34" hidden="1" x14ac:dyDescent="0.25">
      <c r="A305" s="12">
        <v>8289</v>
      </c>
      <c r="B305" s="12">
        <v>0</v>
      </c>
      <c r="C305" t="s">
        <v>224</v>
      </c>
      <c r="E305" s="8"/>
      <c r="F305" s="12">
        <v>28</v>
      </c>
      <c r="G305" s="8" t="s">
        <v>42</v>
      </c>
      <c r="H305" s="12">
        <v>3203</v>
      </c>
      <c r="I305" t="s">
        <v>47</v>
      </c>
      <c r="K305" t="s">
        <v>63</v>
      </c>
      <c r="N305" s="12"/>
      <c r="O305" s="8"/>
      <c r="Q305" s="8"/>
      <c r="R305" s="12"/>
      <c r="S305" s="8"/>
      <c r="T305" s="12"/>
      <c r="U305" s="8"/>
      <c r="V305" s="2">
        <v>45691</v>
      </c>
      <c r="W305" s="2">
        <v>45691</v>
      </c>
      <c r="X305" s="2"/>
      <c r="Y305" s="2"/>
      <c r="Z305" s="2"/>
      <c r="AB305">
        <v>8289</v>
      </c>
      <c r="AC305">
        <v>69213</v>
      </c>
      <c r="AD305" t="s">
        <v>345</v>
      </c>
      <c r="AE305" s="2">
        <v>45698</v>
      </c>
      <c r="AF305">
        <v>1</v>
      </c>
      <c r="AG305" s="17">
        <v>4.1666666666666602E-2</v>
      </c>
      <c r="AH305" s="2">
        <v>45698</v>
      </c>
    </row>
    <row r="306" spans="1:34" hidden="1" x14ac:dyDescent="0.25">
      <c r="A306" s="12">
        <v>8289</v>
      </c>
      <c r="B306" s="12">
        <v>0</v>
      </c>
      <c r="C306" t="s">
        <v>224</v>
      </c>
      <c r="E306" s="8"/>
      <c r="F306" s="12">
        <v>28</v>
      </c>
      <c r="G306" s="8" t="s">
        <v>42</v>
      </c>
      <c r="H306" s="12">
        <v>3203</v>
      </c>
      <c r="I306" t="s">
        <v>47</v>
      </c>
      <c r="K306" t="s">
        <v>63</v>
      </c>
      <c r="N306" s="12"/>
      <c r="O306" s="8"/>
      <c r="Q306" s="8"/>
      <c r="R306" s="12"/>
      <c r="S306" s="8"/>
      <c r="T306" s="12"/>
      <c r="U306" s="8"/>
      <c r="V306" s="2">
        <v>45691</v>
      </c>
      <c r="W306" s="2">
        <v>45691</v>
      </c>
      <c r="X306" s="2"/>
      <c r="Y306" s="2"/>
      <c r="Z306" s="2"/>
      <c r="AB306">
        <v>8289</v>
      </c>
      <c r="AC306">
        <v>68851</v>
      </c>
      <c r="AD306" t="s">
        <v>345</v>
      </c>
      <c r="AE306" s="2">
        <v>45695</v>
      </c>
      <c r="AF306">
        <v>8</v>
      </c>
      <c r="AG306" s="17">
        <v>0.33333333333333298</v>
      </c>
      <c r="AH306" s="2">
        <v>45695</v>
      </c>
    </row>
    <row r="307" spans="1:34" hidden="1" x14ac:dyDescent="0.25">
      <c r="A307" s="12">
        <v>8289</v>
      </c>
      <c r="B307" s="12">
        <v>0</v>
      </c>
      <c r="C307" t="s">
        <v>224</v>
      </c>
      <c r="E307" s="8"/>
      <c r="F307" s="12">
        <v>28</v>
      </c>
      <c r="G307" s="8" t="s">
        <v>42</v>
      </c>
      <c r="H307" s="12">
        <v>3203</v>
      </c>
      <c r="I307" t="s">
        <v>47</v>
      </c>
      <c r="K307" t="s">
        <v>63</v>
      </c>
      <c r="N307" s="12"/>
      <c r="O307" s="8"/>
      <c r="Q307" s="8"/>
      <c r="R307" s="12"/>
      <c r="S307" s="8"/>
      <c r="T307" s="12"/>
      <c r="U307" s="8"/>
      <c r="V307" s="2">
        <v>45691</v>
      </c>
      <c r="W307" s="2">
        <v>45691</v>
      </c>
      <c r="X307" s="2"/>
      <c r="Y307" s="2"/>
      <c r="Z307" s="2"/>
      <c r="AB307">
        <v>8289</v>
      </c>
      <c r="AC307">
        <v>68847</v>
      </c>
      <c r="AD307" t="s">
        <v>345</v>
      </c>
      <c r="AE307" s="2">
        <v>45694</v>
      </c>
      <c r="AF307">
        <v>2</v>
      </c>
      <c r="AG307" s="17">
        <v>8.3333333333333301E-2</v>
      </c>
      <c r="AH307" s="2">
        <v>45695</v>
      </c>
    </row>
    <row r="308" spans="1:34" hidden="1" x14ac:dyDescent="0.25">
      <c r="A308" s="12">
        <v>8289</v>
      </c>
      <c r="B308" s="12">
        <v>0</v>
      </c>
      <c r="C308" t="s">
        <v>224</v>
      </c>
      <c r="E308" s="8"/>
      <c r="F308" s="12">
        <v>28</v>
      </c>
      <c r="G308" s="8" t="s">
        <v>42</v>
      </c>
      <c r="H308" s="12">
        <v>3203</v>
      </c>
      <c r="I308" t="s">
        <v>47</v>
      </c>
      <c r="K308" t="s">
        <v>63</v>
      </c>
      <c r="N308" s="12"/>
      <c r="O308" s="8"/>
      <c r="Q308" s="8"/>
      <c r="R308" s="12"/>
      <c r="S308" s="8"/>
      <c r="T308" s="12"/>
      <c r="U308" s="8"/>
      <c r="V308" s="2">
        <v>45691</v>
      </c>
      <c r="W308" s="2">
        <v>45691</v>
      </c>
      <c r="X308" s="2"/>
      <c r="Y308" s="2"/>
      <c r="Z308" s="2"/>
      <c r="AB308">
        <v>8289</v>
      </c>
      <c r="AC308">
        <v>68180</v>
      </c>
      <c r="AD308" t="s">
        <v>345</v>
      </c>
      <c r="AE308" s="2">
        <v>45694</v>
      </c>
      <c r="AF308">
        <v>1</v>
      </c>
      <c r="AG308" s="17">
        <v>4.1666666666666602E-2</v>
      </c>
      <c r="AH308" s="2">
        <v>45694</v>
      </c>
    </row>
    <row r="309" spans="1:34" hidden="1" x14ac:dyDescent="0.25">
      <c r="A309" s="12">
        <v>8289</v>
      </c>
      <c r="B309" s="12">
        <v>0</v>
      </c>
      <c r="C309" t="s">
        <v>224</v>
      </c>
      <c r="E309" s="8"/>
      <c r="F309" s="12">
        <v>28</v>
      </c>
      <c r="G309" s="8" t="s">
        <v>42</v>
      </c>
      <c r="H309" s="12">
        <v>3203</v>
      </c>
      <c r="I309" t="s">
        <v>47</v>
      </c>
      <c r="K309" t="s">
        <v>63</v>
      </c>
      <c r="N309" s="12"/>
      <c r="O309" s="8"/>
      <c r="Q309" s="8"/>
      <c r="R309" s="12"/>
      <c r="S309" s="8"/>
      <c r="T309" s="12"/>
      <c r="U309" s="8"/>
      <c r="V309" s="2">
        <v>45691</v>
      </c>
      <c r="W309" s="2">
        <v>45691</v>
      </c>
      <c r="X309" s="2"/>
      <c r="Y309" s="2"/>
      <c r="Z309" s="2"/>
      <c r="AB309">
        <v>8289</v>
      </c>
      <c r="AC309">
        <v>68167</v>
      </c>
      <c r="AD309" t="s">
        <v>345</v>
      </c>
      <c r="AE309" s="2">
        <v>45694</v>
      </c>
      <c r="AF309">
        <v>1</v>
      </c>
      <c r="AG309" s="17">
        <v>4.1666666666666602E-2</v>
      </c>
      <c r="AH309" s="2">
        <v>45694</v>
      </c>
    </row>
    <row r="310" spans="1:34" hidden="1" x14ac:dyDescent="0.25">
      <c r="A310" s="12">
        <v>8289</v>
      </c>
      <c r="B310" s="12">
        <v>0</v>
      </c>
      <c r="C310" t="s">
        <v>224</v>
      </c>
      <c r="E310" s="8"/>
      <c r="F310" s="12">
        <v>28</v>
      </c>
      <c r="G310" s="8" t="s">
        <v>42</v>
      </c>
      <c r="H310" s="12">
        <v>3203</v>
      </c>
      <c r="I310" t="s">
        <v>47</v>
      </c>
      <c r="K310" t="s">
        <v>63</v>
      </c>
      <c r="N310" s="12"/>
      <c r="O310" s="8"/>
      <c r="Q310" s="8"/>
      <c r="R310" s="12"/>
      <c r="S310" s="8"/>
      <c r="T310" s="12"/>
      <c r="U310" s="8"/>
      <c r="V310" s="2">
        <v>45691</v>
      </c>
      <c r="W310" s="2">
        <v>45691</v>
      </c>
      <c r="X310" s="2"/>
      <c r="Y310" s="2"/>
      <c r="Z310" s="2"/>
      <c r="AB310">
        <v>8289</v>
      </c>
      <c r="AC310">
        <v>68166</v>
      </c>
      <c r="AD310" t="s">
        <v>345</v>
      </c>
      <c r="AE310" s="2">
        <v>45694</v>
      </c>
      <c r="AF310">
        <v>1</v>
      </c>
      <c r="AG310" s="17">
        <v>4.1666666666666602E-2</v>
      </c>
      <c r="AH310" s="2">
        <v>45694</v>
      </c>
    </row>
    <row r="311" spans="1:34" hidden="1" x14ac:dyDescent="0.25">
      <c r="A311" s="12">
        <v>8289</v>
      </c>
      <c r="B311" s="12">
        <v>0</v>
      </c>
      <c r="C311" t="s">
        <v>224</v>
      </c>
      <c r="E311" s="8"/>
      <c r="F311" s="12">
        <v>28</v>
      </c>
      <c r="G311" s="8" t="s">
        <v>42</v>
      </c>
      <c r="H311" s="12">
        <v>3203</v>
      </c>
      <c r="I311" t="s">
        <v>47</v>
      </c>
      <c r="K311" t="s">
        <v>63</v>
      </c>
      <c r="N311" s="12"/>
      <c r="O311" s="8"/>
      <c r="Q311" s="8"/>
      <c r="R311" s="12"/>
      <c r="S311" s="8"/>
      <c r="T311" s="12"/>
      <c r="U311" s="8"/>
      <c r="V311" s="2">
        <v>45691</v>
      </c>
      <c r="W311" s="2">
        <v>45691</v>
      </c>
      <c r="X311" s="2"/>
      <c r="Y311" s="2"/>
      <c r="Z311" s="2"/>
      <c r="AB311">
        <v>8289</v>
      </c>
      <c r="AC311">
        <v>68068</v>
      </c>
      <c r="AD311" t="s">
        <v>345</v>
      </c>
      <c r="AE311" s="2">
        <v>45693</v>
      </c>
      <c r="AF311">
        <v>4</v>
      </c>
      <c r="AG311" s="17">
        <v>0.16666666666666599</v>
      </c>
      <c r="AH311" s="2">
        <v>45693</v>
      </c>
    </row>
    <row r="312" spans="1:34" hidden="1" x14ac:dyDescent="0.25">
      <c r="A312" s="12">
        <v>8289</v>
      </c>
      <c r="B312" s="12">
        <v>0</v>
      </c>
      <c r="C312" t="s">
        <v>224</v>
      </c>
      <c r="E312" s="8"/>
      <c r="F312" s="12">
        <v>28</v>
      </c>
      <c r="G312" s="8" t="s">
        <v>42</v>
      </c>
      <c r="H312" s="12">
        <v>3203</v>
      </c>
      <c r="I312" t="s">
        <v>47</v>
      </c>
      <c r="K312" t="s">
        <v>63</v>
      </c>
      <c r="N312" s="12"/>
      <c r="O312" s="8"/>
      <c r="Q312" s="8"/>
      <c r="R312" s="12"/>
      <c r="S312" s="8"/>
      <c r="T312" s="12"/>
      <c r="U312" s="8"/>
      <c r="V312" s="2">
        <v>45691</v>
      </c>
      <c r="W312" s="2">
        <v>45691</v>
      </c>
      <c r="X312" s="2"/>
      <c r="Y312" s="2"/>
      <c r="Z312" s="2"/>
      <c r="AB312">
        <v>8289</v>
      </c>
      <c r="AC312">
        <v>67935</v>
      </c>
      <c r="AD312" t="s">
        <v>345</v>
      </c>
      <c r="AE312" s="2">
        <v>45693</v>
      </c>
      <c r="AF312">
        <v>4</v>
      </c>
      <c r="AG312" s="17">
        <v>0.16666666666666599</v>
      </c>
      <c r="AH312" s="2">
        <v>45693</v>
      </c>
    </row>
    <row r="313" spans="1:34" hidden="1" x14ac:dyDescent="0.25">
      <c r="A313" s="12">
        <v>8289</v>
      </c>
      <c r="B313" s="12">
        <v>0</v>
      </c>
      <c r="C313" t="s">
        <v>224</v>
      </c>
      <c r="E313" s="8"/>
      <c r="F313" s="12">
        <v>28</v>
      </c>
      <c r="G313" s="8" t="s">
        <v>42</v>
      </c>
      <c r="H313" s="12">
        <v>3203</v>
      </c>
      <c r="I313" t="s">
        <v>47</v>
      </c>
      <c r="K313" t="s">
        <v>63</v>
      </c>
      <c r="N313" s="12"/>
      <c r="O313" s="8"/>
      <c r="Q313" s="8"/>
      <c r="R313" s="12"/>
      <c r="S313" s="8"/>
      <c r="T313" s="12"/>
      <c r="U313" s="8"/>
      <c r="V313" s="2">
        <v>45691</v>
      </c>
      <c r="W313" s="2">
        <v>45691</v>
      </c>
      <c r="X313" s="2"/>
      <c r="Y313" s="2"/>
      <c r="Z313" s="2"/>
      <c r="AB313">
        <v>8289</v>
      </c>
      <c r="AC313">
        <v>67927</v>
      </c>
      <c r="AD313" t="s">
        <v>345</v>
      </c>
      <c r="AE313" s="2">
        <v>45693</v>
      </c>
      <c r="AF313">
        <v>1</v>
      </c>
      <c r="AG313" s="17">
        <v>4.1666666666666602E-2</v>
      </c>
      <c r="AH313" s="2">
        <v>45693</v>
      </c>
    </row>
    <row r="314" spans="1:34" hidden="1" x14ac:dyDescent="0.25">
      <c r="A314" s="12">
        <v>8289</v>
      </c>
      <c r="B314" s="12">
        <v>0</v>
      </c>
      <c r="C314" t="s">
        <v>224</v>
      </c>
      <c r="E314" s="8"/>
      <c r="F314" s="12">
        <v>28</v>
      </c>
      <c r="G314" s="8" t="s">
        <v>42</v>
      </c>
      <c r="H314" s="12">
        <v>3203</v>
      </c>
      <c r="I314" t="s">
        <v>47</v>
      </c>
      <c r="K314" t="s">
        <v>63</v>
      </c>
      <c r="N314" s="12"/>
      <c r="O314" s="8"/>
      <c r="Q314" s="8"/>
      <c r="R314" s="12"/>
      <c r="S314" s="8"/>
      <c r="T314" s="12"/>
      <c r="U314" s="8"/>
      <c r="V314" s="2">
        <v>45691</v>
      </c>
      <c r="W314" s="2">
        <v>45691</v>
      </c>
      <c r="X314" s="2"/>
      <c r="Y314" s="2"/>
      <c r="Z314" s="2"/>
      <c r="AB314">
        <v>8289</v>
      </c>
      <c r="AC314">
        <v>68849</v>
      </c>
      <c r="AD314" t="s">
        <v>345</v>
      </c>
      <c r="AE314" s="2">
        <v>45692</v>
      </c>
      <c r="AF314">
        <v>6</v>
      </c>
      <c r="AG314" s="17">
        <v>0.25</v>
      </c>
      <c r="AH314" s="2">
        <v>45695</v>
      </c>
    </row>
    <row r="315" spans="1:34" hidden="1" x14ac:dyDescent="0.25">
      <c r="A315" s="12">
        <v>8289</v>
      </c>
      <c r="B315" s="12">
        <v>0</v>
      </c>
      <c r="C315" t="s">
        <v>224</v>
      </c>
      <c r="E315" s="8"/>
      <c r="F315" s="12">
        <v>28</v>
      </c>
      <c r="G315" s="8" t="s">
        <v>42</v>
      </c>
      <c r="H315" s="12">
        <v>3203</v>
      </c>
      <c r="I315" t="s">
        <v>47</v>
      </c>
      <c r="K315" t="s">
        <v>63</v>
      </c>
      <c r="N315" s="12"/>
      <c r="O315" s="8"/>
      <c r="Q315" s="8"/>
      <c r="R315" s="12"/>
      <c r="S315" s="8"/>
      <c r="T315" s="12"/>
      <c r="U315" s="8"/>
      <c r="V315" s="2">
        <v>45691</v>
      </c>
      <c r="W315" s="2">
        <v>45691</v>
      </c>
      <c r="X315" s="2"/>
      <c r="Y315" s="2"/>
      <c r="Z315" s="2"/>
      <c r="AB315">
        <v>8289</v>
      </c>
      <c r="AC315">
        <v>67830</v>
      </c>
      <c r="AD315" t="s">
        <v>345</v>
      </c>
      <c r="AE315" s="2">
        <v>45692</v>
      </c>
      <c r="AF315">
        <v>3</v>
      </c>
      <c r="AG315" s="17">
        <v>0.125</v>
      </c>
      <c r="AH315" s="2">
        <v>45693</v>
      </c>
    </row>
    <row r="316" spans="1:34" hidden="1" x14ac:dyDescent="0.25">
      <c r="A316" s="12">
        <v>8289</v>
      </c>
      <c r="B316" s="12">
        <v>0</v>
      </c>
      <c r="C316" t="s">
        <v>224</v>
      </c>
      <c r="E316" s="8"/>
      <c r="F316" s="12">
        <v>28</v>
      </c>
      <c r="G316" s="8" t="s">
        <v>42</v>
      </c>
      <c r="H316" s="12">
        <v>3203</v>
      </c>
      <c r="I316" t="s">
        <v>47</v>
      </c>
      <c r="K316" t="s">
        <v>63</v>
      </c>
      <c r="N316" s="12"/>
      <c r="O316" s="8"/>
      <c r="Q316" s="8"/>
      <c r="R316" s="12"/>
      <c r="S316" s="8"/>
      <c r="T316" s="12"/>
      <c r="U316" s="8"/>
      <c r="V316" s="2">
        <v>45691</v>
      </c>
      <c r="W316" s="2">
        <v>45691</v>
      </c>
      <c r="X316" s="2"/>
      <c r="Y316" s="2"/>
      <c r="Z316" s="2"/>
      <c r="AB316">
        <v>8289</v>
      </c>
      <c r="AC316">
        <v>68850</v>
      </c>
      <c r="AD316" t="s">
        <v>345</v>
      </c>
      <c r="AE316" s="2">
        <v>45691</v>
      </c>
      <c r="AF316">
        <v>9</v>
      </c>
      <c r="AG316" s="17">
        <v>0.375</v>
      </c>
      <c r="AH316" s="2">
        <v>45695</v>
      </c>
    </row>
    <row r="317" spans="1:34" hidden="1" x14ac:dyDescent="0.25">
      <c r="A317" s="12">
        <v>8480</v>
      </c>
      <c r="B317" s="12">
        <v>0</v>
      </c>
      <c r="C317" t="s">
        <v>225</v>
      </c>
      <c r="E317" s="8"/>
      <c r="F317" s="12">
        <v>21</v>
      </c>
      <c r="G317" s="8" t="s">
        <v>44</v>
      </c>
      <c r="H317" s="12">
        <v>3202</v>
      </c>
      <c r="I317" t="s">
        <v>49</v>
      </c>
      <c r="J317" t="s">
        <v>62</v>
      </c>
      <c r="K317" t="s">
        <v>101</v>
      </c>
      <c r="L317">
        <v>4</v>
      </c>
      <c r="M317" t="s">
        <v>207</v>
      </c>
      <c r="N317" s="12">
        <v>1</v>
      </c>
      <c r="O317" s="8" t="s">
        <v>193</v>
      </c>
      <c r="P317">
        <v>1</v>
      </c>
      <c r="Q317" s="8">
        <v>1</v>
      </c>
      <c r="R317" s="12">
        <v>1</v>
      </c>
      <c r="S317" s="8">
        <v>1</v>
      </c>
      <c r="T317" s="12">
        <v>1</v>
      </c>
      <c r="U317" s="8" t="s">
        <v>194</v>
      </c>
      <c r="V317" s="2">
        <v>45710</v>
      </c>
      <c r="W317" s="2">
        <v>45710</v>
      </c>
      <c r="X317" s="2">
        <v>45710</v>
      </c>
      <c r="Y317" s="2">
        <v>45710</v>
      </c>
      <c r="Z317" s="2">
        <v>45710</v>
      </c>
      <c r="AA317" t="s">
        <v>226</v>
      </c>
      <c r="AB317">
        <v>8480</v>
      </c>
      <c r="AC317">
        <v>72926</v>
      </c>
      <c r="AD317" t="s">
        <v>382</v>
      </c>
      <c r="AE317" s="2">
        <v>45710</v>
      </c>
      <c r="AF317">
        <v>1</v>
      </c>
      <c r="AG317" s="17">
        <v>4.1666666666666602E-2</v>
      </c>
      <c r="AH317" s="2">
        <v>45710</v>
      </c>
    </row>
    <row r="318" spans="1:34" hidden="1" x14ac:dyDescent="0.25">
      <c r="A318" s="12">
        <v>8480</v>
      </c>
      <c r="B318" s="12">
        <v>0</v>
      </c>
      <c r="C318" t="s">
        <v>225</v>
      </c>
      <c r="E318" s="8"/>
      <c r="F318" s="12">
        <v>21</v>
      </c>
      <c r="G318" s="8" t="s">
        <v>44</v>
      </c>
      <c r="H318" s="12">
        <v>3202</v>
      </c>
      <c r="I318" t="s">
        <v>49</v>
      </c>
      <c r="K318" t="s">
        <v>101</v>
      </c>
      <c r="L318">
        <v>4</v>
      </c>
      <c r="M318" t="s">
        <v>207</v>
      </c>
      <c r="N318" s="12">
        <v>1</v>
      </c>
      <c r="O318" s="8" t="s">
        <v>193</v>
      </c>
      <c r="P318">
        <v>1</v>
      </c>
      <c r="Q318" s="8">
        <v>1</v>
      </c>
      <c r="R318" s="12">
        <v>1</v>
      </c>
      <c r="S318" s="8">
        <v>1</v>
      </c>
      <c r="T318" s="12">
        <v>1</v>
      </c>
      <c r="U318" s="8" t="s">
        <v>194</v>
      </c>
      <c r="V318" s="2">
        <v>45710</v>
      </c>
      <c r="W318" s="2">
        <v>45710</v>
      </c>
      <c r="X318" s="2">
        <v>45710</v>
      </c>
      <c r="Y318" s="2">
        <v>45710</v>
      </c>
      <c r="Z318" s="2">
        <v>45710</v>
      </c>
      <c r="AA318" t="s">
        <v>226</v>
      </c>
      <c r="AB318">
        <v>8480</v>
      </c>
      <c r="AC318">
        <v>72925</v>
      </c>
      <c r="AD318" t="s">
        <v>626</v>
      </c>
      <c r="AE318" s="2">
        <v>45710</v>
      </c>
      <c r="AF318">
        <v>1</v>
      </c>
      <c r="AG318" s="17">
        <v>4.1666666666666602E-2</v>
      </c>
      <c r="AH318" s="2">
        <v>45710</v>
      </c>
    </row>
    <row r="319" spans="1:34" hidden="1" x14ac:dyDescent="0.25">
      <c r="A319" s="12">
        <v>8480</v>
      </c>
      <c r="B319" s="12">
        <v>0</v>
      </c>
      <c r="C319" t="s">
        <v>225</v>
      </c>
      <c r="E319" s="8"/>
      <c r="F319" s="12">
        <v>21</v>
      </c>
      <c r="G319" s="8" t="s">
        <v>44</v>
      </c>
      <c r="H319" s="12">
        <v>3202</v>
      </c>
      <c r="I319" t="s">
        <v>49</v>
      </c>
      <c r="K319" t="s">
        <v>101</v>
      </c>
      <c r="L319">
        <v>4</v>
      </c>
      <c r="M319" t="s">
        <v>207</v>
      </c>
      <c r="N319" s="12">
        <v>1</v>
      </c>
      <c r="O319" s="8" t="s">
        <v>193</v>
      </c>
      <c r="P319">
        <v>1</v>
      </c>
      <c r="Q319" s="8">
        <v>1</v>
      </c>
      <c r="R319" s="12">
        <v>1</v>
      </c>
      <c r="S319" s="8">
        <v>1</v>
      </c>
      <c r="T319" s="12">
        <v>1</v>
      </c>
      <c r="U319" s="8" t="s">
        <v>194</v>
      </c>
      <c r="V319" s="2">
        <v>45710</v>
      </c>
      <c r="W319" s="2">
        <v>45710</v>
      </c>
      <c r="X319" s="2">
        <v>45710</v>
      </c>
      <c r="Y319" s="2">
        <v>45710</v>
      </c>
      <c r="Z319" s="2">
        <v>45710</v>
      </c>
      <c r="AA319" t="s">
        <v>226</v>
      </c>
      <c r="AB319">
        <v>8480</v>
      </c>
      <c r="AC319">
        <v>72924</v>
      </c>
      <c r="AD319" t="s">
        <v>627</v>
      </c>
      <c r="AE319" s="2">
        <v>45710</v>
      </c>
      <c r="AF319">
        <v>2</v>
      </c>
      <c r="AG319" s="17">
        <v>8.3333333333333301E-2</v>
      </c>
      <c r="AH319" s="2">
        <v>45710</v>
      </c>
    </row>
    <row r="320" spans="1:34" hidden="1" x14ac:dyDescent="0.25">
      <c r="A320" s="12">
        <v>8539</v>
      </c>
      <c r="B320" s="12">
        <v>0</v>
      </c>
      <c r="C320" t="s">
        <v>383</v>
      </c>
      <c r="D320">
        <v>247897</v>
      </c>
      <c r="E320" s="8" t="s">
        <v>231</v>
      </c>
      <c r="F320" s="12">
        <v>21</v>
      </c>
      <c r="G320" s="8" t="s">
        <v>44</v>
      </c>
      <c r="H320" s="12">
        <v>3202</v>
      </c>
      <c r="I320" t="s">
        <v>49</v>
      </c>
      <c r="J320" t="s">
        <v>62</v>
      </c>
      <c r="K320" t="s">
        <v>101</v>
      </c>
      <c r="L320">
        <v>4</v>
      </c>
      <c r="M320" t="s">
        <v>207</v>
      </c>
      <c r="N320" s="12">
        <v>1</v>
      </c>
      <c r="O320" s="8" t="s">
        <v>193</v>
      </c>
      <c r="P320">
        <v>3</v>
      </c>
      <c r="Q320" s="8">
        <v>3</v>
      </c>
      <c r="R320" s="12">
        <v>3</v>
      </c>
      <c r="S320" s="8">
        <v>3</v>
      </c>
      <c r="T320" s="12">
        <v>1</v>
      </c>
      <c r="U320" s="8" t="s">
        <v>194</v>
      </c>
      <c r="V320" s="2">
        <v>45723</v>
      </c>
      <c r="W320" s="2">
        <v>45723</v>
      </c>
      <c r="X320" s="2">
        <v>45723</v>
      </c>
      <c r="Y320" s="2">
        <v>45724</v>
      </c>
      <c r="Z320" s="2">
        <v>45724</v>
      </c>
      <c r="AA320" t="s">
        <v>384</v>
      </c>
      <c r="AB320">
        <v>8539</v>
      </c>
      <c r="AC320">
        <v>76611</v>
      </c>
      <c r="AD320" t="s">
        <v>385</v>
      </c>
      <c r="AE320" s="2">
        <v>45724</v>
      </c>
      <c r="AF320">
        <v>2</v>
      </c>
      <c r="AG320" s="17">
        <v>8.3333333333333301E-2</v>
      </c>
      <c r="AH320" s="2">
        <v>45724</v>
      </c>
    </row>
    <row r="321" spans="1:34" hidden="1" x14ac:dyDescent="0.25">
      <c r="A321" s="12">
        <v>8539</v>
      </c>
      <c r="B321" s="12">
        <v>0</v>
      </c>
      <c r="C321" t="s">
        <v>383</v>
      </c>
      <c r="D321">
        <v>247897</v>
      </c>
      <c r="E321" s="8" t="s">
        <v>231</v>
      </c>
      <c r="F321" s="12">
        <v>21</v>
      </c>
      <c r="G321" s="8" t="s">
        <v>44</v>
      </c>
      <c r="H321" s="12">
        <v>3202</v>
      </c>
      <c r="I321" t="s">
        <v>49</v>
      </c>
      <c r="K321" t="s">
        <v>101</v>
      </c>
      <c r="L321">
        <v>4</v>
      </c>
      <c r="M321" t="s">
        <v>207</v>
      </c>
      <c r="N321" s="12">
        <v>1</v>
      </c>
      <c r="O321" s="8" t="s">
        <v>193</v>
      </c>
      <c r="P321">
        <v>3</v>
      </c>
      <c r="Q321" s="8">
        <v>3</v>
      </c>
      <c r="R321" s="12">
        <v>3</v>
      </c>
      <c r="S321" s="8">
        <v>3</v>
      </c>
      <c r="T321" s="12">
        <v>1</v>
      </c>
      <c r="U321" s="8" t="s">
        <v>194</v>
      </c>
      <c r="V321" s="2">
        <v>45723</v>
      </c>
      <c r="W321" s="2">
        <v>45723</v>
      </c>
      <c r="X321" s="2">
        <v>45723</v>
      </c>
      <c r="Y321" s="2">
        <v>45724</v>
      </c>
      <c r="Z321" s="2">
        <v>45724</v>
      </c>
      <c r="AA321" t="s">
        <v>384</v>
      </c>
      <c r="AB321">
        <v>8539</v>
      </c>
      <c r="AC321">
        <v>76610</v>
      </c>
      <c r="AD321" t="s">
        <v>628</v>
      </c>
      <c r="AE321" s="2">
        <v>45723</v>
      </c>
      <c r="AF321">
        <v>2.5833333333333299</v>
      </c>
      <c r="AG321" s="17">
        <v>0.10763888888888801</v>
      </c>
      <c r="AH321" s="2">
        <v>45724</v>
      </c>
    </row>
    <row r="322" spans="1:34" hidden="1" x14ac:dyDescent="0.25">
      <c r="A322" s="12">
        <v>8497</v>
      </c>
      <c r="B322" s="12">
        <v>0</v>
      </c>
      <c r="C322" t="s">
        <v>227</v>
      </c>
      <c r="D322">
        <v>247094</v>
      </c>
      <c r="E322" s="8" t="s">
        <v>228</v>
      </c>
      <c r="F322" s="12">
        <v>21</v>
      </c>
      <c r="G322" s="8" t="s">
        <v>44</v>
      </c>
      <c r="H322" s="12">
        <v>3233</v>
      </c>
      <c r="I322" t="s">
        <v>343</v>
      </c>
      <c r="J322" t="s">
        <v>62</v>
      </c>
      <c r="K322" t="s">
        <v>101</v>
      </c>
      <c r="L322">
        <v>4</v>
      </c>
      <c r="M322" t="s">
        <v>207</v>
      </c>
      <c r="N322" s="12">
        <v>1</v>
      </c>
      <c r="O322" s="8" t="s">
        <v>193</v>
      </c>
      <c r="P322">
        <v>1</v>
      </c>
      <c r="Q322" s="8">
        <v>1</v>
      </c>
      <c r="R322" s="12">
        <v>1</v>
      </c>
      <c r="S322" s="8">
        <v>1</v>
      </c>
      <c r="T322" s="12">
        <v>1</v>
      </c>
      <c r="U322" s="8" t="s">
        <v>194</v>
      </c>
      <c r="V322" s="2">
        <v>45715</v>
      </c>
      <c r="W322" s="2">
        <v>45715</v>
      </c>
      <c r="X322" s="2">
        <v>45715</v>
      </c>
      <c r="Y322" s="2">
        <v>45715</v>
      </c>
      <c r="Z322" s="2"/>
      <c r="AA322" t="s">
        <v>229</v>
      </c>
      <c r="AB322">
        <v>8497</v>
      </c>
      <c r="AC322">
        <v>74303</v>
      </c>
      <c r="AD322" t="s">
        <v>387</v>
      </c>
      <c r="AE322" s="2">
        <v>45715</v>
      </c>
      <c r="AF322">
        <v>0.5</v>
      </c>
      <c r="AG322" s="17">
        <v>2.0833333333333301E-2</v>
      </c>
      <c r="AH322" s="2">
        <v>45716</v>
      </c>
    </row>
    <row r="323" spans="1:34" hidden="1" x14ac:dyDescent="0.25">
      <c r="A323" s="12">
        <v>8497</v>
      </c>
      <c r="B323" s="12">
        <v>0</v>
      </c>
      <c r="C323" t="s">
        <v>227</v>
      </c>
      <c r="D323">
        <v>247094</v>
      </c>
      <c r="E323" s="8" t="s">
        <v>228</v>
      </c>
      <c r="F323" s="12">
        <v>21</v>
      </c>
      <c r="G323" s="8" t="s">
        <v>44</v>
      </c>
      <c r="H323" s="12">
        <v>3233</v>
      </c>
      <c r="I323" t="s">
        <v>343</v>
      </c>
      <c r="K323" t="s">
        <v>101</v>
      </c>
      <c r="L323">
        <v>4</v>
      </c>
      <c r="M323" t="s">
        <v>207</v>
      </c>
      <c r="N323" s="12">
        <v>1</v>
      </c>
      <c r="O323" s="8" t="s">
        <v>193</v>
      </c>
      <c r="P323">
        <v>1</v>
      </c>
      <c r="Q323" s="8">
        <v>1</v>
      </c>
      <c r="R323" s="12">
        <v>1</v>
      </c>
      <c r="S323" s="8">
        <v>1</v>
      </c>
      <c r="T323" s="12">
        <v>1</v>
      </c>
      <c r="U323" s="8" t="s">
        <v>194</v>
      </c>
      <c r="V323" s="2">
        <v>45715</v>
      </c>
      <c r="W323" s="2">
        <v>45715</v>
      </c>
      <c r="X323" s="2">
        <v>45715</v>
      </c>
      <c r="Y323" s="2">
        <v>45715</v>
      </c>
      <c r="Z323" s="2"/>
      <c r="AA323" t="s">
        <v>229</v>
      </c>
      <c r="AB323">
        <v>8497</v>
      </c>
      <c r="AC323">
        <v>74301</v>
      </c>
      <c r="AD323" t="s">
        <v>387</v>
      </c>
      <c r="AE323" s="2">
        <v>45715</v>
      </c>
      <c r="AF323">
        <v>0.5</v>
      </c>
      <c r="AG323" s="17">
        <v>2.0833333333333301E-2</v>
      </c>
      <c r="AH323" s="2">
        <v>45716</v>
      </c>
    </row>
    <row r="324" spans="1:34" hidden="1" x14ac:dyDescent="0.25">
      <c r="A324" s="12">
        <v>8553</v>
      </c>
      <c r="B324" s="12">
        <v>0</v>
      </c>
      <c r="C324" t="s">
        <v>948</v>
      </c>
      <c r="D324">
        <v>246832</v>
      </c>
      <c r="E324" s="8" t="s">
        <v>300</v>
      </c>
      <c r="F324" s="12">
        <v>21</v>
      </c>
      <c r="G324" s="8" t="s">
        <v>44</v>
      </c>
      <c r="H324" s="12">
        <v>3204</v>
      </c>
      <c r="I324" t="s">
        <v>52</v>
      </c>
      <c r="J324" t="s">
        <v>62</v>
      </c>
      <c r="K324" t="s">
        <v>101</v>
      </c>
      <c r="L324">
        <v>4</v>
      </c>
      <c r="M324" t="s">
        <v>207</v>
      </c>
      <c r="N324" s="12">
        <v>2</v>
      </c>
      <c r="O324" s="8" t="s">
        <v>158</v>
      </c>
      <c r="P324">
        <v>2</v>
      </c>
      <c r="Q324" s="8">
        <v>2</v>
      </c>
      <c r="R324" s="12"/>
      <c r="S324" s="8"/>
      <c r="T324" s="12"/>
      <c r="U324" s="8"/>
      <c r="V324" s="2">
        <v>45723</v>
      </c>
      <c r="W324" s="2">
        <v>45723</v>
      </c>
      <c r="X324" s="2">
        <v>45723</v>
      </c>
      <c r="Y324" s="2">
        <v>45723</v>
      </c>
      <c r="Z324" s="2">
        <v>45723</v>
      </c>
      <c r="AB324">
        <v>8553</v>
      </c>
      <c r="AC324">
        <v>77049</v>
      </c>
      <c r="AD324" t="s">
        <v>345</v>
      </c>
      <c r="AE324" s="2">
        <v>45723</v>
      </c>
      <c r="AF324">
        <v>1</v>
      </c>
      <c r="AG324" s="17">
        <v>4.1666666666666602E-2</v>
      </c>
      <c r="AH324" s="2">
        <v>45727</v>
      </c>
    </row>
    <row r="325" spans="1:34" hidden="1" x14ac:dyDescent="0.25">
      <c r="A325" s="12">
        <v>8553</v>
      </c>
      <c r="B325" s="12">
        <v>0</v>
      </c>
      <c r="C325" t="s">
        <v>948</v>
      </c>
      <c r="D325">
        <v>246832</v>
      </c>
      <c r="E325" s="8" t="s">
        <v>300</v>
      </c>
      <c r="F325" s="12">
        <v>21</v>
      </c>
      <c r="G325" s="8" t="s">
        <v>44</v>
      </c>
      <c r="H325" s="12">
        <v>3204</v>
      </c>
      <c r="I325" t="s">
        <v>52</v>
      </c>
      <c r="K325" t="s">
        <v>101</v>
      </c>
      <c r="L325">
        <v>4</v>
      </c>
      <c r="M325" t="s">
        <v>207</v>
      </c>
      <c r="N325" s="12">
        <v>2</v>
      </c>
      <c r="O325" s="8" t="s">
        <v>158</v>
      </c>
      <c r="P325">
        <v>2</v>
      </c>
      <c r="Q325" s="8">
        <v>2</v>
      </c>
      <c r="R325" s="12"/>
      <c r="S325" s="8"/>
      <c r="T325" s="12"/>
      <c r="U325" s="8"/>
      <c r="V325" s="2">
        <v>45723</v>
      </c>
      <c r="W325" s="2">
        <v>45723</v>
      </c>
      <c r="X325" s="2">
        <v>45723</v>
      </c>
      <c r="Y325" s="2">
        <v>45723</v>
      </c>
      <c r="Z325" s="2">
        <v>45723</v>
      </c>
      <c r="AB325">
        <v>8553</v>
      </c>
      <c r="AC325">
        <v>77048</v>
      </c>
      <c r="AD325" t="s">
        <v>949</v>
      </c>
      <c r="AE325" s="2">
        <v>45723</v>
      </c>
      <c r="AF325">
        <v>1</v>
      </c>
      <c r="AG325" s="17">
        <v>4.1666666666666602E-2</v>
      </c>
      <c r="AH325" s="2">
        <v>45727</v>
      </c>
    </row>
    <row r="326" spans="1:34" hidden="1" x14ac:dyDescent="0.25">
      <c r="A326" s="12">
        <v>8543</v>
      </c>
      <c r="B326" s="12">
        <v>0</v>
      </c>
      <c r="C326" t="s">
        <v>388</v>
      </c>
      <c r="D326">
        <v>247434</v>
      </c>
      <c r="E326" s="8" t="s">
        <v>389</v>
      </c>
      <c r="F326" s="12">
        <v>21</v>
      </c>
      <c r="G326" s="8" t="s">
        <v>44</v>
      </c>
      <c r="H326" s="12">
        <v>3200</v>
      </c>
      <c r="I326" t="s">
        <v>50</v>
      </c>
      <c r="J326" t="s">
        <v>62</v>
      </c>
      <c r="K326" t="s">
        <v>63</v>
      </c>
      <c r="N326" s="12">
        <v>1</v>
      </c>
      <c r="O326" s="8" t="s">
        <v>193</v>
      </c>
      <c r="P326">
        <v>1</v>
      </c>
      <c r="Q326" s="8">
        <v>1</v>
      </c>
      <c r="R326" s="12">
        <v>1</v>
      </c>
      <c r="S326" s="8">
        <v>1</v>
      </c>
      <c r="T326" s="12">
        <v>1</v>
      </c>
      <c r="U326" s="8" t="s">
        <v>194</v>
      </c>
      <c r="V326" s="2">
        <v>45726</v>
      </c>
      <c r="W326" s="2">
        <v>45726</v>
      </c>
      <c r="X326" s="2"/>
      <c r="Y326" s="2"/>
      <c r="Z326" s="2">
        <v>45726</v>
      </c>
      <c r="AB326">
        <v>8543</v>
      </c>
      <c r="AC326">
        <v>76840</v>
      </c>
      <c r="AD326" t="s">
        <v>390</v>
      </c>
      <c r="AE326" s="2">
        <v>45726</v>
      </c>
      <c r="AF326">
        <v>0.33333333333333298</v>
      </c>
      <c r="AG326" s="17">
        <v>1.38888888888888E-2</v>
      </c>
      <c r="AH326" s="2">
        <v>45726</v>
      </c>
    </row>
    <row r="327" spans="1:34" hidden="1" x14ac:dyDescent="0.25">
      <c r="A327" s="12">
        <v>8471</v>
      </c>
      <c r="B327" s="12">
        <v>0</v>
      </c>
      <c r="C327" t="s">
        <v>230</v>
      </c>
      <c r="D327">
        <v>247897</v>
      </c>
      <c r="E327" s="8" t="s">
        <v>231</v>
      </c>
      <c r="F327" s="12">
        <v>21</v>
      </c>
      <c r="G327" s="8" t="s">
        <v>44</v>
      </c>
      <c r="H327" s="12">
        <v>3202</v>
      </c>
      <c r="I327" t="s">
        <v>49</v>
      </c>
      <c r="J327" t="s">
        <v>62</v>
      </c>
      <c r="K327" t="s">
        <v>63</v>
      </c>
      <c r="L327">
        <v>4</v>
      </c>
      <c r="M327" t="s">
        <v>207</v>
      </c>
      <c r="N327" s="12">
        <v>2</v>
      </c>
      <c r="O327" s="8" t="s">
        <v>158</v>
      </c>
      <c r="P327">
        <v>3</v>
      </c>
      <c r="Q327" s="8">
        <v>3</v>
      </c>
      <c r="R327" s="12">
        <v>3</v>
      </c>
      <c r="S327" s="8">
        <v>3</v>
      </c>
      <c r="T327" s="12">
        <v>1</v>
      </c>
      <c r="U327" s="8" t="s">
        <v>194</v>
      </c>
      <c r="V327" s="2">
        <v>45706</v>
      </c>
      <c r="W327" s="2">
        <v>45706</v>
      </c>
      <c r="X327" s="2">
        <v>45707</v>
      </c>
      <c r="Y327" s="2">
        <v>45709</v>
      </c>
      <c r="Z327" s="2">
        <v>45707</v>
      </c>
      <c r="AB327">
        <v>8471</v>
      </c>
      <c r="AC327">
        <v>72071</v>
      </c>
      <c r="AD327" t="s">
        <v>391</v>
      </c>
      <c r="AE327" s="2">
        <v>45707</v>
      </c>
      <c r="AF327">
        <v>2.2000000000000002</v>
      </c>
      <c r="AG327" s="17">
        <v>9.1666666666666605E-2</v>
      </c>
      <c r="AH327" s="2">
        <v>45708</v>
      </c>
    </row>
    <row r="328" spans="1:34" hidden="1" x14ac:dyDescent="0.25">
      <c r="A328" s="12">
        <v>8471</v>
      </c>
      <c r="B328" s="12">
        <v>0</v>
      </c>
      <c r="C328" t="s">
        <v>230</v>
      </c>
      <c r="D328">
        <v>247897</v>
      </c>
      <c r="E328" s="8" t="s">
        <v>231</v>
      </c>
      <c r="F328" s="12">
        <v>21</v>
      </c>
      <c r="G328" s="8" t="s">
        <v>44</v>
      </c>
      <c r="H328" s="12">
        <v>3202</v>
      </c>
      <c r="I328" t="s">
        <v>49</v>
      </c>
      <c r="K328" t="s">
        <v>63</v>
      </c>
      <c r="L328">
        <v>4</v>
      </c>
      <c r="M328" t="s">
        <v>207</v>
      </c>
      <c r="N328" s="12">
        <v>2</v>
      </c>
      <c r="O328" s="8" t="s">
        <v>158</v>
      </c>
      <c r="P328">
        <v>3</v>
      </c>
      <c r="Q328" s="8">
        <v>3</v>
      </c>
      <c r="R328" s="12">
        <v>3</v>
      </c>
      <c r="S328" s="8">
        <v>3</v>
      </c>
      <c r="T328" s="12">
        <v>1</v>
      </c>
      <c r="U328" s="8" t="s">
        <v>194</v>
      </c>
      <c r="V328" s="2">
        <v>45706</v>
      </c>
      <c r="W328" s="2">
        <v>45706</v>
      </c>
      <c r="X328" s="2">
        <v>45707</v>
      </c>
      <c r="Y328" s="2">
        <v>45709</v>
      </c>
      <c r="Z328" s="2">
        <v>45707</v>
      </c>
      <c r="AB328">
        <v>8471</v>
      </c>
      <c r="AC328">
        <v>72068</v>
      </c>
      <c r="AD328" t="s">
        <v>629</v>
      </c>
      <c r="AE328" s="2">
        <v>45706</v>
      </c>
      <c r="AF328">
        <v>0.58333333333333304</v>
      </c>
      <c r="AG328" s="17">
        <v>2.43055555555555E-2</v>
      </c>
      <c r="AH328" s="2">
        <v>45708</v>
      </c>
    </row>
    <row r="329" spans="1:34" hidden="1" x14ac:dyDescent="0.25">
      <c r="A329" s="12">
        <v>8547</v>
      </c>
      <c r="B329" s="12">
        <v>0</v>
      </c>
      <c r="C329" t="s">
        <v>392</v>
      </c>
      <c r="D329">
        <v>247434</v>
      </c>
      <c r="E329" s="8" t="s">
        <v>389</v>
      </c>
      <c r="F329" s="12">
        <v>21</v>
      </c>
      <c r="G329" s="8" t="s">
        <v>44</v>
      </c>
      <c r="H329" s="12">
        <v>3200</v>
      </c>
      <c r="I329" t="s">
        <v>50</v>
      </c>
      <c r="J329" t="s">
        <v>62</v>
      </c>
      <c r="K329" t="s">
        <v>63</v>
      </c>
      <c r="L329">
        <v>4</v>
      </c>
      <c r="M329" t="s">
        <v>207</v>
      </c>
      <c r="N329" s="12">
        <v>1</v>
      </c>
      <c r="O329" s="8" t="s">
        <v>193</v>
      </c>
      <c r="P329">
        <v>1</v>
      </c>
      <c r="Q329" s="8">
        <v>1</v>
      </c>
      <c r="R329" s="12">
        <v>1</v>
      </c>
      <c r="S329" s="8">
        <v>1</v>
      </c>
      <c r="T329" s="12">
        <v>1</v>
      </c>
      <c r="U329" s="8" t="s">
        <v>194</v>
      </c>
      <c r="V329" s="2">
        <v>45726</v>
      </c>
      <c r="W329" s="2">
        <v>45726</v>
      </c>
      <c r="X329" s="2"/>
      <c r="Y329" s="2"/>
      <c r="Z329" s="2">
        <v>45726</v>
      </c>
      <c r="AB329">
        <v>8547</v>
      </c>
      <c r="AC329">
        <v>77012</v>
      </c>
      <c r="AD329" t="s">
        <v>466</v>
      </c>
      <c r="AE329" s="2">
        <v>45726</v>
      </c>
      <c r="AF329">
        <v>8.3333333333333301E-2</v>
      </c>
      <c r="AG329" s="17">
        <v>3.4722222222222199E-3</v>
      </c>
      <c r="AH329" s="2">
        <v>45727</v>
      </c>
    </row>
    <row r="330" spans="1:34" hidden="1" x14ac:dyDescent="0.25">
      <c r="A330" s="12">
        <v>8290</v>
      </c>
      <c r="B330" s="12">
        <v>0</v>
      </c>
      <c r="C330" t="s">
        <v>232</v>
      </c>
      <c r="E330" s="8"/>
      <c r="F330" s="12">
        <v>21</v>
      </c>
      <c r="G330" s="8" t="s">
        <v>44</v>
      </c>
      <c r="H330" s="12">
        <v>3201</v>
      </c>
      <c r="I330" t="s">
        <v>51</v>
      </c>
      <c r="J330" t="s">
        <v>62</v>
      </c>
      <c r="K330" t="s">
        <v>63</v>
      </c>
      <c r="L330">
        <v>4</v>
      </c>
      <c r="M330" t="s">
        <v>207</v>
      </c>
      <c r="N330" s="12">
        <v>1</v>
      </c>
      <c r="O330" s="8" t="s">
        <v>193</v>
      </c>
      <c r="P330">
        <v>2</v>
      </c>
      <c r="Q330" s="8">
        <v>2</v>
      </c>
      <c r="R330" s="12">
        <v>3</v>
      </c>
      <c r="S330" s="8">
        <v>3</v>
      </c>
      <c r="T330" s="12">
        <v>2</v>
      </c>
      <c r="U330" s="8" t="s">
        <v>199</v>
      </c>
      <c r="V330" s="2">
        <v>45658</v>
      </c>
      <c r="W330" s="2">
        <v>45658</v>
      </c>
      <c r="X330" s="2">
        <v>45688</v>
      </c>
      <c r="Y330" s="2">
        <v>45688</v>
      </c>
      <c r="Z330" s="2">
        <v>45688</v>
      </c>
      <c r="AB330">
        <v>8290</v>
      </c>
      <c r="AC330">
        <v>67504</v>
      </c>
      <c r="AD330" t="s">
        <v>393</v>
      </c>
      <c r="AE330" s="2">
        <v>45688</v>
      </c>
      <c r="AF330">
        <v>5</v>
      </c>
      <c r="AG330" s="17">
        <v>0.20833333333333301</v>
      </c>
      <c r="AH330" s="2">
        <v>45691</v>
      </c>
    </row>
    <row r="331" spans="1:34" hidden="1" x14ac:dyDescent="0.25">
      <c r="A331" s="12">
        <v>8314</v>
      </c>
      <c r="B331" s="12">
        <v>0</v>
      </c>
      <c r="C331" t="s">
        <v>233</v>
      </c>
      <c r="E331" s="8"/>
      <c r="F331" s="12">
        <v>21</v>
      </c>
      <c r="G331" s="8" t="s">
        <v>44</v>
      </c>
      <c r="H331" s="12">
        <v>3201</v>
      </c>
      <c r="I331" t="s">
        <v>51</v>
      </c>
      <c r="J331" t="s">
        <v>62</v>
      </c>
      <c r="K331" t="s">
        <v>63</v>
      </c>
      <c r="L331">
        <v>4</v>
      </c>
      <c r="M331" t="s">
        <v>207</v>
      </c>
      <c r="N331" s="12">
        <v>1</v>
      </c>
      <c r="O331" s="8" t="s">
        <v>193</v>
      </c>
      <c r="P331">
        <v>2</v>
      </c>
      <c r="Q331" s="8">
        <v>2</v>
      </c>
      <c r="R331" s="12">
        <v>3</v>
      </c>
      <c r="S331" s="8">
        <v>3</v>
      </c>
      <c r="T331" s="12">
        <v>1</v>
      </c>
      <c r="U331" s="8" t="s">
        <v>194</v>
      </c>
      <c r="V331" s="2">
        <v>45689</v>
      </c>
      <c r="W331" s="2">
        <v>45689</v>
      </c>
      <c r="X331" s="2">
        <v>45716</v>
      </c>
      <c r="Y331" s="2">
        <v>45716</v>
      </c>
      <c r="Z331" s="2"/>
      <c r="AB331">
        <v>8314</v>
      </c>
      <c r="AC331">
        <v>74176</v>
      </c>
      <c r="AD331" t="s">
        <v>394</v>
      </c>
      <c r="AE331" s="2">
        <v>45715</v>
      </c>
      <c r="AF331">
        <v>1.5</v>
      </c>
      <c r="AG331" s="17">
        <v>6.25E-2</v>
      </c>
      <c r="AH331" s="2">
        <v>45716</v>
      </c>
    </row>
    <row r="332" spans="1:34" hidden="1" x14ac:dyDescent="0.25">
      <c r="A332" s="12">
        <v>8314</v>
      </c>
      <c r="B332" s="12">
        <v>0</v>
      </c>
      <c r="C332" t="s">
        <v>233</v>
      </c>
      <c r="E332" s="8"/>
      <c r="F332" s="12">
        <v>21</v>
      </c>
      <c r="G332" s="8" t="s">
        <v>44</v>
      </c>
      <c r="H332" s="12">
        <v>3201</v>
      </c>
      <c r="I332" t="s">
        <v>51</v>
      </c>
      <c r="K332" t="s">
        <v>63</v>
      </c>
      <c r="L332">
        <v>4</v>
      </c>
      <c r="M332" t="s">
        <v>207</v>
      </c>
      <c r="N332" s="12">
        <v>1</v>
      </c>
      <c r="O332" s="8" t="s">
        <v>193</v>
      </c>
      <c r="P332">
        <v>2</v>
      </c>
      <c r="Q332" s="8">
        <v>2</v>
      </c>
      <c r="R332" s="12">
        <v>3</v>
      </c>
      <c r="S332" s="8">
        <v>3</v>
      </c>
      <c r="T332" s="12">
        <v>1</v>
      </c>
      <c r="U332" s="8" t="s">
        <v>194</v>
      </c>
      <c r="V332" s="2">
        <v>45689</v>
      </c>
      <c r="W332" s="2">
        <v>45689</v>
      </c>
      <c r="X332" s="2">
        <v>45716</v>
      </c>
      <c r="Y332" s="2">
        <v>45716</v>
      </c>
      <c r="Z332" s="2"/>
      <c r="AB332">
        <v>8314</v>
      </c>
      <c r="AC332">
        <v>73430</v>
      </c>
      <c r="AD332" t="s">
        <v>630</v>
      </c>
      <c r="AE332" s="2">
        <v>45713</v>
      </c>
      <c r="AF332">
        <v>2.5</v>
      </c>
      <c r="AG332" s="17">
        <v>0.10416666666666601</v>
      </c>
      <c r="AH332" s="2">
        <v>45713</v>
      </c>
    </row>
    <row r="333" spans="1:34" hidden="1" x14ac:dyDescent="0.25">
      <c r="A333" s="12">
        <v>8314</v>
      </c>
      <c r="B333" s="12">
        <v>0</v>
      </c>
      <c r="C333" t="s">
        <v>233</v>
      </c>
      <c r="E333" s="8"/>
      <c r="F333" s="12">
        <v>21</v>
      </c>
      <c r="G333" s="8" t="s">
        <v>44</v>
      </c>
      <c r="H333" s="12">
        <v>3201</v>
      </c>
      <c r="I333" t="s">
        <v>51</v>
      </c>
      <c r="K333" t="s">
        <v>63</v>
      </c>
      <c r="L333">
        <v>4</v>
      </c>
      <c r="M333" t="s">
        <v>207</v>
      </c>
      <c r="N333" s="12">
        <v>1</v>
      </c>
      <c r="O333" s="8" t="s">
        <v>193</v>
      </c>
      <c r="P333">
        <v>2</v>
      </c>
      <c r="Q333" s="8">
        <v>2</v>
      </c>
      <c r="R333" s="12">
        <v>3</v>
      </c>
      <c r="S333" s="8">
        <v>3</v>
      </c>
      <c r="T333" s="12">
        <v>1</v>
      </c>
      <c r="U333" s="8" t="s">
        <v>194</v>
      </c>
      <c r="V333" s="2">
        <v>45689</v>
      </c>
      <c r="W333" s="2">
        <v>45689</v>
      </c>
      <c r="X333" s="2">
        <v>45716</v>
      </c>
      <c r="Y333" s="2">
        <v>45716</v>
      </c>
      <c r="Z333" s="2"/>
      <c r="AB333">
        <v>8314</v>
      </c>
      <c r="AC333">
        <v>71806</v>
      </c>
      <c r="AD333" t="s">
        <v>631</v>
      </c>
      <c r="AE333" s="2">
        <v>45706</v>
      </c>
      <c r="AF333">
        <v>1</v>
      </c>
      <c r="AG333" s="17">
        <v>4.1666666666666602E-2</v>
      </c>
      <c r="AH333" s="2">
        <v>45707</v>
      </c>
    </row>
    <row r="334" spans="1:34" hidden="1" x14ac:dyDescent="0.25">
      <c r="A334" s="12">
        <v>8314</v>
      </c>
      <c r="B334" s="12">
        <v>0</v>
      </c>
      <c r="C334" t="s">
        <v>233</v>
      </c>
      <c r="E334" s="8"/>
      <c r="F334" s="12">
        <v>21</v>
      </c>
      <c r="G334" s="8" t="s">
        <v>44</v>
      </c>
      <c r="H334" s="12">
        <v>3201</v>
      </c>
      <c r="I334" t="s">
        <v>51</v>
      </c>
      <c r="K334" t="s">
        <v>63</v>
      </c>
      <c r="L334">
        <v>4</v>
      </c>
      <c r="M334" t="s">
        <v>207</v>
      </c>
      <c r="N334" s="12">
        <v>1</v>
      </c>
      <c r="O334" s="8" t="s">
        <v>193</v>
      </c>
      <c r="P334">
        <v>2</v>
      </c>
      <c r="Q334" s="8">
        <v>2</v>
      </c>
      <c r="R334" s="12">
        <v>3</v>
      </c>
      <c r="S334" s="8">
        <v>3</v>
      </c>
      <c r="T334" s="12">
        <v>1</v>
      </c>
      <c r="U334" s="8" t="s">
        <v>194</v>
      </c>
      <c r="V334" s="2">
        <v>45689</v>
      </c>
      <c r="W334" s="2">
        <v>45689</v>
      </c>
      <c r="X334" s="2">
        <v>45716</v>
      </c>
      <c r="Y334" s="2">
        <v>45716</v>
      </c>
      <c r="Z334" s="2"/>
      <c r="AB334">
        <v>8314</v>
      </c>
      <c r="AC334">
        <v>69862</v>
      </c>
      <c r="AD334" t="s">
        <v>632</v>
      </c>
      <c r="AE334" s="2">
        <v>45698</v>
      </c>
      <c r="AF334">
        <v>1</v>
      </c>
      <c r="AG334" s="17">
        <v>4.1666666666666602E-2</v>
      </c>
      <c r="AH334" s="2">
        <v>45700</v>
      </c>
    </row>
    <row r="335" spans="1:34" hidden="1" x14ac:dyDescent="0.25">
      <c r="A335" s="12">
        <v>8314</v>
      </c>
      <c r="B335" s="12">
        <v>0</v>
      </c>
      <c r="C335" t="s">
        <v>233</v>
      </c>
      <c r="E335" s="8"/>
      <c r="F335" s="12">
        <v>21</v>
      </c>
      <c r="G335" s="8" t="s">
        <v>44</v>
      </c>
      <c r="H335" s="12">
        <v>3201</v>
      </c>
      <c r="I335" t="s">
        <v>51</v>
      </c>
      <c r="K335" t="s">
        <v>63</v>
      </c>
      <c r="L335">
        <v>4</v>
      </c>
      <c r="M335" t="s">
        <v>207</v>
      </c>
      <c r="N335" s="12">
        <v>1</v>
      </c>
      <c r="O335" s="8" t="s">
        <v>193</v>
      </c>
      <c r="P335">
        <v>2</v>
      </c>
      <c r="Q335" s="8">
        <v>2</v>
      </c>
      <c r="R335" s="12">
        <v>3</v>
      </c>
      <c r="S335" s="8">
        <v>3</v>
      </c>
      <c r="T335" s="12">
        <v>1</v>
      </c>
      <c r="U335" s="8" t="s">
        <v>194</v>
      </c>
      <c r="V335" s="2">
        <v>45689</v>
      </c>
      <c r="W335" s="2">
        <v>45689</v>
      </c>
      <c r="X335" s="2">
        <v>45716</v>
      </c>
      <c r="Y335" s="2">
        <v>45716</v>
      </c>
      <c r="Z335" s="2"/>
      <c r="AB335">
        <v>8314</v>
      </c>
      <c r="AC335">
        <v>68295</v>
      </c>
      <c r="AD335" t="s">
        <v>633</v>
      </c>
      <c r="AE335" s="2">
        <v>45694</v>
      </c>
      <c r="AF335">
        <v>1</v>
      </c>
      <c r="AG335" s="17">
        <v>4.1666666666666602E-2</v>
      </c>
      <c r="AH335" s="2">
        <v>45694</v>
      </c>
    </row>
    <row r="336" spans="1:34" hidden="1" x14ac:dyDescent="0.25">
      <c r="A336" s="12">
        <v>8314</v>
      </c>
      <c r="B336" s="12">
        <v>0</v>
      </c>
      <c r="C336" t="s">
        <v>233</v>
      </c>
      <c r="E336" s="8"/>
      <c r="F336" s="12">
        <v>21</v>
      </c>
      <c r="G336" s="8" t="s">
        <v>44</v>
      </c>
      <c r="H336" s="12">
        <v>3201</v>
      </c>
      <c r="I336" t="s">
        <v>51</v>
      </c>
      <c r="K336" t="s">
        <v>63</v>
      </c>
      <c r="L336">
        <v>4</v>
      </c>
      <c r="M336" t="s">
        <v>207</v>
      </c>
      <c r="N336" s="12">
        <v>1</v>
      </c>
      <c r="O336" s="8" t="s">
        <v>193</v>
      </c>
      <c r="P336">
        <v>2</v>
      </c>
      <c r="Q336" s="8">
        <v>2</v>
      </c>
      <c r="R336" s="12">
        <v>3</v>
      </c>
      <c r="S336" s="8">
        <v>3</v>
      </c>
      <c r="T336" s="12">
        <v>1</v>
      </c>
      <c r="U336" s="8" t="s">
        <v>194</v>
      </c>
      <c r="V336" s="2">
        <v>45689</v>
      </c>
      <c r="W336" s="2">
        <v>45689</v>
      </c>
      <c r="X336" s="2">
        <v>45716</v>
      </c>
      <c r="Y336" s="2">
        <v>45716</v>
      </c>
      <c r="Z336" s="2"/>
      <c r="AB336">
        <v>8314</v>
      </c>
      <c r="AC336">
        <v>68294</v>
      </c>
      <c r="AD336" t="s">
        <v>632</v>
      </c>
      <c r="AE336" s="2">
        <v>45692</v>
      </c>
      <c r="AF336">
        <v>1.5</v>
      </c>
      <c r="AG336" s="17">
        <v>6.25E-2</v>
      </c>
      <c r="AH336" s="2">
        <v>45694</v>
      </c>
    </row>
    <row r="337" spans="1:34" hidden="1" x14ac:dyDescent="0.25">
      <c r="A337" s="12">
        <v>8314</v>
      </c>
      <c r="B337" s="12">
        <v>0</v>
      </c>
      <c r="C337" t="s">
        <v>233</v>
      </c>
      <c r="E337" s="8"/>
      <c r="F337" s="12">
        <v>21</v>
      </c>
      <c r="G337" s="8" t="s">
        <v>44</v>
      </c>
      <c r="H337" s="12">
        <v>3201</v>
      </c>
      <c r="I337" t="s">
        <v>51</v>
      </c>
      <c r="K337" t="s">
        <v>63</v>
      </c>
      <c r="L337">
        <v>4</v>
      </c>
      <c r="M337" t="s">
        <v>207</v>
      </c>
      <c r="N337" s="12">
        <v>1</v>
      </c>
      <c r="O337" s="8" t="s">
        <v>193</v>
      </c>
      <c r="P337">
        <v>2</v>
      </c>
      <c r="Q337" s="8">
        <v>2</v>
      </c>
      <c r="R337" s="12">
        <v>3</v>
      </c>
      <c r="S337" s="8">
        <v>3</v>
      </c>
      <c r="T337" s="12">
        <v>1</v>
      </c>
      <c r="U337" s="8" t="s">
        <v>194</v>
      </c>
      <c r="V337" s="2">
        <v>45689</v>
      </c>
      <c r="W337" s="2">
        <v>45689</v>
      </c>
      <c r="X337" s="2">
        <v>45716</v>
      </c>
      <c r="Y337" s="2">
        <v>45716</v>
      </c>
      <c r="Z337" s="2"/>
      <c r="AB337">
        <v>8314</v>
      </c>
      <c r="AC337">
        <v>68293</v>
      </c>
      <c r="AD337" t="s">
        <v>632</v>
      </c>
      <c r="AE337" s="2">
        <v>45691</v>
      </c>
      <c r="AF337">
        <v>2</v>
      </c>
      <c r="AG337" s="17">
        <v>8.3333333333333301E-2</v>
      </c>
      <c r="AH337" s="2">
        <v>45694</v>
      </c>
    </row>
    <row r="338" spans="1:34" hidden="1" x14ac:dyDescent="0.25">
      <c r="A338" s="12">
        <v>8506</v>
      </c>
      <c r="B338" s="12">
        <v>0</v>
      </c>
      <c r="C338" t="s">
        <v>395</v>
      </c>
      <c r="D338">
        <v>247828</v>
      </c>
      <c r="E338" s="8" t="s">
        <v>61</v>
      </c>
      <c r="F338" s="12">
        <v>22</v>
      </c>
      <c r="G338" s="8" t="s">
        <v>45</v>
      </c>
      <c r="H338" s="12">
        <v>3204</v>
      </c>
      <c r="I338" t="s">
        <v>52</v>
      </c>
      <c r="J338" t="s">
        <v>62</v>
      </c>
      <c r="K338" t="s">
        <v>101</v>
      </c>
      <c r="L338">
        <v>3</v>
      </c>
      <c r="M338" t="s">
        <v>192</v>
      </c>
      <c r="N338" s="12">
        <v>2</v>
      </c>
      <c r="O338" s="8" t="s">
        <v>158</v>
      </c>
      <c r="P338">
        <v>2</v>
      </c>
      <c r="Q338" s="8">
        <v>2</v>
      </c>
      <c r="R338" s="12"/>
      <c r="S338" s="8"/>
      <c r="T338" s="12"/>
      <c r="U338" s="8"/>
      <c r="V338" s="2">
        <v>45719</v>
      </c>
      <c r="W338" s="2">
        <v>45719</v>
      </c>
      <c r="X338" s="2">
        <v>45719</v>
      </c>
      <c r="Y338" s="2"/>
      <c r="Z338" s="2"/>
      <c r="AB338">
        <v>8506</v>
      </c>
      <c r="AC338">
        <v>76990</v>
      </c>
      <c r="AD338" t="s">
        <v>345</v>
      </c>
      <c r="AE338" s="2">
        <v>45726</v>
      </c>
      <c r="AF338">
        <v>1</v>
      </c>
      <c r="AG338" s="17">
        <v>4.1666666666666602E-2</v>
      </c>
      <c r="AH338" s="2">
        <v>45726</v>
      </c>
    </row>
    <row r="339" spans="1:34" hidden="1" x14ac:dyDescent="0.25">
      <c r="A339" s="12">
        <v>8506</v>
      </c>
      <c r="B339" s="12">
        <v>0</v>
      </c>
      <c r="C339" t="s">
        <v>395</v>
      </c>
      <c r="D339">
        <v>247828</v>
      </c>
      <c r="E339" s="8" t="s">
        <v>61</v>
      </c>
      <c r="F339" s="12">
        <v>22</v>
      </c>
      <c r="G339" s="8" t="s">
        <v>45</v>
      </c>
      <c r="H339" s="12">
        <v>3204</v>
      </c>
      <c r="I339" t="s">
        <v>52</v>
      </c>
      <c r="K339" t="s">
        <v>101</v>
      </c>
      <c r="L339">
        <v>3</v>
      </c>
      <c r="M339" t="s">
        <v>192</v>
      </c>
      <c r="N339" s="12">
        <v>2</v>
      </c>
      <c r="O339" s="8" t="s">
        <v>158</v>
      </c>
      <c r="P339">
        <v>2</v>
      </c>
      <c r="Q339" s="8">
        <v>2</v>
      </c>
      <c r="R339" s="12"/>
      <c r="S339" s="8"/>
      <c r="T339" s="12"/>
      <c r="U339" s="8"/>
      <c r="V339" s="2">
        <v>45719</v>
      </c>
      <c r="W339" s="2">
        <v>45719</v>
      </c>
      <c r="X339" s="2">
        <v>45719</v>
      </c>
      <c r="Y339" s="2"/>
      <c r="Z339" s="2"/>
      <c r="AB339">
        <v>8506</v>
      </c>
      <c r="AC339">
        <v>75572</v>
      </c>
      <c r="AD339" t="s">
        <v>345</v>
      </c>
      <c r="AE339" s="2">
        <v>45719</v>
      </c>
      <c r="AF339">
        <v>6</v>
      </c>
      <c r="AG339" s="17">
        <v>0.25</v>
      </c>
      <c r="AH339" s="2">
        <v>45721</v>
      </c>
    </row>
    <row r="340" spans="1:34" hidden="1" x14ac:dyDescent="0.25">
      <c r="A340" s="12">
        <v>8506</v>
      </c>
      <c r="B340" s="12">
        <v>0</v>
      </c>
      <c r="C340" t="s">
        <v>395</v>
      </c>
      <c r="D340">
        <v>247828</v>
      </c>
      <c r="E340" s="8" t="s">
        <v>61</v>
      </c>
      <c r="F340" s="12">
        <v>22</v>
      </c>
      <c r="G340" s="8" t="s">
        <v>45</v>
      </c>
      <c r="H340" s="12">
        <v>3204</v>
      </c>
      <c r="I340" t="s">
        <v>52</v>
      </c>
      <c r="K340" t="s">
        <v>101</v>
      </c>
      <c r="L340">
        <v>3</v>
      </c>
      <c r="M340" t="s">
        <v>192</v>
      </c>
      <c r="N340" s="12">
        <v>2</v>
      </c>
      <c r="O340" s="8" t="s">
        <v>158</v>
      </c>
      <c r="P340">
        <v>2</v>
      </c>
      <c r="Q340" s="8">
        <v>2</v>
      </c>
      <c r="R340" s="12"/>
      <c r="S340" s="8"/>
      <c r="T340" s="12"/>
      <c r="U340" s="8"/>
      <c r="V340" s="2">
        <v>45719</v>
      </c>
      <c r="W340" s="2">
        <v>45719</v>
      </c>
      <c r="X340" s="2">
        <v>45719</v>
      </c>
      <c r="Y340" s="2"/>
      <c r="Z340" s="2"/>
      <c r="AB340">
        <v>8506</v>
      </c>
      <c r="AC340">
        <v>75261</v>
      </c>
      <c r="AD340" t="s">
        <v>345</v>
      </c>
      <c r="AE340" s="2">
        <v>45719</v>
      </c>
      <c r="AF340">
        <v>3</v>
      </c>
      <c r="AG340" s="17">
        <v>0.125</v>
      </c>
      <c r="AH340" s="2">
        <v>45720</v>
      </c>
    </row>
    <row r="341" spans="1:34" hidden="1" x14ac:dyDescent="0.25">
      <c r="A341" s="12">
        <v>8307</v>
      </c>
      <c r="B341" s="12">
        <v>0</v>
      </c>
      <c r="C341" t="s">
        <v>234</v>
      </c>
      <c r="E341" s="8"/>
      <c r="F341" s="12">
        <v>28</v>
      </c>
      <c r="G341" s="8" t="s">
        <v>42</v>
      </c>
      <c r="H341" s="12">
        <v>195</v>
      </c>
      <c r="I341" t="s">
        <v>346</v>
      </c>
      <c r="J341" t="s">
        <v>62</v>
      </c>
      <c r="K341" t="s">
        <v>63</v>
      </c>
      <c r="N341" s="12"/>
      <c r="O341" s="8"/>
      <c r="Q341" s="8"/>
      <c r="R341" s="12"/>
      <c r="S341" s="8"/>
      <c r="T341" s="12"/>
      <c r="U341" s="8"/>
      <c r="V341" s="2"/>
      <c r="W341" s="2"/>
      <c r="X341" s="2"/>
      <c r="Y341" s="2"/>
      <c r="Z341" s="2"/>
      <c r="AB341">
        <v>8307</v>
      </c>
      <c r="AC341">
        <v>74581</v>
      </c>
      <c r="AD341" t="s">
        <v>396</v>
      </c>
      <c r="AE341" s="2">
        <v>45715</v>
      </c>
      <c r="AF341">
        <v>3</v>
      </c>
      <c r="AG341" s="17">
        <v>0.125</v>
      </c>
      <c r="AH341" s="2">
        <v>45716</v>
      </c>
    </row>
    <row r="342" spans="1:34" hidden="1" x14ac:dyDescent="0.25">
      <c r="A342" s="12">
        <v>8307</v>
      </c>
      <c r="B342" s="12">
        <v>0</v>
      </c>
      <c r="C342" t="s">
        <v>234</v>
      </c>
      <c r="E342" s="8"/>
      <c r="F342" s="12">
        <v>28</v>
      </c>
      <c r="G342" s="8" t="s">
        <v>42</v>
      </c>
      <c r="H342" s="12">
        <v>195</v>
      </c>
      <c r="I342" t="s">
        <v>346</v>
      </c>
      <c r="K342" t="s">
        <v>63</v>
      </c>
      <c r="N342" s="12"/>
      <c r="O342" s="8"/>
      <c r="Q342" s="8"/>
      <c r="R342" s="12"/>
      <c r="S342" s="8"/>
      <c r="T342" s="12"/>
      <c r="U342" s="8"/>
      <c r="V342" s="2"/>
      <c r="W342" s="2"/>
      <c r="X342" s="2"/>
      <c r="Y342" s="2"/>
      <c r="Z342" s="2"/>
      <c r="AB342">
        <v>8307</v>
      </c>
      <c r="AC342">
        <v>74580</v>
      </c>
      <c r="AD342" t="s">
        <v>634</v>
      </c>
      <c r="AE342" s="2">
        <v>45715</v>
      </c>
      <c r="AF342">
        <v>1</v>
      </c>
      <c r="AG342" s="17">
        <v>4.1666666666666602E-2</v>
      </c>
      <c r="AH342" s="2">
        <v>45716</v>
      </c>
    </row>
    <row r="343" spans="1:34" hidden="1" x14ac:dyDescent="0.25">
      <c r="A343" s="12">
        <v>8307</v>
      </c>
      <c r="B343" s="12">
        <v>0</v>
      </c>
      <c r="C343" t="s">
        <v>234</v>
      </c>
      <c r="E343" s="8"/>
      <c r="F343" s="12">
        <v>28</v>
      </c>
      <c r="G343" s="8" t="s">
        <v>42</v>
      </c>
      <c r="H343" s="12">
        <v>195</v>
      </c>
      <c r="I343" t="s">
        <v>346</v>
      </c>
      <c r="K343" t="s">
        <v>63</v>
      </c>
      <c r="N343" s="12"/>
      <c r="O343" s="8"/>
      <c r="Q343" s="8"/>
      <c r="R343" s="12"/>
      <c r="S343" s="8"/>
      <c r="T343" s="12"/>
      <c r="U343" s="8"/>
      <c r="V343" s="2"/>
      <c r="W343" s="2"/>
      <c r="X343" s="2"/>
      <c r="Y343" s="2"/>
      <c r="Z343" s="2"/>
      <c r="AB343">
        <v>8307</v>
      </c>
      <c r="AC343">
        <v>74577</v>
      </c>
      <c r="AD343" t="s">
        <v>635</v>
      </c>
      <c r="AE343" s="2">
        <v>45713</v>
      </c>
      <c r="AF343">
        <v>1</v>
      </c>
      <c r="AG343" s="17">
        <v>4.1666666666666602E-2</v>
      </c>
      <c r="AH343" s="2">
        <v>45716</v>
      </c>
    </row>
    <row r="344" spans="1:34" hidden="1" x14ac:dyDescent="0.25">
      <c r="A344" s="12">
        <v>8307</v>
      </c>
      <c r="B344" s="12">
        <v>0</v>
      </c>
      <c r="C344" t="s">
        <v>234</v>
      </c>
      <c r="E344" s="8"/>
      <c r="F344" s="12">
        <v>28</v>
      </c>
      <c r="G344" s="8" t="s">
        <v>42</v>
      </c>
      <c r="H344" s="12">
        <v>195</v>
      </c>
      <c r="I344" t="s">
        <v>346</v>
      </c>
      <c r="K344" t="s">
        <v>63</v>
      </c>
      <c r="N344" s="12"/>
      <c r="O344" s="8"/>
      <c r="Q344" s="8"/>
      <c r="R344" s="12"/>
      <c r="S344" s="8"/>
      <c r="T344" s="12"/>
      <c r="U344" s="8"/>
      <c r="V344" s="2"/>
      <c r="W344" s="2"/>
      <c r="X344" s="2"/>
      <c r="Y344" s="2"/>
      <c r="Z344" s="2"/>
      <c r="AB344">
        <v>8307</v>
      </c>
      <c r="AC344">
        <v>74576</v>
      </c>
      <c r="AD344" t="s">
        <v>635</v>
      </c>
      <c r="AE344" s="2">
        <v>45713</v>
      </c>
      <c r="AF344">
        <v>1</v>
      </c>
      <c r="AG344" s="17">
        <v>4.1666666666666602E-2</v>
      </c>
      <c r="AH344" s="2">
        <v>45716</v>
      </c>
    </row>
    <row r="345" spans="1:34" hidden="1" x14ac:dyDescent="0.25">
      <c r="A345" s="12">
        <v>8307</v>
      </c>
      <c r="B345" s="12">
        <v>0</v>
      </c>
      <c r="C345" t="s">
        <v>234</v>
      </c>
      <c r="E345" s="8"/>
      <c r="F345" s="12">
        <v>28</v>
      </c>
      <c r="G345" s="8" t="s">
        <v>42</v>
      </c>
      <c r="H345" s="12">
        <v>195</v>
      </c>
      <c r="I345" t="s">
        <v>346</v>
      </c>
      <c r="K345" t="s">
        <v>63</v>
      </c>
      <c r="N345" s="12"/>
      <c r="O345" s="8"/>
      <c r="Q345" s="8"/>
      <c r="R345" s="12"/>
      <c r="S345" s="8"/>
      <c r="T345" s="12"/>
      <c r="U345" s="8"/>
      <c r="V345" s="2"/>
      <c r="W345" s="2"/>
      <c r="X345" s="2"/>
      <c r="Y345" s="2"/>
      <c r="Z345" s="2"/>
      <c r="AB345">
        <v>8307</v>
      </c>
      <c r="AC345">
        <v>72801</v>
      </c>
      <c r="AD345" t="s">
        <v>636</v>
      </c>
      <c r="AE345" s="2">
        <v>45708</v>
      </c>
      <c r="AF345">
        <v>2.75</v>
      </c>
      <c r="AG345" s="17">
        <v>0.114583333333333</v>
      </c>
      <c r="AH345" s="2">
        <v>45709</v>
      </c>
    </row>
    <row r="346" spans="1:34" hidden="1" x14ac:dyDescent="0.25">
      <c r="A346" s="12">
        <v>8307</v>
      </c>
      <c r="B346" s="12">
        <v>0</v>
      </c>
      <c r="C346" t="s">
        <v>234</v>
      </c>
      <c r="E346" s="8"/>
      <c r="F346" s="12">
        <v>28</v>
      </c>
      <c r="G346" s="8" t="s">
        <v>42</v>
      </c>
      <c r="H346" s="12">
        <v>195</v>
      </c>
      <c r="I346" t="s">
        <v>346</v>
      </c>
      <c r="K346" t="s">
        <v>63</v>
      </c>
      <c r="N346" s="12"/>
      <c r="O346" s="8"/>
      <c r="Q346" s="8"/>
      <c r="R346" s="12"/>
      <c r="S346" s="8"/>
      <c r="T346" s="12"/>
      <c r="U346" s="8"/>
      <c r="V346" s="2"/>
      <c r="W346" s="2"/>
      <c r="X346" s="2"/>
      <c r="Y346" s="2"/>
      <c r="Z346" s="2"/>
      <c r="AB346">
        <v>8307</v>
      </c>
      <c r="AC346">
        <v>70183</v>
      </c>
      <c r="AD346" t="s">
        <v>637</v>
      </c>
      <c r="AE346" s="2">
        <v>45701</v>
      </c>
      <c r="AF346">
        <v>1</v>
      </c>
      <c r="AG346" s="17">
        <v>4.1666666666666602E-2</v>
      </c>
      <c r="AH346" s="2">
        <v>45701</v>
      </c>
    </row>
    <row r="347" spans="1:34" hidden="1" x14ac:dyDescent="0.25">
      <c r="A347" s="12">
        <v>8307</v>
      </c>
      <c r="B347" s="12">
        <v>0</v>
      </c>
      <c r="C347" t="s">
        <v>234</v>
      </c>
      <c r="E347" s="8"/>
      <c r="F347" s="12">
        <v>28</v>
      </c>
      <c r="G347" s="8" t="s">
        <v>42</v>
      </c>
      <c r="H347" s="12">
        <v>195</v>
      </c>
      <c r="I347" t="s">
        <v>346</v>
      </c>
      <c r="K347" t="s">
        <v>63</v>
      </c>
      <c r="N347" s="12"/>
      <c r="O347" s="8"/>
      <c r="Q347" s="8"/>
      <c r="R347" s="12"/>
      <c r="S347" s="8"/>
      <c r="T347" s="12"/>
      <c r="U347" s="8"/>
      <c r="V347" s="2"/>
      <c r="W347" s="2"/>
      <c r="X347" s="2"/>
      <c r="Y347" s="2"/>
      <c r="Z347" s="2"/>
      <c r="AB347">
        <v>8307</v>
      </c>
      <c r="AC347">
        <v>70159</v>
      </c>
      <c r="AD347" t="s">
        <v>637</v>
      </c>
      <c r="AE347" s="2">
        <v>45701</v>
      </c>
      <c r="AF347">
        <v>1</v>
      </c>
      <c r="AG347" s="17">
        <v>4.1666666666666602E-2</v>
      </c>
      <c r="AH347" s="2">
        <v>45701</v>
      </c>
    </row>
    <row r="348" spans="1:34" hidden="1" x14ac:dyDescent="0.25">
      <c r="A348" s="12">
        <v>8307</v>
      </c>
      <c r="B348" s="12">
        <v>0</v>
      </c>
      <c r="C348" t="s">
        <v>234</v>
      </c>
      <c r="E348" s="8"/>
      <c r="F348" s="12">
        <v>28</v>
      </c>
      <c r="G348" s="8" t="s">
        <v>42</v>
      </c>
      <c r="H348" s="12">
        <v>195</v>
      </c>
      <c r="I348" t="s">
        <v>346</v>
      </c>
      <c r="K348" t="s">
        <v>63</v>
      </c>
      <c r="N348" s="12"/>
      <c r="O348" s="8"/>
      <c r="Q348" s="8"/>
      <c r="R348" s="12"/>
      <c r="S348" s="8"/>
      <c r="T348" s="12"/>
      <c r="U348" s="8"/>
      <c r="V348" s="2"/>
      <c r="W348" s="2"/>
      <c r="X348" s="2"/>
      <c r="Y348" s="2"/>
      <c r="Z348" s="2"/>
      <c r="AB348">
        <v>8307</v>
      </c>
      <c r="AC348">
        <v>68235</v>
      </c>
      <c r="AD348" t="s">
        <v>638</v>
      </c>
      <c r="AE348" s="2">
        <v>45694</v>
      </c>
      <c r="AF348">
        <v>3</v>
      </c>
      <c r="AG348" s="17">
        <v>0.125</v>
      </c>
      <c r="AH348" s="2">
        <v>45694</v>
      </c>
    </row>
    <row r="349" spans="1:34" hidden="1" x14ac:dyDescent="0.25">
      <c r="A349" s="12">
        <v>8307</v>
      </c>
      <c r="B349" s="12">
        <v>0</v>
      </c>
      <c r="C349" t="s">
        <v>234</v>
      </c>
      <c r="E349" s="8"/>
      <c r="F349" s="12">
        <v>28</v>
      </c>
      <c r="G349" s="8" t="s">
        <v>42</v>
      </c>
      <c r="H349" s="12">
        <v>195</v>
      </c>
      <c r="I349" t="s">
        <v>346</v>
      </c>
      <c r="K349" t="s">
        <v>63</v>
      </c>
      <c r="N349" s="12"/>
      <c r="O349" s="8"/>
      <c r="Q349" s="8"/>
      <c r="R349" s="12"/>
      <c r="S349" s="8"/>
      <c r="T349" s="12"/>
      <c r="U349" s="8"/>
      <c r="V349" s="2"/>
      <c r="W349" s="2"/>
      <c r="X349" s="2"/>
      <c r="Y349" s="2"/>
      <c r="Z349" s="2"/>
      <c r="AB349">
        <v>8307</v>
      </c>
      <c r="AC349">
        <v>68081</v>
      </c>
      <c r="AD349" t="s">
        <v>639</v>
      </c>
      <c r="AE349" s="2">
        <v>45693</v>
      </c>
      <c r="AF349">
        <v>1.5</v>
      </c>
      <c r="AG349" s="17">
        <v>6.25E-2</v>
      </c>
      <c r="AH349" s="2">
        <v>45693</v>
      </c>
    </row>
    <row r="350" spans="1:34" hidden="1" x14ac:dyDescent="0.25">
      <c r="A350" s="12">
        <v>8492</v>
      </c>
      <c r="B350" s="12">
        <v>0</v>
      </c>
      <c r="C350" t="s">
        <v>235</v>
      </c>
      <c r="D350">
        <v>247857</v>
      </c>
      <c r="E350" s="8" t="s">
        <v>66</v>
      </c>
      <c r="F350" s="12">
        <v>30</v>
      </c>
      <c r="G350" s="8" t="s">
        <v>41</v>
      </c>
      <c r="H350" s="12">
        <v>3241</v>
      </c>
      <c r="I350" t="s">
        <v>236</v>
      </c>
      <c r="J350" t="s">
        <v>62</v>
      </c>
      <c r="K350" t="s">
        <v>63</v>
      </c>
      <c r="L350">
        <v>1</v>
      </c>
      <c r="M350" t="s">
        <v>198</v>
      </c>
      <c r="N350" s="12">
        <v>2</v>
      </c>
      <c r="O350" s="8" t="s">
        <v>158</v>
      </c>
      <c r="P350">
        <v>1</v>
      </c>
      <c r="Q350" s="8">
        <v>1</v>
      </c>
      <c r="R350" s="12">
        <v>1</v>
      </c>
      <c r="S350" s="8">
        <v>1</v>
      </c>
      <c r="T350" s="12">
        <v>2</v>
      </c>
      <c r="U350" s="8" t="s">
        <v>199</v>
      </c>
      <c r="V350" s="2">
        <v>45713</v>
      </c>
      <c r="W350" s="2">
        <v>45713</v>
      </c>
      <c r="X350" s="2">
        <v>45719</v>
      </c>
      <c r="Y350" s="2">
        <v>45719</v>
      </c>
      <c r="Z350" s="2">
        <v>45719</v>
      </c>
      <c r="AA350" t="s">
        <v>237</v>
      </c>
      <c r="AB350">
        <v>8492</v>
      </c>
      <c r="AC350">
        <v>75435</v>
      </c>
      <c r="AD350" t="s">
        <v>397</v>
      </c>
      <c r="AE350" s="2">
        <v>45743</v>
      </c>
      <c r="AF350">
        <v>0.5</v>
      </c>
      <c r="AG350" s="17">
        <v>2.0833333333333301E-2</v>
      </c>
      <c r="AH350" s="2">
        <v>45720</v>
      </c>
    </row>
    <row r="351" spans="1:34" hidden="1" x14ac:dyDescent="0.25">
      <c r="A351" s="12">
        <v>8492</v>
      </c>
      <c r="B351" s="12">
        <v>0</v>
      </c>
      <c r="C351" t="s">
        <v>235</v>
      </c>
      <c r="D351">
        <v>247857</v>
      </c>
      <c r="E351" s="8" t="s">
        <v>66</v>
      </c>
      <c r="F351" s="12">
        <v>30</v>
      </c>
      <c r="G351" s="8" t="s">
        <v>41</v>
      </c>
      <c r="H351" s="12">
        <v>3241</v>
      </c>
      <c r="I351" t="s">
        <v>236</v>
      </c>
      <c r="K351" t="s">
        <v>63</v>
      </c>
      <c r="L351">
        <v>1</v>
      </c>
      <c r="M351" t="s">
        <v>198</v>
      </c>
      <c r="N351" s="12">
        <v>2</v>
      </c>
      <c r="O351" s="8" t="s">
        <v>158</v>
      </c>
      <c r="P351">
        <v>1</v>
      </c>
      <c r="Q351" s="8">
        <v>1</v>
      </c>
      <c r="R351" s="12">
        <v>1</v>
      </c>
      <c r="S351" s="8">
        <v>1</v>
      </c>
      <c r="T351" s="12">
        <v>2</v>
      </c>
      <c r="U351" s="8" t="s">
        <v>199</v>
      </c>
      <c r="V351" s="2">
        <v>45713</v>
      </c>
      <c r="W351" s="2">
        <v>45713</v>
      </c>
      <c r="X351" s="2">
        <v>45719</v>
      </c>
      <c r="Y351" s="2">
        <v>45719</v>
      </c>
      <c r="Z351" s="2">
        <v>45719</v>
      </c>
      <c r="AA351" t="s">
        <v>237</v>
      </c>
      <c r="AB351">
        <v>8492</v>
      </c>
      <c r="AC351">
        <v>75452</v>
      </c>
      <c r="AD351" t="s">
        <v>640</v>
      </c>
      <c r="AE351" s="2">
        <v>45720</v>
      </c>
      <c r="AF351">
        <v>0.25</v>
      </c>
      <c r="AG351" s="17">
        <v>1.04166666666666E-2</v>
      </c>
      <c r="AH351" s="2">
        <v>45720</v>
      </c>
    </row>
    <row r="352" spans="1:34" hidden="1" x14ac:dyDescent="0.25">
      <c r="A352" s="12">
        <v>8492</v>
      </c>
      <c r="B352" s="12">
        <v>0</v>
      </c>
      <c r="C352" t="s">
        <v>235</v>
      </c>
      <c r="D352">
        <v>247857</v>
      </c>
      <c r="E352" s="8" t="s">
        <v>66</v>
      </c>
      <c r="F352" s="12">
        <v>30</v>
      </c>
      <c r="G352" s="8" t="s">
        <v>41</v>
      </c>
      <c r="H352" s="12">
        <v>3241</v>
      </c>
      <c r="I352" t="s">
        <v>236</v>
      </c>
      <c r="K352" t="s">
        <v>63</v>
      </c>
      <c r="L352">
        <v>1</v>
      </c>
      <c r="M352" t="s">
        <v>198</v>
      </c>
      <c r="N352" s="12">
        <v>2</v>
      </c>
      <c r="O352" s="8" t="s">
        <v>158</v>
      </c>
      <c r="P352">
        <v>1</v>
      </c>
      <c r="Q352" s="8">
        <v>1</v>
      </c>
      <c r="R352" s="12">
        <v>1</v>
      </c>
      <c r="S352" s="8">
        <v>1</v>
      </c>
      <c r="T352" s="12">
        <v>2</v>
      </c>
      <c r="U352" s="8" t="s">
        <v>199</v>
      </c>
      <c r="V352" s="2">
        <v>45713</v>
      </c>
      <c r="W352" s="2">
        <v>45713</v>
      </c>
      <c r="X352" s="2">
        <v>45719</v>
      </c>
      <c r="Y352" s="2">
        <v>45719</v>
      </c>
      <c r="Z352" s="2">
        <v>45719</v>
      </c>
      <c r="AA352" t="s">
        <v>237</v>
      </c>
      <c r="AB352">
        <v>8492</v>
      </c>
      <c r="AC352">
        <v>75451</v>
      </c>
      <c r="AD352" t="s">
        <v>641</v>
      </c>
      <c r="AE352" s="2">
        <v>45720</v>
      </c>
      <c r="AF352">
        <v>8.3333333333333301E-2</v>
      </c>
      <c r="AG352" s="17">
        <v>3.4722222222222199E-3</v>
      </c>
      <c r="AH352" s="2">
        <v>45720</v>
      </c>
    </row>
    <row r="353" spans="1:34" hidden="1" x14ac:dyDescent="0.25">
      <c r="A353" s="12">
        <v>8492</v>
      </c>
      <c r="B353" s="12">
        <v>0</v>
      </c>
      <c r="C353" t="s">
        <v>235</v>
      </c>
      <c r="D353">
        <v>247857</v>
      </c>
      <c r="E353" s="8" t="s">
        <v>66</v>
      </c>
      <c r="F353" s="12">
        <v>30</v>
      </c>
      <c r="G353" s="8" t="s">
        <v>41</v>
      </c>
      <c r="H353" s="12">
        <v>3241</v>
      </c>
      <c r="I353" t="s">
        <v>236</v>
      </c>
      <c r="K353" t="s">
        <v>63</v>
      </c>
      <c r="L353">
        <v>1</v>
      </c>
      <c r="M353" t="s">
        <v>198</v>
      </c>
      <c r="N353" s="12">
        <v>2</v>
      </c>
      <c r="O353" s="8" t="s">
        <v>158</v>
      </c>
      <c r="P353">
        <v>1</v>
      </c>
      <c r="Q353" s="8">
        <v>1</v>
      </c>
      <c r="R353" s="12">
        <v>1</v>
      </c>
      <c r="S353" s="8">
        <v>1</v>
      </c>
      <c r="T353" s="12">
        <v>2</v>
      </c>
      <c r="U353" s="8" t="s">
        <v>199</v>
      </c>
      <c r="V353" s="2">
        <v>45713</v>
      </c>
      <c r="W353" s="2">
        <v>45713</v>
      </c>
      <c r="X353" s="2">
        <v>45719</v>
      </c>
      <c r="Y353" s="2">
        <v>45719</v>
      </c>
      <c r="Z353" s="2">
        <v>45719</v>
      </c>
      <c r="AA353" t="s">
        <v>237</v>
      </c>
      <c r="AB353">
        <v>8492</v>
      </c>
      <c r="AC353">
        <v>75445</v>
      </c>
      <c r="AD353" t="s">
        <v>641</v>
      </c>
      <c r="AE353" s="2">
        <v>45720</v>
      </c>
      <c r="AF353">
        <v>8.3333333333333301E-2</v>
      </c>
      <c r="AG353" s="17">
        <v>3.4722222222222199E-3</v>
      </c>
      <c r="AH353" s="2">
        <v>45720</v>
      </c>
    </row>
    <row r="354" spans="1:34" hidden="1" x14ac:dyDescent="0.25">
      <c r="A354" s="12">
        <v>8492</v>
      </c>
      <c r="B354" s="12">
        <v>0</v>
      </c>
      <c r="C354" t="s">
        <v>235</v>
      </c>
      <c r="D354">
        <v>247857</v>
      </c>
      <c r="E354" s="8" t="s">
        <v>66</v>
      </c>
      <c r="F354" s="12">
        <v>30</v>
      </c>
      <c r="G354" s="8" t="s">
        <v>41</v>
      </c>
      <c r="H354" s="12">
        <v>3241</v>
      </c>
      <c r="I354" t="s">
        <v>236</v>
      </c>
      <c r="K354" t="s">
        <v>63</v>
      </c>
      <c r="L354">
        <v>1</v>
      </c>
      <c r="M354" t="s">
        <v>198</v>
      </c>
      <c r="N354" s="12">
        <v>2</v>
      </c>
      <c r="O354" s="8" t="s">
        <v>158</v>
      </c>
      <c r="P354">
        <v>1</v>
      </c>
      <c r="Q354" s="8">
        <v>1</v>
      </c>
      <c r="R354" s="12">
        <v>1</v>
      </c>
      <c r="S354" s="8">
        <v>1</v>
      </c>
      <c r="T354" s="12">
        <v>2</v>
      </c>
      <c r="U354" s="8" t="s">
        <v>199</v>
      </c>
      <c r="V354" s="2">
        <v>45713</v>
      </c>
      <c r="W354" s="2">
        <v>45713</v>
      </c>
      <c r="X354" s="2">
        <v>45719</v>
      </c>
      <c r="Y354" s="2">
        <v>45719</v>
      </c>
      <c r="Z354" s="2">
        <v>45719</v>
      </c>
      <c r="AA354" t="s">
        <v>237</v>
      </c>
      <c r="AB354">
        <v>8492</v>
      </c>
      <c r="AC354">
        <v>75444</v>
      </c>
      <c r="AD354" t="s">
        <v>640</v>
      </c>
      <c r="AE354" s="2">
        <v>45720</v>
      </c>
      <c r="AF354">
        <v>0.25</v>
      </c>
      <c r="AG354" s="17">
        <v>1.04166666666666E-2</v>
      </c>
      <c r="AH354" s="2">
        <v>45720</v>
      </c>
    </row>
    <row r="355" spans="1:34" hidden="1" x14ac:dyDescent="0.25">
      <c r="A355" s="12">
        <v>8492</v>
      </c>
      <c r="B355" s="12">
        <v>0</v>
      </c>
      <c r="C355" t="s">
        <v>235</v>
      </c>
      <c r="D355">
        <v>247857</v>
      </c>
      <c r="E355" s="8" t="s">
        <v>66</v>
      </c>
      <c r="F355" s="12">
        <v>30</v>
      </c>
      <c r="G355" s="8" t="s">
        <v>41</v>
      </c>
      <c r="H355" s="12">
        <v>3241</v>
      </c>
      <c r="I355" t="s">
        <v>236</v>
      </c>
      <c r="K355" t="s">
        <v>63</v>
      </c>
      <c r="L355">
        <v>1</v>
      </c>
      <c r="M355" t="s">
        <v>198</v>
      </c>
      <c r="N355" s="12">
        <v>2</v>
      </c>
      <c r="O355" s="8" t="s">
        <v>158</v>
      </c>
      <c r="P355">
        <v>1</v>
      </c>
      <c r="Q355" s="8">
        <v>1</v>
      </c>
      <c r="R355" s="12">
        <v>1</v>
      </c>
      <c r="S355" s="8">
        <v>1</v>
      </c>
      <c r="T355" s="12">
        <v>2</v>
      </c>
      <c r="U355" s="8" t="s">
        <v>199</v>
      </c>
      <c r="V355" s="2">
        <v>45713</v>
      </c>
      <c r="W355" s="2">
        <v>45713</v>
      </c>
      <c r="X355" s="2">
        <v>45719</v>
      </c>
      <c r="Y355" s="2">
        <v>45719</v>
      </c>
      <c r="Z355" s="2">
        <v>45719</v>
      </c>
      <c r="AA355" t="s">
        <v>237</v>
      </c>
      <c r="AB355">
        <v>8492</v>
      </c>
      <c r="AC355">
        <v>75450</v>
      </c>
      <c r="AD355" t="s">
        <v>642</v>
      </c>
      <c r="AE355" s="2">
        <v>45719</v>
      </c>
      <c r="AF355">
        <v>1</v>
      </c>
      <c r="AG355" s="17">
        <v>4.1666666666666602E-2</v>
      </c>
      <c r="AH355" s="2">
        <v>45720</v>
      </c>
    </row>
    <row r="356" spans="1:34" hidden="1" x14ac:dyDescent="0.25">
      <c r="A356" s="12">
        <v>8492</v>
      </c>
      <c r="B356" s="12">
        <v>0</v>
      </c>
      <c r="C356" t="s">
        <v>235</v>
      </c>
      <c r="D356">
        <v>247857</v>
      </c>
      <c r="E356" s="8" t="s">
        <v>66</v>
      </c>
      <c r="F356" s="12">
        <v>30</v>
      </c>
      <c r="G356" s="8" t="s">
        <v>41</v>
      </c>
      <c r="H356" s="12">
        <v>3241</v>
      </c>
      <c r="I356" t="s">
        <v>236</v>
      </c>
      <c r="K356" t="s">
        <v>63</v>
      </c>
      <c r="L356">
        <v>1</v>
      </c>
      <c r="M356" t="s">
        <v>198</v>
      </c>
      <c r="N356" s="12">
        <v>2</v>
      </c>
      <c r="O356" s="8" t="s">
        <v>158</v>
      </c>
      <c r="P356">
        <v>1</v>
      </c>
      <c r="Q356" s="8">
        <v>1</v>
      </c>
      <c r="R356" s="12">
        <v>1</v>
      </c>
      <c r="S356" s="8">
        <v>1</v>
      </c>
      <c r="T356" s="12">
        <v>2</v>
      </c>
      <c r="U356" s="8" t="s">
        <v>199</v>
      </c>
      <c r="V356" s="2">
        <v>45713</v>
      </c>
      <c r="W356" s="2">
        <v>45713</v>
      </c>
      <c r="X356" s="2">
        <v>45719</v>
      </c>
      <c r="Y356" s="2">
        <v>45719</v>
      </c>
      <c r="Z356" s="2">
        <v>45719</v>
      </c>
      <c r="AA356" t="s">
        <v>237</v>
      </c>
      <c r="AB356">
        <v>8492</v>
      </c>
      <c r="AC356">
        <v>75449</v>
      </c>
      <c r="AD356" t="s">
        <v>643</v>
      </c>
      <c r="AE356" s="2">
        <v>45718</v>
      </c>
      <c r="AF356">
        <v>1.5</v>
      </c>
      <c r="AG356" s="17">
        <v>6.25E-2</v>
      </c>
      <c r="AH356" s="2">
        <v>45720</v>
      </c>
    </row>
    <row r="357" spans="1:34" hidden="1" x14ac:dyDescent="0.25">
      <c r="A357" s="12">
        <v>8492</v>
      </c>
      <c r="B357" s="12">
        <v>0</v>
      </c>
      <c r="C357" t="s">
        <v>235</v>
      </c>
      <c r="D357">
        <v>247857</v>
      </c>
      <c r="E357" s="8" t="s">
        <v>66</v>
      </c>
      <c r="F357" s="12">
        <v>30</v>
      </c>
      <c r="G357" s="8" t="s">
        <v>41</v>
      </c>
      <c r="H357" s="12">
        <v>3241</v>
      </c>
      <c r="I357" t="s">
        <v>236</v>
      </c>
      <c r="K357" t="s">
        <v>63</v>
      </c>
      <c r="L357">
        <v>1</v>
      </c>
      <c r="M357" t="s">
        <v>198</v>
      </c>
      <c r="N357" s="12">
        <v>2</v>
      </c>
      <c r="O357" s="8" t="s">
        <v>158</v>
      </c>
      <c r="P357">
        <v>1</v>
      </c>
      <c r="Q357" s="8">
        <v>1</v>
      </c>
      <c r="R357" s="12">
        <v>1</v>
      </c>
      <c r="S357" s="8">
        <v>1</v>
      </c>
      <c r="T357" s="12">
        <v>2</v>
      </c>
      <c r="U357" s="8" t="s">
        <v>199</v>
      </c>
      <c r="V357" s="2">
        <v>45713</v>
      </c>
      <c r="W357" s="2">
        <v>45713</v>
      </c>
      <c r="X357" s="2">
        <v>45719</v>
      </c>
      <c r="Y357" s="2">
        <v>45719</v>
      </c>
      <c r="Z357" s="2">
        <v>45719</v>
      </c>
      <c r="AA357" t="s">
        <v>237</v>
      </c>
      <c r="AB357">
        <v>8492</v>
      </c>
      <c r="AC357">
        <v>75448</v>
      </c>
      <c r="AD357" t="s">
        <v>644</v>
      </c>
      <c r="AE357" s="2">
        <v>45718</v>
      </c>
      <c r="AF357">
        <v>0.5</v>
      </c>
      <c r="AG357" s="17">
        <v>2.0833333333333301E-2</v>
      </c>
      <c r="AH357" s="2">
        <v>45720</v>
      </c>
    </row>
    <row r="358" spans="1:34" hidden="1" x14ac:dyDescent="0.25">
      <c r="A358" s="12">
        <v>8492</v>
      </c>
      <c r="B358" s="12">
        <v>0</v>
      </c>
      <c r="C358" t="s">
        <v>235</v>
      </c>
      <c r="D358">
        <v>247857</v>
      </c>
      <c r="E358" s="8" t="s">
        <v>66</v>
      </c>
      <c r="F358" s="12">
        <v>30</v>
      </c>
      <c r="G358" s="8" t="s">
        <v>41</v>
      </c>
      <c r="H358" s="12">
        <v>3241</v>
      </c>
      <c r="I358" t="s">
        <v>236</v>
      </c>
      <c r="K358" t="s">
        <v>63</v>
      </c>
      <c r="L358">
        <v>1</v>
      </c>
      <c r="M358" t="s">
        <v>198</v>
      </c>
      <c r="N358" s="12">
        <v>2</v>
      </c>
      <c r="O358" s="8" t="s">
        <v>158</v>
      </c>
      <c r="P358">
        <v>1</v>
      </c>
      <c r="Q358" s="8">
        <v>1</v>
      </c>
      <c r="R358" s="12">
        <v>1</v>
      </c>
      <c r="S358" s="8">
        <v>1</v>
      </c>
      <c r="T358" s="12">
        <v>2</v>
      </c>
      <c r="U358" s="8" t="s">
        <v>199</v>
      </c>
      <c r="V358" s="2">
        <v>45713</v>
      </c>
      <c r="W358" s="2">
        <v>45713</v>
      </c>
      <c r="X358" s="2">
        <v>45719</v>
      </c>
      <c r="Y358" s="2">
        <v>45719</v>
      </c>
      <c r="Z358" s="2">
        <v>45719</v>
      </c>
      <c r="AA358" t="s">
        <v>237</v>
      </c>
      <c r="AB358">
        <v>8492</v>
      </c>
      <c r="AC358">
        <v>75447</v>
      </c>
      <c r="AD358" t="s">
        <v>645</v>
      </c>
      <c r="AE358" s="2">
        <v>45718</v>
      </c>
      <c r="AF358">
        <v>0.5</v>
      </c>
      <c r="AG358" s="17">
        <v>2.0833333333333301E-2</v>
      </c>
      <c r="AH358" s="2">
        <v>45720</v>
      </c>
    </row>
    <row r="359" spans="1:34" hidden="1" x14ac:dyDescent="0.25">
      <c r="A359" s="12">
        <v>8492</v>
      </c>
      <c r="B359" s="12">
        <v>0</v>
      </c>
      <c r="C359" t="s">
        <v>235</v>
      </c>
      <c r="D359">
        <v>247857</v>
      </c>
      <c r="E359" s="8" t="s">
        <v>66</v>
      </c>
      <c r="F359" s="12">
        <v>30</v>
      </c>
      <c r="G359" s="8" t="s">
        <v>41</v>
      </c>
      <c r="H359" s="12">
        <v>3241</v>
      </c>
      <c r="I359" t="s">
        <v>236</v>
      </c>
      <c r="K359" t="s">
        <v>63</v>
      </c>
      <c r="L359">
        <v>1</v>
      </c>
      <c r="M359" t="s">
        <v>198</v>
      </c>
      <c r="N359" s="12">
        <v>2</v>
      </c>
      <c r="O359" s="8" t="s">
        <v>158</v>
      </c>
      <c r="P359">
        <v>1</v>
      </c>
      <c r="Q359" s="8">
        <v>1</v>
      </c>
      <c r="R359" s="12">
        <v>1</v>
      </c>
      <c r="S359" s="8">
        <v>1</v>
      </c>
      <c r="T359" s="12">
        <v>2</v>
      </c>
      <c r="U359" s="8" t="s">
        <v>199</v>
      </c>
      <c r="V359" s="2">
        <v>45713</v>
      </c>
      <c r="W359" s="2">
        <v>45713</v>
      </c>
      <c r="X359" s="2">
        <v>45719</v>
      </c>
      <c r="Y359" s="2">
        <v>45719</v>
      </c>
      <c r="Z359" s="2">
        <v>45719</v>
      </c>
      <c r="AA359" t="s">
        <v>237</v>
      </c>
      <c r="AB359">
        <v>8492</v>
      </c>
      <c r="AC359">
        <v>75446</v>
      </c>
      <c r="AD359" t="s">
        <v>646</v>
      </c>
      <c r="AE359" s="2">
        <v>45718</v>
      </c>
      <c r="AF359">
        <v>1.5</v>
      </c>
      <c r="AG359" s="17">
        <v>6.25E-2</v>
      </c>
      <c r="AH359" s="2">
        <v>45720</v>
      </c>
    </row>
    <row r="360" spans="1:34" hidden="1" x14ac:dyDescent="0.25">
      <c r="A360" s="12">
        <v>8492</v>
      </c>
      <c r="B360" s="12">
        <v>0</v>
      </c>
      <c r="C360" t="s">
        <v>235</v>
      </c>
      <c r="D360">
        <v>247857</v>
      </c>
      <c r="E360" s="8" t="s">
        <v>66</v>
      </c>
      <c r="F360" s="12">
        <v>30</v>
      </c>
      <c r="G360" s="8" t="s">
        <v>41</v>
      </c>
      <c r="H360" s="12">
        <v>3241</v>
      </c>
      <c r="I360" t="s">
        <v>236</v>
      </c>
      <c r="K360" t="s">
        <v>63</v>
      </c>
      <c r="L360">
        <v>1</v>
      </c>
      <c r="M360" t="s">
        <v>198</v>
      </c>
      <c r="N360" s="12">
        <v>2</v>
      </c>
      <c r="O360" s="8" t="s">
        <v>158</v>
      </c>
      <c r="P360">
        <v>1</v>
      </c>
      <c r="Q360" s="8">
        <v>1</v>
      </c>
      <c r="R360" s="12">
        <v>1</v>
      </c>
      <c r="S360" s="8">
        <v>1</v>
      </c>
      <c r="T360" s="12">
        <v>2</v>
      </c>
      <c r="U360" s="8" t="s">
        <v>199</v>
      </c>
      <c r="V360" s="2">
        <v>45713</v>
      </c>
      <c r="W360" s="2">
        <v>45713</v>
      </c>
      <c r="X360" s="2">
        <v>45719</v>
      </c>
      <c r="Y360" s="2">
        <v>45719</v>
      </c>
      <c r="Z360" s="2">
        <v>45719</v>
      </c>
      <c r="AA360" t="s">
        <v>237</v>
      </c>
      <c r="AB360">
        <v>8492</v>
      </c>
      <c r="AC360">
        <v>75443</v>
      </c>
      <c r="AD360" t="s">
        <v>647</v>
      </c>
      <c r="AE360" s="2">
        <v>45717</v>
      </c>
      <c r="AF360">
        <v>0.5</v>
      </c>
      <c r="AG360" s="17">
        <v>2.0833333333333301E-2</v>
      </c>
      <c r="AH360" s="2">
        <v>45720</v>
      </c>
    </row>
    <row r="361" spans="1:34" hidden="1" x14ac:dyDescent="0.25">
      <c r="A361" s="12">
        <v>8492</v>
      </c>
      <c r="B361" s="12">
        <v>0</v>
      </c>
      <c r="C361" t="s">
        <v>235</v>
      </c>
      <c r="D361">
        <v>247857</v>
      </c>
      <c r="E361" s="8" t="s">
        <v>66</v>
      </c>
      <c r="F361" s="12">
        <v>30</v>
      </c>
      <c r="G361" s="8" t="s">
        <v>41</v>
      </c>
      <c r="H361" s="12">
        <v>3241</v>
      </c>
      <c r="I361" t="s">
        <v>236</v>
      </c>
      <c r="K361" t="s">
        <v>63</v>
      </c>
      <c r="L361">
        <v>1</v>
      </c>
      <c r="M361" t="s">
        <v>198</v>
      </c>
      <c r="N361" s="12">
        <v>2</v>
      </c>
      <c r="O361" s="8" t="s">
        <v>158</v>
      </c>
      <c r="P361">
        <v>1</v>
      </c>
      <c r="Q361" s="8">
        <v>1</v>
      </c>
      <c r="R361" s="12">
        <v>1</v>
      </c>
      <c r="S361" s="8">
        <v>1</v>
      </c>
      <c r="T361" s="12">
        <v>2</v>
      </c>
      <c r="U361" s="8" t="s">
        <v>199</v>
      </c>
      <c r="V361" s="2">
        <v>45713</v>
      </c>
      <c r="W361" s="2">
        <v>45713</v>
      </c>
      <c r="X361" s="2">
        <v>45719</v>
      </c>
      <c r="Y361" s="2">
        <v>45719</v>
      </c>
      <c r="Z361" s="2">
        <v>45719</v>
      </c>
      <c r="AA361" t="s">
        <v>237</v>
      </c>
      <c r="AB361">
        <v>8492</v>
      </c>
      <c r="AC361">
        <v>75442</v>
      </c>
      <c r="AD361" t="s">
        <v>648</v>
      </c>
      <c r="AE361" s="2">
        <v>45716</v>
      </c>
      <c r="AF361">
        <v>1.5</v>
      </c>
      <c r="AG361" s="17">
        <v>6.25E-2</v>
      </c>
      <c r="AH361" s="2">
        <v>45720</v>
      </c>
    </row>
    <row r="362" spans="1:34" hidden="1" x14ac:dyDescent="0.25">
      <c r="A362" s="12">
        <v>8492</v>
      </c>
      <c r="B362" s="12">
        <v>0</v>
      </c>
      <c r="C362" t="s">
        <v>235</v>
      </c>
      <c r="D362">
        <v>247857</v>
      </c>
      <c r="E362" s="8" t="s">
        <v>66</v>
      </c>
      <c r="F362" s="12">
        <v>30</v>
      </c>
      <c r="G362" s="8" t="s">
        <v>41</v>
      </c>
      <c r="H362" s="12">
        <v>3241</v>
      </c>
      <c r="I362" t="s">
        <v>236</v>
      </c>
      <c r="K362" t="s">
        <v>63</v>
      </c>
      <c r="L362">
        <v>1</v>
      </c>
      <c r="M362" t="s">
        <v>198</v>
      </c>
      <c r="N362" s="12">
        <v>2</v>
      </c>
      <c r="O362" s="8" t="s">
        <v>158</v>
      </c>
      <c r="P362">
        <v>1</v>
      </c>
      <c r="Q362" s="8">
        <v>1</v>
      </c>
      <c r="R362" s="12">
        <v>1</v>
      </c>
      <c r="S362" s="8">
        <v>1</v>
      </c>
      <c r="T362" s="12">
        <v>2</v>
      </c>
      <c r="U362" s="8" t="s">
        <v>199</v>
      </c>
      <c r="V362" s="2">
        <v>45713</v>
      </c>
      <c r="W362" s="2">
        <v>45713</v>
      </c>
      <c r="X362" s="2">
        <v>45719</v>
      </c>
      <c r="Y362" s="2">
        <v>45719</v>
      </c>
      <c r="Z362" s="2">
        <v>45719</v>
      </c>
      <c r="AA362" t="s">
        <v>237</v>
      </c>
      <c r="AB362">
        <v>8492</v>
      </c>
      <c r="AC362">
        <v>75441</v>
      </c>
      <c r="AD362" t="s">
        <v>649</v>
      </c>
      <c r="AE362" s="2">
        <v>45716</v>
      </c>
      <c r="AF362">
        <v>1</v>
      </c>
      <c r="AG362" s="17">
        <v>4.1666666666666602E-2</v>
      </c>
      <c r="AH362" s="2">
        <v>45720</v>
      </c>
    </row>
    <row r="363" spans="1:34" hidden="1" x14ac:dyDescent="0.25">
      <c r="A363" s="12">
        <v>8492</v>
      </c>
      <c r="B363" s="12">
        <v>0</v>
      </c>
      <c r="C363" t="s">
        <v>235</v>
      </c>
      <c r="D363">
        <v>247857</v>
      </c>
      <c r="E363" s="8" t="s">
        <v>66</v>
      </c>
      <c r="F363" s="12">
        <v>30</v>
      </c>
      <c r="G363" s="8" t="s">
        <v>41</v>
      </c>
      <c r="H363" s="12">
        <v>3241</v>
      </c>
      <c r="I363" t="s">
        <v>236</v>
      </c>
      <c r="K363" t="s">
        <v>63</v>
      </c>
      <c r="L363">
        <v>1</v>
      </c>
      <c r="M363" t="s">
        <v>198</v>
      </c>
      <c r="N363" s="12">
        <v>2</v>
      </c>
      <c r="O363" s="8" t="s">
        <v>158</v>
      </c>
      <c r="P363">
        <v>1</v>
      </c>
      <c r="Q363" s="8">
        <v>1</v>
      </c>
      <c r="R363" s="12">
        <v>1</v>
      </c>
      <c r="S363" s="8">
        <v>1</v>
      </c>
      <c r="T363" s="12">
        <v>2</v>
      </c>
      <c r="U363" s="8" t="s">
        <v>199</v>
      </c>
      <c r="V363" s="2">
        <v>45713</v>
      </c>
      <c r="W363" s="2">
        <v>45713</v>
      </c>
      <c r="X363" s="2">
        <v>45719</v>
      </c>
      <c r="Y363" s="2">
        <v>45719</v>
      </c>
      <c r="Z363" s="2">
        <v>45719</v>
      </c>
      <c r="AA363" t="s">
        <v>237</v>
      </c>
      <c r="AB363">
        <v>8492</v>
      </c>
      <c r="AC363">
        <v>75440</v>
      </c>
      <c r="AD363" t="s">
        <v>650</v>
      </c>
      <c r="AE363" s="2">
        <v>45716</v>
      </c>
      <c r="AF363">
        <v>2</v>
      </c>
      <c r="AG363" s="17">
        <v>8.3333333333333301E-2</v>
      </c>
      <c r="AH363" s="2">
        <v>45720</v>
      </c>
    </row>
    <row r="364" spans="1:34" hidden="1" x14ac:dyDescent="0.25">
      <c r="A364" s="12">
        <v>8492</v>
      </c>
      <c r="B364" s="12">
        <v>0</v>
      </c>
      <c r="C364" t="s">
        <v>235</v>
      </c>
      <c r="D364">
        <v>247857</v>
      </c>
      <c r="E364" s="8" t="s">
        <v>66</v>
      </c>
      <c r="F364" s="12">
        <v>30</v>
      </c>
      <c r="G364" s="8" t="s">
        <v>41</v>
      </c>
      <c r="H364" s="12">
        <v>3241</v>
      </c>
      <c r="I364" t="s">
        <v>236</v>
      </c>
      <c r="K364" t="s">
        <v>63</v>
      </c>
      <c r="L364">
        <v>1</v>
      </c>
      <c r="M364" t="s">
        <v>198</v>
      </c>
      <c r="N364" s="12">
        <v>2</v>
      </c>
      <c r="O364" s="8" t="s">
        <v>158</v>
      </c>
      <c r="P364">
        <v>1</v>
      </c>
      <c r="Q364" s="8">
        <v>1</v>
      </c>
      <c r="R364" s="12">
        <v>1</v>
      </c>
      <c r="S364" s="8">
        <v>1</v>
      </c>
      <c r="T364" s="12">
        <v>2</v>
      </c>
      <c r="U364" s="8" t="s">
        <v>199</v>
      </c>
      <c r="V364" s="2">
        <v>45713</v>
      </c>
      <c r="W364" s="2">
        <v>45713</v>
      </c>
      <c r="X364" s="2">
        <v>45719</v>
      </c>
      <c r="Y364" s="2">
        <v>45719</v>
      </c>
      <c r="Z364" s="2">
        <v>45719</v>
      </c>
      <c r="AA364" t="s">
        <v>237</v>
      </c>
      <c r="AB364">
        <v>8492</v>
      </c>
      <c r="AC364">
        <v>75439</v>
      </c>
      <c r="AD364" t="s">
        <v>651</v>
      </c>
      <c r="AE364" s="2">
        <v>45716</v>
      </c>
      <c r="AF364">
        <v>0.5</v>
      </c>
      <c r="AG364" s="17">
        <v>2.0833333333333301E-2</v>
      </c>
      <c r="AH364" s="2">
        <v>45720</v>
      </c>
    </row>
    <row r="365" spans="1:34" hidden="1" x14ac:dyDescent="0.25">
      <c r="A365" s="12">
        <v>8492</v>
      </c>
      <c r="B365" s="12">
        <v>0</v>
      </c>
      <c r="C365" t="s">
        <v>235</v>
      </c>
      <c r="D365">
        <v>247857</v>
      </c>
      <c r="E365" s="8" t="s">
        <v>66</v>
      </c>
      <c r="F365" s="12">
        <v>30</v>
      </c>
      <c r="G365" s="8" t="s">
        <v>41</v>
      </c>
      <c r="H365" s="12">
        <v>3241</v>
      </c>
      <c r="I365" t="s">
        <v>236</v>
      </c>
      <c r="K365" t="s">
        <v>63</v>
      </c>
      <c r="L365">
        <v>1</v>
      </c>
      <c r="M365" t="s">
        <v>198</v>
      </c>
      <c r="N365" s="12">
        <v>2</v>
      </c>
      <c r="O365" s="8" t="s">
        <v>158</v>
      </c>
      <c r="P365">
        <v>1</v>
      </c>
      <c r="Q365" s="8">
        <v>1</v>
      </c>
      <c r="R365" s="12">
        <v>1</v>
      </c>
      <c r="S365" s="8">
        <v>1</v>
      </c>
      <c r="T365" s="12">
        <v>2</v>
      </c>
      <c r="U365" s="8" t="s">
        <v>199</v>
      </c>
      <c r="V365" s="2">
        <v>45713</v>
      </c>
      <c r="W365" s="2">
        <v>45713</v>
      </c>
      <c r="X365" s="2">
        <v>45719</v>
      </c>
      <c r="Y365" s="2">
        <v>45719</v>
      </c>
      <c r="Z365" s="2">
        <v>45719</v>
      </c>
      <c r="AA365" t="s">
        <v>237</v>
      </c>
      <c r="AB365">
        <v>8492</v>
      </c>
      <c r="AC365">
        <v>75438</v>
      </c>
      <c r="AD365" t="s">
        <v>652</v>
      </c>
      <c r="AE365" s="2">
        <v>45715</v>
      </c>
      <c r="AF365">
        <v>0.5</v>
      </c>
      <c r="AG365" s="17">
        <v>2.0833333333333301E-2</v>
      </c>
      <c r="AH365" s="2">
        <v>45720</v>
      </c>
    </row>
    <row r="366" spans="1:34" hidden="1" x14ac:dyDescent="0.25">
      <c r="A366" s="12">
        <v>8492</v>
      </c>
      <c r="B366" s="12">
        <v>0</v>
      </c>
      <c r="C366" t="s">
        <v>235</v>
      </c>
      <c r="D366">
        <v>247857</v>
      </c>
      <c r="E366" s="8" t="s">
        <v>66</v>
      </c>
      <c r="F366" s="12">
        <v>30</v>
      </c>
      <c r="G366" s="8" t="s">
        <v>41</v>
      </c>
      <c r="H366" s="12">
        <v>3241</v>
      </c>
      <c r="I366" t="s">
        <v>236</v>
      </c>
      <c r="K366" t="s">
        <v>63</v>
      </c>
      <c r="L366">
        <v>1</v>
      </c>
      <c r="M366" t="s">
        <v>198</v>
      </c>
      <c r="N366" s="12">
        <v>2</v>
      </c>
      <c r="O366" s="8" t="s">
        <v>158</v>
      </c>
      <c r="P366">
        <v>1</v>
      </c>
      <c r="Q366" s="8">
        <v>1</v>
      </c>
      <c r="R366" s="12">
        <v>1</v>
      </c>
      <c r="S366" s="8">
        <v>1</v>
      </c>
      <c r="T366" s="12">
        <v>2</v>
      </c>
      <c r="U366" s="8" t="s">
        <v>199</v>
      </c>
      <c r="V366" s="2">
        <v>45713</v>
      </c>
      <c r="W366" s="2">
        <v>45713</v>
      </c>
      <c r="X366" s="2">
        <v>45719</v>
      </c>
      <c r="Y366" s="2">
        <v>45719</v>
      </c>
      <c r="Z366" s="2">
        <v>45719</v>
      </c>
      <c r="AA366" t="s">
        <v>237</v>
      </c>
      <c r="AB366">
        <v>8492</v>
      </c>
      <c r="AC366">
        <v>75437</v>
      </c>
      <c r="AD366" t="s">
        <v>653</v>
      </c>
      <c r="AE366" s="2">
        <v>45715</v>
      </c>
      <c r="AF366">
        <v>1</v>
      </c>
      <c r="AG366" s="17">
        <v>4.1666666666666602E-2</v>
      </c>
      <c r="AH366" s="2">
        <v>45720</v>
      </c>
    </row>
    <row r="367" spans="1:34" hidden="1" x14ac:dyDescent="0.25">
      <c r="A367" s="12">
        <v>8492</v>
      </c>
      <c r="B367" s="12">
        <v>0</v>
      </c>
      <c r="C367" t="s">
        <v>235</v>
      </c>
      <c r="D367">
        <v>247857</v>
      </c>
      <c r="E367" s="8" t="s">
        <v>66</v>
      </c>
      <c r="F367" s="12">
        <v>30</v>
      </c>
      <c r="G367" s="8" t="s">
        <v>41</v>
      </c>
      <c r="H367" s="12">
        <v>3241</v>
      </c>
      <c r="I367" t="s">
        <v>236</v>
      </c>
      <c r="K367" t="s">
        <v>63</v>
      </c>
      <c r="L367">
        <v>1</v>
      </c>
      <c r="M367" t="s">
        <v>198</v>
      </c>
      <c r="N367" s="12">
        <v>2</v>
      </c>
      <c r="O367" s="8" t="s">
        <v>158</v>
      </c>
      <c r="P367">
        <v>1</v>
      </c>
      <c r="Q367" s="8">
        <v>1</v>
      </c>
      <c r="R367" s="12">
        <v>1</v>
      </c>
      <c r="S367" s="8">
        <v>1</v>
      </c>
      <c r="T367" s="12">
        <v>2</v>
      </c>
      <c r="U367" s="8" t="s">
        <v>199</v>
      </c>
      <c r="V367" s="2">
        <v>45713</v>
      </c>
      <c r="W367" s="2">
        <v>45713</v>
      </c>
      <c r="X367" s="2">
        <v>45719</v>
      </c>
      <c r="Y367" s="2">
        <v>45719</v>
      </c>
      <c r="Z367" s="2">
        <v>45719</v>
      </c>
      <c r="AA367" t="s">
        <v>237</v>
      </c>
      <c r="AB367">
        <v>8492</v>
      </c>
      <c r="AC367">
        <v>75436</v>
      </c>
      <c r="AD367" t="s">
        <v>654</v>
      </c>
      <c r="AE367" s="2">
        <v>45715</v>
      </c>
      <c r="AF367">
        <v>0.5</v>
      </c>
      <c r="AG367" s="17">
        <v>2.0833333333333301E-2</v>
      </c>
      <c r="AH367" s="2">
        <v>45720</v>
      </c>
    </row>
    <row r="368" spans="1:34" hidden="1" x14ac:dyDescent="0.25">
      <c r="A368" s="12">
        <v>8492</v>
      </c>
      <c r="B368" s="12">
        <v>0</v>
      </c>
      <c r="C368" t="s">
        <v>235</v>
      </c>
      <c r="D368">
        <v>247857</v>
      </c>
      <c r="E368" s="8" t="s">
        <v>66</v>
      </c>
      <c r="F368" s="12">
        <v>30</v>
      </c>
      <c r="G368" s="8" t="s">
        <v>41</v>
      </c>
      <c r="H368" s="12">
        <v>3241</v>
      </c>
      <c r="I368" t="s">
        <v>236</v>
      </c>
      <c r="K368" t="s">
        <v>63</v>
      </c>
      <c r="L368">
        <v>1</v>
      </c>
      <c r="M368" t="s">
        <v>198</v>
      </c>
      <c r="N368" s="12">
        <v>2</v>
      </c>
      <c r="O368" s="8" t="s">
        <v>158</v>
      </c>
      <c r="P368">
        <v>1</v>
      </c>
      <c r="Q368" s="8">
        <v>1</v>
      </c>
      <c r="R368" s="12">
        <v>1</v>
      </c>
      <c r="S368" s="8">
        <v>1</v>
      </c>
      <c r="T368" s="12">
        <v>2</v>
      </c>
      <c r="U368" s="8" t="s">
        <v>199</v>
      </c>
      <c r="V368" s="2">
        <v>45713</v>
      </c>
      <c r="W368" s="2">
        <v>45713</v>
      </c>
      <c r="X368" s="2">
        <v>45719</v>
      </c>
      <c r="Y368" s="2">
        <v>45719</v>
      </c>
      <c r="Z368" s="2">
        <v>45719</v>
      </c>
      <c r="AA368" t="s">
        <v>237</v>
      </c>
      <c r="AB368">
        <v>8492</v>
      </c>
      <c r="AC368">
        <v>75434</v>
      </c>
      <c r="AD368" t="s">
        <v>655</v>
      </c>
      <c r="AE368" s="2">
        <v>45715</v>
      </c>
      <c r="AF368">
        <v>1</v>
      </c>
      <c r="AG368" s="17">
        <v>4.1666666666666602E-2</v>
      </c>
      <c r="AH368" s="2">
        <v>45720</v>
      </c>
    </row>
    <row r="369" spans="1:34" hidden="1" x14ac:dyDescent="0.25">
      <c r="A369" s="12">
        <v>8509</v>
      </c>
      <c r="B369" s="12">
        <v>0</v>
      </c>
      <c r="C369" t="s">
        <v>398</v>
      </c>
      <c r="D369">
        <v>247374</v>
      </c>
      <c r="E369" s="8" t="s">
        <v>137</v>
      </c>
      <c r="F369" s="12">
        <v>29</v>
      </c>
      <c r="G369" s="8" t="s">
        <v>69</v>
      </c>
      <c r="H369" s="12">
        <v>3241</v>
      </c>
      <c r="I369" t="s">
        <v>236</v>
      </c>
      <c r="J369" t="s">
        <v>62</v>
      </c>
      <c r="K369" t="s">
        <v>63</v>
      </c>
      <c r="L369">
        <v>1</v>
      </c>
      <c r="M369" t="s">
        <v>198</v>
      </c>
      <c r="N369" s="12">
        <v>2</v>
      </c>
      <c r="O369" s="8" t="s">
        <v>158</v>
      </c>
      <c r="P369">
        <v>2</v>
      </c>
      <c r="Q369" s="8">
        <v>2</v>
      </c>
      <c r="R369" s="12">
        <v>2</v>
      </c>
      <c r="S369" s="8">
        <v>2</v>
      </c>
      <c r="T369" s="12">
        <v>2</v>
      </c>
      <c r="U369" s="8" t="s">
        <v>199</v>
      </c>
      <c r="V369" s="2">
        <v>45720</v>
      </c>
      <c r="W369" s="2">
        <v>45722</v>
      </c>
      <c r="X369" s="2">
        <v>45722</v>
      </c>
      <c r="Y369" s="2">
        <v>45722</v>
      </c>
      <c r="Z369" s="2">
        <v>45722</v>
      </c>
      <c r="AA369" t="s">
        <v>399</v>
      </c>
      <c r="AE369" s="2"/>
      <c r="AG369" s="17"/>
      <c r="AH369" s="2"/>
    </row>
    <row r="370" spans="1:34" hidden="1" x14ac:dyDescent="0.25">
      <c r="A370" s="12">
        <v>8508</v>
      </c>
      <c r="B370" s="12">
        <v>0</v>
      </c>
      <c r="C370" t="s">
        <v>400</v>
      </c>
      <c r="D370">
        <v>247828</v>
      </c>
      <c r="E370" s="8" t="s">
        <v>61</v>
      </c>
      <c r="F370" s="12">
        <v>29</v>
      </c>
      <c r="G370" s="8" t="s">
        <v>69</v>
      </c>
      <c r="H370" s="12">
        <v>3241</v>
      </c>
      <c r="I370" t="s">
        <v>236</v>
      </c>
      <c r="J370" t="s">
        <v>62</v>
      </c>
      <c r="K370" t="s">
        <v>63</v>
      </c>
      <c r="L370">
        <v>1</v>
      </c>
      <c r="M370" t="s">
        <v>198</v>
      </c>
      <c r="N370" s="12">
        <v>2</v>
      </c>
      <c r="O370" s="8" t="s">
        <v>158</v>
      </c>
      <c r="P370">
        <v>2</v>
      </c>
      <c r="Q370" s="8">
        <v>2</v>
      </c>
      <c r="R370" s="12">
        <v>2</v>
      </c>
      <c r="S370" s="8">
        <v>2</v>
      </c>
      <c r="T370" s="12">
        <v>2</v>
      </c>
      <c r="U370" s="8" t="s">
        <v>199</v>
      </c>
      <c r="V370" s="2">
        <v>45720</v>
      </c>
      <c r="W370" s="2">
        <v>45722</v>
      </c>
      <c r="X370" s="2">
        <v>45722</v>
      </c>
      <c r="Y370" s="2">
        <v>45722</v>
      </c>
      <c r="Z370" s="2">
        <v>45722</v>
      </c>
      <c r="AA370" t="s">
        <v>401</v>
      </c>
      <c r="AE370" s="2"/>
      <c r="AG370" s="17"/>
      <c r="AH370" s="2"/>
    </row>
    <row r="371" spans="1:34" hidden="1" x14ac:dyDescent="0.25">
      <c r="A371" s="12">
        <v>8510</v>
      </c>
      <c r="B371" s="12">
        <v>0</v>
      </c>
      <c r="C371" t="s">
        <v>402</v>
      </c>
      <c r="D371">
        <v>247793</v>
      </c>
      <c r="E371" s="8" t="s">
        <v>403</v>
      </c>
      <c r="F371" s="12">
        <v>28</v>
      </c>
      <c r="G371" s="8" t="s">
        <v>42</v>
      </c>
      <c r="H371" s="12">
        <v>3241</v>
      </c>
      <c r="I371" t="s">
        <v>236</v>
      </c>
      <c r="J371" t="s">
        <v>62</v>
      </c>
      <c r="K371" t="s">
        <v>63</v>
      </c>
      <c r="L371">
        <v>1</v>
      </c>
      <c r="M371" t="s">
        <v>198</v>
      </c>
      <c r="N371" s="12">
        <v>2</v>
      </c>
      <c r="O371" s="8" t="s">
        <v>158</v>
      </c>
      <c r="P371">
        <v>2</v>
      </c>
      <c r="Q371" s="8">
        <v>2</v>
      </c>
      <c r="R371" s="12">
        <v>2</v>
      </c>
      <c r="S371" s="8">
        <v>2</v>
      </c>
      <c r="T371" s="12">
        <v>2</v>
      </c>
      <c r="U371" s="8" t="s">
        <v>199</v>
      </c>
      <c r="V371" s="2">
        <v>45720</v>
      </c>
      <c r="W371" s="2">
        <v>45722</v>
      </c>
      <c r="X371" s="2">
        <v>45722</v>
      </c>
      <c r="Y371" s="2">
        <v>45722</v>
      </c>
      <c r="Z371" s="2">
        <v>45722</v>
      </c>
      <c r="AA371" t="s">
        <v>404</v>
      </c>
      <c r="AE371" s="2"/>
      <c r="AG371" s="17"/>
      <c r="AH371" s="2"/>
    </row>
    <row r="372" spans="1:34" hidden="1" x14ac:dyDescent="0.25">
      <c r="A372" s="12">
        <v>8507</v>
      </c>
      <c r="B372" s="12">
        <v>0</v>
      </c>
      <c r="C372" t="s">
        <v>405</v>
      </c>
      <c r="D372">
        <v>247857</v>
      </c>
      <c r="E372" s="8" t="s">
        <v>66</v>
      </c>
      <c r="F372" s="12">
        <v>27</v>
      </c>
      <c r="G372" s="8" t="s">
        <v>168</v>
      </c>
      <c r="H372" s="12">
        <v>3241</v>
      </c>
      <c r="I372" t="s">
        <v>236</v>
      </c>
      <c r="J372" t="s">
        <v>62</v>
      </c>
      <c r="K372" t="s">
        <v>63</v>
      </c>
      <c r="L372">
        <v>1</v>
      </c>
      <c r="M372" t="s">
        <v>198</v>
      </c>
      <c r="N372" s="12">
        <v>2</v>
      </c>
      <c r="O372" s="8" t="s">
        <v>158</v>
      </c>
      <c r="P372">
        <v>2</v>
      </c>
      <c r="Q372" s="8">
        <v>2</v>
      </c>
      <c r="R372" s="12">
        <v>2</v>
      </c>
      <c r="S372" s="8">
        <v>2</v>
      </c>
      <c r="T372" s="12">
        <v>2</v>
      </c>
      <c r="U372" s="8" t="s">
        <v>199</v>
      </c>
      <c r="V372" s="2">
        <v>45720</v>
      </c>
      <c r="W372" s="2">
        <v>45722</v>
      </c>
      <c r="X372" s="2">
        <v>45723</v>
      </c>
      <c r="Y372" s="2">
        <v>45723</v>
      </c>
      <c r="Z372" s="2"/>
      <c r="AA372" t="s">
        <v>406</v>
      </c>
      <c r="AE372" s="2"/>
      <c r="AG372" s="17"/>
      <c r="AH372" s="2"/>
    </row>
    <row r="373" spans="1:34" hidden="1" x14ac:dyDescent="0.25">
      <c r="A373" s="12">
        <v>8544</v>
      </c>
      <c r="B373" s="12">
        <v>0</v>
      </c>
      <c r="C373" t="s">
        <v>407</v>
      </c>
      <c r="D373">
        <v>246912</v>
      </c>
      <c r="E373" s="8" t="s">
        <v>408</v>
      </c>
      <c r="F373" s="12">
        <v>30</v>
      </c>
      <c r="G373" s="8" t="s">
        <v>41</v>
      </c>
      <c r="H373" s="12">
        <v>3233</v>
      </c>
      <c r="I373" t="s">
        <v>343</v>
      </c>
      <c r="J373" t="s">
        <v>62</v>
      </c>
      <c r="K373" t="s">
        <v>63</v>
      </c>
      <c r="L373">
        <v>2</v>
      </c>
      <c r="M373" t="s">
        <v>157</v>
      </c>
      <c r="N373" s="12">
        <v>2</v>
      </c>
      <c r="O373" s="8" t="s">
        <v>158</v>
      </c>
      <c r="P373">
        <v>2</v>
      </c>
      <c r="Q373" s="8">
        <v>2</v>
      </c>
      <c r="R373" s="12">
        <v>2</v>
      </c>
      <c r="S373" s="8">
        <v>2</v>
      </c>
      <c r="T373" s="12">
        <v>2</v>
      </c>
      <c r="U373" s="8" t="s">
        <v>199</v>
      </c>
      <c r="V373" s="2">
        <v>45721</v>
      </c>
      <c r="W373" s="2">
        <v>45721</v>
      </c>
      <c r="X373" s="2">
        <v>45727</v>
      </c>
      <c r="Y373" s="2">
        <v>45727</v>
      </c>
      <c r="Z373" s="2"/>
      <c r="AA373" t="s">
        <v>409</v>
      </c>
      <c r="AB373">
        <v>8544</v>
      </c>
      <c r="AC373">
        <v>76842</v>
      </c>
      <c r="AD373" t="s">
        <v>410</v>
      </c>
      <c r="AE373" s="2">
        <v>45726</v>
      </c>
      <c r="AF373">
        <v>3</v>
      </c>
      <c r="AG373" s="17">
        <v>0.125</v>
      </c>
      <c r="AH373" s="2">
        <v>45726</v>
      </c>
    </row>
    <row r="374" spans="1:34" hidden="1" x14ac:dyDescent="0.25">
      <c r="A374" s="12">
        <v>8511</v>
      </c>
      <c r="B374" s="12">
        <v>0</v>
      </c>
      <c r="C374" t="s">
        <v>411</v>
      </c>
      <c r="D374">
        <v>247828</v>
      </c>
      <c r="E374" s="8" t="s">
        <v>61</v>
      </c>
      <c r="F374" s="12">
        <v>22</v>
      </c>
      <c r="G374" s="8" t="s">
        <v>45</v>
      </c>
      <c r="H374" s="12">
        <v>3233</v>
      </c>
      <c r="I374" t="s">
        <v>343</v>
      </c>
      <c r="J374" t="s">
        <v>62</v>
      </c>
      <c r="K374" t="s">
        <v>63</v>
      </c>
      <c r="L374">
        <v>2</v>
      </c>
      <c r="M374" t="s">
        <v>157</v>
      </c>
      <c r="N374" s="12">
        <v>2</v>
      </c>
      <c r="O374" s="8" t="s">
        <v>158</v>
      </c>
      <c r="P374">
        <v>1</v>
      </c>
      <c r="Q374" s="8">
        <v>1</v>
      </c>
      <c r="R374" s="12">
        <v>1</v>
      </c>
      <c r="S374" s="8">
        <v>1</v>
      </c>
      <c r="T374" s="12">
        <v>2</v>
      </c>
      <c r="U374" s="8" t="s">
        <v>199</v>
      </c>
      <c r="V374" s="2">
        <v>45719</v>
      </c>
      <c r="W374" s="2">
        <v>45720</v>
      </c>
      <c r="X374" s="2">
        <v>45723</v>
      </c>
      <c r="Y374" s="2">
        <v>45723</v>
      </c>
      <c r="Z374" s="2"/>
      <c r="AB374">
        <v>8511</v>
      </c>
      <c r="AC374">
        <v>75700</v>
      </c>
      <c r="AD374" t="s">
        <v>412</v>
      </c>
      <c r="AE374" s="2">
        <v>45721</v>
      </c>
      <c r="AF374">
        <v>3</v>
      </c>
      <c r="AG374" s="17">
        <v>0.125</v>
      </c>
      <c r="AH374" s="2">
        <v>45721</v>
      </c>
    </row>
    <row r="375" spans="1:34" hidden="1" x14ac:dyDescent="0.25">
      <c r="A375" s="12">
        <v>8511</v>
      </c>
      <c r="B375" s="12">
        <v>0</v>
      </c>
      <c r="C375" t="s">
        <v>411</v>
      </c>
      <c r="D375">
        <v>247828</v>
      </c>
      <c r="E375" s="8" t="s">
        <v>61</v>
      </c>
      <c r="F375" s="12">
        <v>22</v>
      </c>
      <c r="G375" s="8" t="s">
        <v>45</v>
      </c>
      <c r="H375" s="12">
        <v>3233</v>
      </c>
      <c r="I375" t="s">
        <v>343</v>
      </c>
      <c r="K375" t="s">
        <v>63</v>
      </c>
      <c r="L375">
        <v>2</v>
      </c>
      <c r="M375" t="s">
        <v>157</v>
      </c>
      <c r="N375" s="12">
        <v>2</v>
      </c>
      <c r="O375" s="8" t="s">
        <v>158</v>
      </c>
      <c r="P375">
        <v>1</v>
      </c>
      <c r="Q375" s="8">
        <v>1</v>
      </c>
      <c r="R375" s="12">
        <v>1</v>
      </c>
      <c r="S375" s="8">
        <v>1</v>
      </c>
      <c r="T375" s="12">
        <v>2</v>
      </c>
      <c r="U375" s="8" t="s">
        <v>199</v>
      </c>
      <c r="V375" s="2">
        <v>45719</v>
      </c>
      <c r="W375" s="2">
        <v>45720</v>
      </c>
      <c r="X375" s="2">
        <v>45723</v>
      </c>
      <c r="Y375" s="2">
        <v>45723</v>
      </c>
      <c r="Z375" s="2"/>
      <c r="AB375">
        <v>8511</v>
      </c>
      <c r="AC375">
        <v>75511</v>
      </c>
      <c r="AD375" t="s">
        <v>365</v>
      </c>
      <c r="AE375" s="2">
        <v>45720</v>
      </c>
      <c r="AF375">
        <v>1</v>
      </c>
      <c r="AG375" s="17">
        <v>4.1666666666666602E-2</v>
      </c>
      <c r="AH375" s="2">
        <v>45721</v>
      </c>
    </row>
    <row r="376" spans="1:34" hidden="1" x14ac:dyDescent="0.25">
      <c r="A376" s="12">
        <v>8545</v>
      </c>
      <c r="B376" s="12">
        <v>0</v>
      </c>
      <c r="C376" t="s">
        <v>413</v>
      </c>
      <c r="D376">
        <v>247828</v>
      </c>
      <c r="E376" s="8" t="s">
        <v>61</v>
      </c>
      <c r="F376" s="12">
        <v>30</v>
      </c>
      <c r="G376" s="8" t="s">
        <v>41</v>
      </c>
      <c r="H376" s="12">
        <v>3233</v>
      </c>
      <c r="I376" t="s">
        <v>343</v>
      </c>
      <c r="J376" t="s">
        <v>62</v>
      </c>
      <c r="K376" t="s">
        <v>63</v>
      </c>
      <c r="L376">
        <v>2</v>
      </c>
      <c r="M376" t="s">
        <v>157</v>
      </c>
      <c r="N376" s="12">
        <v>1</v>
      </c>
      <c r="O376" s="8" t="s">
        <v>193</v>
      </c>
      <c r="P376">
        <v>1</v>
      </c>
      <c r="Q376" s="8">
        <v>1</v>
      </c>
      <c r="R376" s="12">
        <v>1</v>
      </c>
      <c r="S376" s="8">
        <v>1</v>
      </c>
      <c r="T376" s="12">
        <v>1</v>
      </c>
      <c r="U376" s="8" t="s">
        <v>194</v>
      </c>
      <c r="V376" s="2">
        <v>45722</v>
      </c>
      <c r="W376" s="2">
        <v>45726</v>
      </c>
      <c r="X376" s="2">
        <v>45727</v>
      </c>
      <c r="Y376" s="2">
        <v>45727</v>
      </c>
      <c r="Z376" s="2"/>
      <c r="AA376" t="s">
        <v>414</v>
      </c>
      <c r="AB376">
        <v>8545</v>
      </c>
      <c r="AC376">
        <v>76870</v>
      </c>
      <c r="AD376" t="s">
        <v>415</v>
      </c>
      <c r="AE376" s="2">
        <v>45726</v>
      </c>
      <c r="AF376">
        <v>2</v>
      </c>
      <c r="AG376" s="17">
        <v>8.3333333333333301E-2</v>
      </c>
      <c r="AH376" s="2">
        <v>45726</v>
      </c>
    </row>
    <row r="377" spans="1:34" hidden="1" x14ac:dyDescent="0.25">
      <c r="A377" s="12">
        <v>8248</v>
      </c>
      <c r="B377" s="12">
        <v>277</v>
      </c>
      <c r="C377" t="s">
        <v>65</v>
      </c>
      <c r="D377">
        <v>247857</v>
      </c>
      <c r="E377" s="8" t="s">
        <v>66</v>
      </c>
      <c r="F377" s="12">
        <v>21</v>
      </c>
      <c r="G377" s="8" t="s">
        <v>44</v>
      </c>
      <c r="H377" s="12">
        <v>3198</v>
      </c>
      <c r="I377" t="s">
        <v>43</v>
      </c>
      <c r="J377" t="s">
        <v>62</v>
      </c>
      <c r="K377" t="s">
        <v>63</v>
      </c>
      <c r="N377" s="12"/>
      <c r="O377" s="8"/>
      <c r="P377">
        <v>1</v>
      </c>
      <c r="Q377" s="8">
        <v>1</v>
      </c>
      <c r="R377" s="12">
        <v>2</v>
      </c>
      <c r="S377" s="8">
        <v>2</v>
      </c>
      <c r="T377" s="12"/>
      <c r="U377" s="8"/>
      <c r="V377" s="2">
        <v>45658</v>
      </c>
      <c r="W377" s="2">
        <v>1</v>
      </c>
      <c r="X377" s="2">
        <v>45688</v>
      </c>
      <c r="Y377" s="2">
        <v>45688</v>
      </c>
      <c r="Z377" s="2"/>
      <c r="AA377" t="s">
        <v>67</v>
      </c>
      <c r="AB377">
        <v>8248</v>
      </c>
      <c r="AC377">
        <v>66362</v>
      </c>
      <c r="AD377" t="s">
        <v>345</v>
      </c>
      <c r="AE377" s="2">
        <v>45686</v>
      </c>
      <c r="AF377">
        <v>5</v>
      </c>
      <c r="AG377" s="17">
        <v>0.20833333333333301</v>
      </c>
      <c r="AH377" s="2">
        <v>45687</v>
      </c>
    </row>
    <row r="378" spans="1:34" hidden="1" x14ac:dyDescent="0.25">
      <c r="A378" s="12">
        <v>8248</v>
      </c>
      <c r="B378" s="12">
        <v>277</v>
      </c>
      <c r="C378" t="s">
        <v>65</v>
      </c>
      <c r="D378">
        <v>247857</v>
      </c>
      <c r="E378" s="8" t="s">
        <v>66</v>
      </c>
      <c r="F378" s="12">
        <v>21</v>
      </c>
      <c r="G378" s="8" t="s">
        <v>44</v>
      </c>
      <c r="H378" s="12">
        <v>3198</v>
      </c>
      <c r="I378" t="s">
        <v>43</v>
      </c>
      <c r="K378" t="s">
        <v>63</v>
      </c>
      <c r="N378" s="12"/>
      <c r="O378" s="8"/>
      <c r="P378">
        <v>1</v>
      </c>
      <c r="Q378" s="8">
        <v>1</v>
      </c>
      <c r="R378" s="12">
        <v>2</v>
      </c>
      <c r="S378" s="8">
        <v>2</v>
      </c>
      <c r="T378" s="12"/>
      <c r="U378" s="8"/>
      <c r="V378" s="2">
        <v>45658</v>
      </c>
      <c r="W378" s="2">
        <v>1</v>
      </c>
      <c r="X378" s="2">
        <v>45688</v>
      </c>
      <c r="Y378" s="2">
        <v>45688</v>
      </c>
      <c r="Z378" s="2"/>
      <c r="AA378" t="s">
        <v>67</v>
      </c>
      <c r="AB378">
        <v>8248</v>
      </c>
      <c r="AC378">
        <v>66361</v>
      </c>
      <c r="AD378" t="s">
        <v>345</v>
      </c>
      <c r="AE378" s="2">
        <v>45685</v>
      </c>
      <c r="AF378">
        <v>9</v>
      </c>
      <c r="AG378" s="17">
        <v>0.375</v>
      </c>
      <c r="AH378" s="2">
        <v>45687</v>
      </c>
    </row>
    <row r="379" spans="1:34" hidden="1" x14ac:dyDescent="0.25">
      <c r="A379" s="12">
        <v>8404</v>
      </c>
      <c r="B379" s="12">
        <v>288</v>
      </c>
      <c r="C379" t="s">
        <v>260</v>
      </c>
      <c r="D379">
        <v>289006</v>
      </c>
      <c r="E379" s="8" t="s">
        <v>241</v>
      </c>
      <c r="F379" s="12">
        <v>21</v>
      </c>
      <c r="G379" s="8" t="s">
        <v>44</v>
      </c>
      <c r="H379" s="12">
        <v>195</v>
      </c>
      <c r="I379" t="s">
        <v>346</v>
      </c>
      <c r="J379" t="s">
        <v>62</v>
      </c>
      <c r="K379" t="s">
        <v>101</v>
      </c>
      <c r="N379" s="12"/>
      <c r="O379" s="8"/>
      <c r="P379">
        <v>1</v>
      </c>
      <c r="Q379" s="8">
        <v>1</v>
      </c>
      <c r="R379" s="12">
        <v>1</v>
      </c>
      <c r="S379" s="8">
        <v>1</v>
      </c>
      <c r="T379" s="12"/>
      <c r="U379" s="8"/>
      <c r="V379" s="2">
        <v>45658</v>
      </c>
      <c r="W379" s="2">
        <v>1</v>
      </c>
      <c r="X379" s="2">
        <v>45688</v>
      </c>
      <c r="Y379" s="2">
        <v>45716</v>
      </c>
      <c r="Z379" s="2"/>
      <c r="AA379" t="s">
        <v>261</v>
      </c>
      <c r="AB379">
        <v>8404</v>
      </c>
      <c r="AC379">
        <v>72796</v>
      </c>
      <c r="AD379" t="s">
        <v>345</v>
      </c>
      <c r="AE379" s="2">
        <v>45709</v>
      </c>
      <c r="AF379">
        <v>0</v>
      </c>
      <c r="AG379" s="17">
        <v>0</v>
      </c>
      <c r="AH379" s="2">
        <v>45709</v>
      </c>
    </row>
    <row r="380" spans="1:34" hidden="1" x14ac:dyDescent="0.25">
      <c r="A380" s="12">
        <v>8404</v>
      </c>
      <c r="B380" s="12">
        <v>288</v>
      </c>
      <c r="C380" t="s">
        <v>260</v>
      </c>
      <c r="D380">
        <v>289006</v>
      </c>
      <c r="E380" s="8" t="s">
        <v>241</v>
      </c>
      <c r="F380" s="12">
        <v>21</v>
      </c>
      <c r="G380" s="8" t="s">
        <v>44</v>
      </c>
      <c r="H380" s="12">
        <v>195</v>
      </c>
      <c r="I380" t="s">
        <v>346</v>
      </c>
      <c r="K380" t="s">
        <v>101</v>
      </c>
      <c r="N380" s="12"/>
      <c r="O380" s="8"/>
      <c r="P380">
        <v>1</v>
      </c>
      <c r="Q380" s="8">
        <v>1</v>
      </c>
      <c r="R380" s="12">
        <v>1</v>
      </c>
      <c r="S380" s="8">
        <v>1</v>
      </c>
      <c r="T380" s="12"/>
      <c r="U380" s="8"/>
      <c r="V380" s="2">
        <v>45658</v>
      </c>
      <c r="W380" s="2">
        <v>1</v>
      </c>
      <c r="X380" s="2">
        <v>45688</v>
      </c>
      <c r="Y380" s="2">
        <v>45716</v>
      </c>
      <c r="Z380" s="2"/>
      <c r="AA380" t="s">
        <v>261</v>
      </c>
      <c r="AB380">
        <v>8404</v>
      </c>
      <c r="AC380">
        <v>72795</v>
      </c>
      <c r="AD380" t="s">
        <v>656</v>
      </c>
      <c r="AE380" s="2">
        <v>45708</v>
      </c>
      <c r="AF380">
        <v>0.25</v>
      </c>
      <c r="AG380" s="17">
        <v>1.04166666666666E-2</v>
      </c>
      <c r="AH380" s="2">
        <v>45709</v>
      </c>
    </row>
    <row r="381" spans="1:34" hidden="1" x14ac:dyDescent="0.25">
      <c r="A381" s="12">
        <v>8404</v>
      </c>
      <c r="B381" s="12">
        <v>288</v>
      </c>
      <c r="C381" t="s">
        <v>260</v>
      </c>
      <c r="D381">
        <v>289006</v>
      </c>
      <c r="E381" s="8" t="s">
        <v>241</v>
      </c>
      <c r="F381" s="12">
        <v>21</v>
      </c>
      <c r="G381" s="8" t="s">
        <v>44</v>
      </c>
      <c r="H381" s="12">
        <v>195</v>
      </c>
      <c r="I381" t="s">
        <v>346</v>
      </c>
      <c r="K381" t="s">
        <v>101</v>
      </c>
      <c r="N381" s="12"/>
      <c r="O381" s="8"/>
      <c r="P381">
        <v>1</v>
      </c>
      <c r="Q381" s="8">
        <v>1</v>
      </c>
      <c r="R381" s="12">
        <v>1</v>
      </c>
      <c r="S381" s="8">
        <v>1</v>
      </c>
      <c r="T381" s="12"/>
      <c r="U381" s="8"/>
      <c r="V381" s="2">
        <v>45658</v>
      </c>
      <c r="W381" s="2">
        <v>1</v>
      </c>
      <c r="X381" s="2">
        <v>45688</v>
      </c>
      <c r="Y381" s="2">
        <v>45716</v>
      </c>
      <c r="Z381" s="2"/>
      <c r="AA381" t="s">
        <v>261</v>
      </c>
      <c r="AB381">
        <v>8404</v>
      </c>
      <c r="AC381">
        <v>72794</v>
      </c>
      <c r="AD381" t="s">
        <v>657</v>
      </c>
      <c r="AE381" s="2">
        <v>45708</v>
      </c>
      <c r="AF381">
        <v>4</v>
      </c>
      <c r="AG381" s="17">
        <v>0.16666666666666599</v>
      </c>
      <c r="AH381" s="2">
        <v>45709</v>
      </c>
    </row>
    <row r="382" spans="1:34" hidden="1" x14ac:dyDescent="0.25">
      <c r="A382" s="12">
        <v>8261</v>
      </c>
      <c r="B382" s="12">
        <v>304</v>
      </c>
      <c r="C382" t="s">
        <v>244</v>
      </c>
      <c r="D382">
        <v>247795</v>
      </c>
      <c r="E382" s="8" t="s">
        <v>75</v>
      </c>
      <c r="F382" s="12">
        <v>21</v>
      </c>
      <c r="G382" s="8" t="s">
        <v>44</v>
      </c>
      <c r="H382" s="12">
        <v>3202</v>
      </c>
      <c r="I382" t="s">
        <v>49</v>
      </c>
      <c r="J382" t="s">
        <v>62</v>
      </c>
      <c r="K382" t="s">
        <v>63</v>
      </c>
      <c r="N382" s="12"/>
      <c r="O382" s="8"/>
      <c r="P382">
        <v>1</v>
      </c>
      <c r="Q382" s="8">
        <v>1</v>
      </c>
      <c r="R382" s="12">
        <v>3</v>
      </c>
      <c r="S382" s="8">
        <v>3</v>
      </c>
      <c r="T382" s="12"/>
      <c r="U382" s="8"/>
      <c r="V382" s="2">
        <v>45658</v>
      </c>
      <c r="W382" s="2">
        <v>1</v>
      </c>
      <c r="X382" s="2">
        <v>45702</v>
      </c>
      <c r="Y382" s="2">
        <v>45791</v>
      </c>
      <c r="Z382" s="2">
        <v>45692</v>
      </c>
      <c r="AE382" s="2"/>
      <c r="AG382" s="17"/>
      <c r="AH382" s="2"/>
    </row>
    <row r="383" spans="1:34" hidden="1" x14ac:dyDescent="0.25">
      <c r="A383" s="12">
        <v>8316</v>
      </c>
      <c r="B383" s="12">
        <v>325</v>
      </c>
      <c r="C383" t="s">
        <v>245</v>
      </c>
      <c r="E383" s="8"/>
      <c r="F383" s="12">
        <v>21</v>
      </c>
      <c r="G383" s="8" t="s">
        <v>44</v>
      </c>
      <c r="H383" s="12">
        <v>2767</v>
      </c>
      <c r="I383" t="s">
        <v>348</v>
      </c>
      <c r="J383" t="s">
        <v>62</v>
      </c>
      <c r="K383" t="s">
        <v>101</v>
      </c>
      <c r="N383" s="12"/>
      <c r="O383" s="8"/>
      <c r="P383">
        <v>1</v>
      </c>
      <c r="Q383" s="8">
        <v>1</v>
      </c>
      <c r="R383" s="12">
        <v>1</v>
      </c>
      <c r="S383" s="8">
        <v>1</v>
      </c>
      <c r="T383" s="12"/>
      <c r="U383" s="8"/>
      <c r="V383" s="2">
        <v>45658</v>
      </c>
      <c r="W383" s="2">
        <v>1</v>
      </c>
      <c r="X383" s="2">
        <v>45688</v>
      </c>
      <c r="Y383" s="2">
        <v>45757</v>
      </c>
      <c r="Z383" s="2"/>
      <c r="AA383" t="s">
        <v>246</v>
      </c>
      <c r="AB383">
        <v>8316</v>
      </c>
      <c r="AC383">
        <v>74815</v>
      </c>
      <c r="AD383" t="s">
        <v>416</v>
      </c>
      <c r="AE383" s="2">
        <v>45717</v>
      </c>
      <c r="AF383">
        <v>2</v>
      </c>
      <c r="AG383" s="17">
        <v>8.3333333333333301E-2</v>
      </c>
      <c r="AH383" s="2">
        <v>45717</v>
      </c>
    </row>
    <row r="384" spans="1:34" hidden="1" x14ac:dyDescent="0.25">
      <c r="A384" s="12">
        <v>8316</v>
      </c>
      <c r="B384" s="12">
        <v>325</v>
      </c>
      <c r="C384" t="s">
        <v>245</v>
      </c>
      <c r="E384" s="8"/>
      <c r="F384" s="12">
        <v>21</v>
      </c>
      <c r="G384" s="8" t="s">
        <v>44</v>
      </c>
      <c r="H384" s="12">
        <v>2767</v>
      </c>
      <c r="I384" t="s">
        <v>348</v>
      </c>
      <c r="K384" t="s">
        <v>101</v>
      </c>
      <c r="N384" s="12"/>
      <c r="O384" s="8"/>
      <c r="P384">
        <v>1</v>
      </c>
      <c r="Q384" s="8">
        <v>1</v>
      </c>
      <c r="R384" s="12">
        <v>1</v>
      </c>
      <c r="S384" s="8">
        <v>1</v>
      </c>
      <c r="T384" s="12"/>
      <c r="U384" s="8"/>
      <c r="V384" s="2">
        <v>45658</v>
      </c>
      <c r="W384" s="2">
        <v>1</v>
      </c>
      <c r="X384" s="2">
        <v>45688</v>
      </c>
      <c r="Y384" s="2">
        <v>45757</v>
      </c>
      <c r="Z384" s="2"/>
      <c r="AA384" t="s">
        <v>246</v>
      </c>
      <c r="AB384">
        <v>8316</v>
      </c>
      <c r="AC384">
        <v>74390</v>
      </c>
      <c r="AD384" t="s">
        <v>658</v>
      </c>
      <c r="AE384" s="2">
        <v>45716</v>
      </c>
      <c r="AF384">
        <v>1</v>
      </c>
      <c r="AG384" s="17">
        <v>4.1666666666666602E-2</v>
      </c>
      <c r="AH384" s="2">
        <v>45716</v>
      </c>
    </row>
    <row r="385" spans="1:34" hidden="1" x14ac:dyDescent="0.25">
      <c r="A385" s="12">
        <v>8316</v>
      </c>
      <c r="B385" s="12">
        <v>325</v>
      </c>
      <c r="C385" t="s">
        <v>245</v>
      </c>
      <c r="E385" s="8"/>
      <c r="F385" s="12">
        <v>21</v>
      </c>
      <c r="G385" s="8" t="s">
        <v>44</v>
      </c>
      <c r="H385" s="12">
        <v>2767</v>
      </c>
      <c r="I385" t="s">
        <v>348</v>
      </c>
      <c r="K385" t="s">
        <v>101</v>
      </c>
      <c r="N385" s="12"/>
      <c r="O385" s="8"/>
      <c r="P385">
        <v>1</v>
      </c>
      <c r="Q385" s="8">
        <v>1</v>
      </c>
      <c r="R385" s="12">
        <v>1</v>
      </c>
      <c r="S385" s="8">
        <v>1</v>
      </c>
      <c r="T385" s="12"/>
      <c r="U385" s="8"/>
      <c r="V385" s="2">
        <v>45658</v>
      </c>
      <c r="W385" s="2">
        <v>1</v>
      </c>
      <c r="X385" s="2">
        <v>45688</v>
      </c>
      <c r="Y385" s="2">
        <v>45757</v>
      </c>
      <c r="Z385" s="2"/>
      <c r="AA385" t="s">
        <v>246</v>
      </c>
      <c r="AB385">
        <v>8316</v>
      </c>
      <c r="AC385">
        <v>74389</v>
      </c>
      <c r="AD385" t="s">
        <v>659</v>
      </c>
      <c r="AE385" s="2">
        <v>45716</v>
      </c>
      <c r="AF385">
        <v>1</v>
      </c>
      <c r="AG385" s="17">
        <v>4.1666666666666602E-2</v>
      </c>
      <c r="AH385" s="2">
        <v>45716</v>
      </c>
    </row>
    <row r="386" spans="1:34" hidden="1" x14ac:dyDescent="0.25">
      <c r="A386" s="12">
        <v>8316</v>
      </c>
      <c r="B386" s="12">
        <v>325</v>
      </c>
      <c r="C386" t="s">
        <v>245</v>
      </c>
      <c r="E386" s="8"/>
      <c r="F386" s="12">
        <v>21</v>
      </c>
      <c r="G386" s="8" t="s">
        <v>44</v>
      </c>
      <c r="H386" s="12">
        <v>2767</v>
      </c>
      <c r="I386" t="s">
        <v>348</v>
      </c>
      <c r="K386" t="s">
        <v>101</v>
      </c>
      <c r="N386" s="12"/>
      <c r="O386" s="8"/>
      <c r="P386">
        <v>1</v>
      </c>
      <c r="Q386" s="8">
        <v>1</v>
      </c>
      <c r="R386" s="12">
        <v>1</v>
      </c>
      <c r="S386" s="8">
        <v>1</v>
      </c>
      <c r="T386" s="12"/>
      <c r="U386" s="8"/>
      <c r="V386" s="2">
        <v>45658</v>
      </c>
      <c r="W386" s="2">
        <v>1</v>
      </c>
      <c r="X386" s="2">
        <v>45688</v>
      </c>
      <c r="Y386" s="2">
        <v>45757</v>
      </c>
      <c r="Z386" s="2"/>
      <c r="AA386" t="s">
        <v>246</v>
      </c>
      <c r="AB386">
        <v>8316</v>
      </c>
      <c r="AC386">
        <v>73608</v>
      </c>
      <c r="AD386" t="s">
        <v>660</v>
      </c>
      <c r="AE386" s="2">
        <v>45714</v>
      </c>
      <c r="AF386">
        <v>6</v>
      </c>
      <c r="AG386" s="17">
        <v>0.25</v>
      </c>
      <c r="AH386" s="2">
        <v>45714</v>
      </c>
    </row>
    <row r="387" spans="1:34" hidden="1" x14ac:dyDescent="0.25">
      <c r="A387" s="12">
        <v>8316</v>
      </c>
      <c r="B387" s="12">
        <v>325</v>
      </c>
      <c r="C387" t="s">
        <v>245</v>
      </c>
      <c r="E387" s="8"/>
      <c r="F387" s="12">
        <v>21</v>
      </c>
      <c r="G387" s="8" t="s">
        <v>44</v>
      </c>
      <c r="H387" s="12">
        <v>2767</v>
      </c>
      <c r="I387" t="s">
        <v>348</v>
      </c>
      <c r="K387" t="s">
        <v>101</v>
      </c>
      <c r="N387" s="12"/>
      <c r="O387" s="8"/>
      <c r="P387">
        <v>1</v>
      </c>
      <c r="Q387" s="8">
        <v>1</v>
      </c>
      <c r="R387" s="12">
        <v>1</v>
      </c>
      <c r="S387" s="8">
        <v>1</v>
      </c>
      <c r="T387" s="12"/>
      <c r="U387" s="8"/>
      <c r="V387" s="2">
        <v>45658</v>
      </c>
      <c r="W387" s="2">
        <v>1</v>
      </c>
      <c r="X387" s="2">
        <v>45688</v>
      </c>
      <c r="Y387" s="2">
        <v>45757</v>
      </c>
      <c r="Z387" s="2"/>
      <c r="AA387" t="s">
        <v>246</v>
      </c>
      <c r="AB387">
        <v>8316</v>
      </c>
      <c r="AC387">
        <v>73324</v>
      </c>
      <c r="AD387" t="s">
        <v>661</v>
      </c>
      <c r="AE387" s="2">
        <v>45712</v>
      </c>
      <c r="AF387">
        <v>1</v>
      </c>
      <c r="AG387" s="17">
        <v>4.1666666666666602E-2</v>
      </c>
      <c r="AH387" s="2">
        <v>45713</v>
      </c>
    </row>
    <row r="388" spans="1:34" hidden="1" x14ac:dyDescent="0.25">
      <c r="A388" s="12">
        <v>8316</v>
      </c>
      <c r="B388" s="12">
        <v>325</v>
      </c>
      <c r="C388" t="s">
        <v>245</v>
      </c>
      <c r="E388" s="8"/>
      <c r="F388" s="12">
        <v>21</v>
      </c>
      <c r="G388" s="8" t="s">
        <v>44</v>
      </c>
      <c r="H388" s="12">
        <v>2767</v>
      </c>
      <c r="I388" t="s">
        <v>348</v>
      </c>
      <c r="K388" t="s">
        <v>101</v>
      </c>
      <c r="N388" s="12"/>
      <c r="O388" s="8"/>
      <c r="P388">
        <v>1</v>
      </c>
      <c r="Q388" s="8">
        <v>1</v>
      </c>
      <c r="R388" s="12">
        <v>1</v>
      </c>
      <c r="S388" s="8">
        <v>1</v>
      </c>
      <c r="T388" s="12"/>
      <c r="U388" s="8"/>
      <c r="V388" s="2">
        <v>45658</v>
      </c>
      <c r="W388" s="2">
        <v>1</v>
      </c>
      <c r="X388" s="2">
        <v>45688</v>
      </c>
      <c r="Y388" s="2">
        <v>45757</v>
      </c>
      <c r="Z388" s="2"/>
      <c r="AA388" t="s">
        <v>246</v>
      </c>
      <c r="AB388">
        <v>8316</v>
      </c>
      <c r="AC388">
        <v>73323</v>
      </c>
      <c r="AD388" t="s">
        <v>662</v>
      </c>
      <c r="AE388" s="2">
        <v>45712</v>
      </c>
      <c r="AF388">
        <v>1</v>
      </c>
      <c r="AG388" s="17">
        <v>4.1666666666666602E-2</v>
      </c>
      <c r="AH388" s="2">
        <v>45713</v>
      </c>
    </row>
    <row r="389" spans="1:34" hidden="1" x14ac:dyDescent="0.25">
      <c r="A389" s="12">
        <v>8316</v>
      </c>
      <c r="B389" s="12">
        <v>325</v>
      </c>
      <c r="C389" t="s">
        <v>245</v>
      </c>
      <c r="E389" s="8"/>
      <c r="F389" s="12">
        <v>21</v>
      </c>
      <c r="G389" s="8" t="s">
        <v>44</v>
      </c>
      <c r="H389" s="12">
        <v>2767</v>
      </c>
      <c r="I389" t="s">
        <v>348</v>
      </c>
      <c r="K389" t="s">
        <v>101</v>
      </c>
      <c r="N389" s="12"/>
      <c r="O389" s="8"/>
      <c r="P389">
        <v>1</v>
      </c>
      <c r="Q389" s="8">
        <v>1</v>
      </c>
      <c r="R389" s="12">
        <v>1</v>
      </c>
      <c r="S389" s="8">
        <v>1</v>
      </c>
      <c r="T389" s="12"/>
      <c r="U389" s="8"/>
      <c r="V389" s="2">
        <v>45658</v>
      </c>
      <c r="W389" s="2">
        <v>1</v>
      </c>
      <c r="X389" s="2">
        <v>45688</v>
      </c>
      <c r="Y389" s="2">
        <v>45757</v>
      </c>
      <c r="Z389" s="2"/>
      <c r="AA389" t="s">
        <v>246</v>
      </c>
      <c r="AB389">
        <v>8316</v>
      </c>
      <c r="AC389">
        <v>73119</v>
      </c>
      <c r="AD389" t="s">
        <v>663</v>
      </c>
      <c r="AE389" s="2">
        <v>45712</v>
      </c>
      <c r="AF389">
        <v>0.33333333333333298</v>
      </c>
      <c r="AG389" s="17">
        <v>1.38888888888888E-2</v>
      </c>
      <c r="AH389" s="2">
        <v>45712</v>
      </c>
    </row>
    <row r="390" spans="1:34" hidden="1" x14ac:dyDescent="0.25">
      <c r="A390" s="12">
        <v>8316</v>
      </c>
      <c r="B390" s="12">
        <v>325</v>
      </c>
      <c r="C390" t="s">
        <v>245</v>
      </c>
      <c r="E390" s="8"/>
      <c r="F390" s="12">
        <v>21</v>
      </c>
      <c r="G390" s="8" t="s">
        <v>44</v>
      </c>
      <c r="H390" s="12">
        <v>2767</v>
      </c>
      <c r="I390" t="s">
        <v>348</v>
      </c>
      <c r="K390" t="s">
        <v>101</v>
      </c>
      <c r="N390" s="12"/>
      <c r="O390" s="8"/>
      <c r="P390">
        <v>1</v>
      </c>
      <c r="Q390" s="8">
        <v>1</v>
      </c>
      <c r="R390" s="12">
        <v>1</v>
      </c>
      <c r="S390" s="8">
        <v>1</v>
      </c>
      <c r="T390" s="12"/>
      <c r="U390" s="8"/>
      <c r="V390" s="2">
        <v>45658</v>
      </c>
      <c r="W390" s="2">
        <v>1</v>
      </c>
      <c r="X390" s="2">
        <v>45688</v>
      </c>
      <c r="Y390" s="2">
        <v>45757</v>
      </c>
      <c r="Z390" s="2"/>
      <c r="AA390" t="s">
        <v>246</v>
      </c>
      <c r="AB390">
        <v>8316</v>
      </c>
      <c r="AC390">
        <v>73118</v>
      </c>
      <c r="AD390" t="s">
        <v>664</v>
      </c>
      <c r="AE390" s="2">
        <v>45712</v>
      </c>
      <c r="AF390">
        <v>0.66666666666666596</v>
      </c>
      <c r="AG390" s="17">
        <v>2.77777777777777E-2</v>
      </c>
      <c r="AH390" s="2">
        <v>45712</v>
      </c>
    </row>
    <row r="391" spans="1:34" hidden="1" x14ac:dyDescent="0.25">
      <c r="A391" s="12">
        <v>8316</v>
      </c>
      <c r="B391" s="12">
        <v>325</v>
      </c>
      <c r="C391" t="s">
        <v>245</v>
      </c>
      <c r="E391" s="8"/>
      <c r="F391" s="12">
        <v>21</v>
      </c>
      <c r="G391" s="8" t="s">
        <v>44</v>
      </c>
      <c r="H391" s="12">
        <v>2767</v>
      </c>
      <c r="I391" t="s">
        <v>348</v>
      </c>
      <c r="K391" t="s">
        <v>101</v>
      </c>
      <c r="N391" s="12"/>
      <c r="O391" s="8"/>
      <c r="P391">
        <v>1</v>
      </c>
      <c r="Q391" s="8">
        <v>1</v>
      </c>
      <c r="R391" s="12">
        <v>1</v>
      </c>
      <c r="S391" s="8">
        <v>1</v>
      </c>
      <c r="T391" s="12"/>
      <c r="U391" s="8"/>
      <c r="V391" s="2">
        <v>45658</v>
      </c>
      <c r="W391" s="2">
        <v>1</v>
      </c>
      <c r="X391" s="2">
        <v>45688</v>
      </c>
      <c r="Y391" s="2">
        <v>45757</v>
      </c>
      <c r="Z391" s="2"/>
      <c r="AA391" t="s">
        <v>246</v>
      </c>
      <c r="AB391">
        <v>8316</v>
      </c>
      <c r="AC391">
        <v>73117</v>
      </c>
      <c r="AD391" t="s">
        <v>665</v>
      </c>
      <c r="AE391" s="2">
        <v>45712</v>
      </c>
      <c r="AF391">
        <v>2</v>
      </c>
      <c r="AG391" s="17">
        <v>8.3333333333333301E-2</v>
      </c>
      <c r="AH391" s="2">
        <v>45712</v>
      </c>
    </row>
    <row r="392" spans="1:34" hidden="1" x14ac:dyDescent="0.25">
      <c r="A392" s="12">
        <v>8316</v>
      </c>
      <c r="B392" s="12">
        <v>325</v>
      </c>
      <c r="C392" t="s">
        <v>245</v>
      </c>
      <c r="E392" s="8"/>
      <c r="F392" s="12">
        <v>21</v>
      </c>
      <c r="G392" s="8" t="s">
        <v>44</v>
      </c>
      <c r="H392" s="12">
        <v>2767</v>
      </c>
      <c r="I392" t="s">
        <v>348</v>
      </c>
      <c r="K392" t="s">
        <v>101</v>
      </c>
      <c r="N392" s="12"/>
      <c r="O392" s="8"/>
      <c r="P392">
        <v>1</v>
      </c>
      <c r="Q392" s="8">
        <v>1</v>
      </c>
      <c r="R392" s="12">
        <v>1</v>
      </c>
      <c r="S392" s="8">
        <v>1</v>
      </c>
      <c r="T392" s="12"/>
      <c r="U392" s="8"/>
      <c r="V392" s="2">
        <v>45658</v>
      </c>
      <c r="W392" s="2">
        <v>1</v>
      </c>
      <c r="X392" s="2">
        <v>45688</v>
      </c>
      <c r="Y392" s="2">
        <v>45757</v>
      </c>
      <c r="Z392" s="2"/>
      <c r="AA392" t="s">
        <v>246</v>
      </c>
      <c r="AB392">
        <v>8316</v>
      </c>
      <c r="AC392">
        <v>73116</v>
      </c>
      <c r="AD392" t="s">
        <v>662</v>
      </c>
      <c r="AE392" s="2">
        <v>45712</v>
      </c>
      <c r="AF392">
        <v>2</v>
      </c>
      <c r="AG392" s="17">
        <v>8.3333333333333301E-2</v>
      </c>
      <c r="AH392" s="2">
        <v>45712</v>
      </c>
    </row>
    <row r="393" spans="1:34" hidden="1" x14ac:dyDescent="0.25">
      <c r="A393" s="12">
        <v>8316</v>
      </c>
      <c r="B393" s="12">
        <v>325</v>
      </c>
      <c r="C393" t="s">
        <v>245</v>
      </c>
      <c r="E393" s="8"/>
      <c r="F393" s="12">
        <v>21</v>
      </c>
      <c r="G393" s="8" t="s">
        <v>44</v>
      </c>
      <c r="H393" s="12">
        <v>2767</v>
      </c>
      <c r="I393" t="s">
        <v>348</v>
      </c>
      <c r="K393" t="s">
        <v>101</v>
      </c>
      <c r="N393" s="12"/>
      <c r="O393" s="8"/>
      <c r="P393">
        <v>1</v>
      </c>
      <c r="Q393" s="8">
        <v>1</v>
      </c>
      <c r="R393" s="12">
        <v>1</v>
      </c>
      <c r="S393" s="8">
        <v>1</v>
      </c>
      <c r="T393" s="12"/>
      <c r="U393" s="8"/>
      <c r="V393" s="2">
        <v>45658</v>
      </c>
      <c r="W393" s="2">
        <v>1</v>
      </c>
      <c r="X393" s="2">
        <v>45688</v>
      </c>
      <c r="Y393" s="2">
        <v>45757</v>
      </c>
      <c r="Z393" s="2"/>
      <c r="AA393" t="s">
        <v>246</v>
      </c>
      <c r="AB393">
        <v>8316</v>
      </c>
      <c r="AC393">
        <v>72908</v>
      </c>
      <c r="AD393" t="s">
        <v>666</v>
      </c>
      <c r="AE393" s="2">
        <v>45710</v>
      </c>
      <c r="AF393">
        <v>2</v>
      </c>
      <c r="AG393" s="17">
        <v>8.3333333333333301E-2</v>
      </c>
      <c r="AH393" s="2">
        <v>45710</v>
      </c>
    </row>
    <row r="394" spans="1:34" hidden="1" x14ac:dyDescent="0.25">
      <c r="A394" s="12">
        <v>8316</v>
      </c>
      <c r="B394" s="12">
        <v>325</v>
      </c>
      <c r="C394" t="s">
        <v>245</v>
      </c>
      <c r="E394" s="8"/>
      <c r="F394" s="12">
        <v>21</v>
      </c>
      <c r="G394" s="8" t="s">
        <v>44</v>
      </c>
      <c r="H394" s="12">
        <v>2767</v>
      </c>
      <c r="I394" t="s">
        <v>348</v>
      </c>
      <c r="K394" t="s">
        <v>101</v>
      </c>
      <c r="N394" s="12"/>
      <c r="O394" s="8"/>
      <c r="P394">
        <v>1</v>
      </c>
      <c r="Q394" s="8">
        <v>1</v>
      </c>
      <c r="R394" s="12">
        <v>1</v>
      </c>
      <c r="S394" s="8">
        <v>1</v>
      </c>
      <c r="T394" s="12"/>
      <c r="U394" s="8"/>
      <c r="V394" s="2">
        <v>45658</v>
      </c>
      <c r="W394" s="2">
        <v>1</v>
      </c>
      <c r="X394" s="2">
        <v>45688</v>
      </c>
      <c r="Y394" s="2">
        <v>45757</v>
      </c>
      <c r="Z394" s="2"/>
      <c r="AA394" t="s">
        <v>246</v>
      </c>
      <c r="AB394">
        <v>8316</v>
      </c>
      <c r="AC394">
        <v>72285</v>
      </c>
      <c r="AD394" t="s">
        <v>667</v>
      </c>
      <c r="AE394" s="2">
        <v>45709</v>
      </c>
      <c r="AF394">
        <v>0.5</v>
      </c>
      <c r="AG394" s="17">
        <v>2.0833333333333301E-2</v>
      </c>
      <c r="AH394" s="2">
        <v>45709</v>
      </c>
    </row>
    <row r="395" spans="1:34" hidden="1" x14ac:dyDescent="0.25">
      <c r="A395" s="12">
        <v>8316</v>
      </c>
      <c r="B395" s="12">
        <v>325</v>
      </c>
      <c r="C395" t="s">
        <v>245</v>
      </c>
      <c r="E395" s="8"/>
      <c r="F395" s="12">
        <v>21</v>
      </c>
      <c r="G395" s="8" t="s">
        <v>44</v>
      </c>
      <c r="H395" s="12">
        <v>2767</v>
      </c>
      <c r="I395" t="s">
        <v>348</v>
      </c>
      <c r="K395" t="s">
        <v>101</v>
      </c>
      <c r="N395" s="12"/>
      <c r="O395" s="8"/>
      <c r="P395">
        <v>1</v>
      </c>
      <c r="Q395" s="8">
        <v>1</v>
      </c>
      <c r="R395" s="12">
        <v>1</v>
      </c>
      <c r="S395" s="8">
        <v>1</v>
      </c>
      <c r="T395" s="12"/>
      <c r="U395" s="8"/>
      <c r="V395" s="2">
        <v>45658</v>
      </c>
      <c r="W395" s="2">
        <v>1</v>
      </c>
      <c r="X395" s="2">
        <v>45688</v>
      </c>
      <c r="Y395" s="2">
        <v>45757</v>
      </c>
      <c r="Z395" s="2"/>
      <c r="AA395" t="s">
        <v>246</v>
      </c>
      <c r="AB395">
        <v>8316</v>
      </c>
      <c r="AC395">
        <v>72265</v>
      </c>
      <c r="AD395" t="s">
        <v>668</v>
      </c>
      <c r="AE395" s="2">
        <v>45708</v>
      </c>
      <c r="AF395">
        <v>0.33333333333333298</v>
      </c>
      <c r="AG395" s="17">
        <v>1.38888888888888E-2</v>
      </c>
      <c r="AH395" s="2">
        <v>45709</v>
      </c>
    </row>
    <row r="396" spans="1:34" hidden="1" x14ac:dyDescent="0.25">
      <c r="A396" s="12">
        <v>8316</v>
      </c>
      <c r="B396" s="12">
        <v>325</v>
      </c>
      <c r="C396" t="s">
        <v>245</v>
      </c>
      <c r="E396" s="8"/>
      <c r="F396" s="12">
        <v>21</v>
      </c>
      <c r="G396" s="8" t="s">
        <v>44</v>
      </c>
      <c r="H396" s="12">
        <v>2767</v>
      </c>
      <c r="I396" t="s">
        <v>348</v>
      </c>
      <c r="K396" t="s">
        <v>101</v>
      </c>
      <c r="N396" s="12"/>
      <c r="O396" s="8"/>
      <c r="P396">
        <v>1</v>
      </c>
      <c r="Q396" s="8">
        <v>1</v>
      </c>
      <c r="R396" s="12">
        <v>1</v>
      </c>
      <c r="S396" s="8">
        <v>1</v>
      </c>
      <c r="T396" s="12"/>
      <c r="U396" s="8"/>
      <c r="V396" s="2">
        <v>45658</v>
      </c>
      <c r="W396" s="2">
        <v>1</v>
      </c>
      <c r="X396" s="2">
        <v>45688</v>
      </c>
      <c r="Y396" s="2">
        <v>45757</v>
      </c>
      <c r="Z396" s="2"/>
      <c r="AA396" t="s">
        <v>246</v>
      </c>
      <c r="AB396">
        <v>8316</v>
      </c>
      <c r="AC396">
        <v>72054</v>
      </c>
      <c r="AD396" t="s">
        <v>669</v>
      </c>
      <c r="AE396" s="2">
        <v>45708</v>
      </c>
      <c r="AF396">
        <v>0.5</v>
      </c>
      <c r="AG396" s="17">
        <v>2.0833333333333301E-2</v>
      </c>
      <c r="AH396" s="2">
        <v>45708</v>
      </c>
    </row>
    <row r="397" spans="1:34" hidden="1" x14ac:dyDescent="0.25">
      <c r="A397" s="12">
        <v>8316</v>
      </c>
      <c r="B397" s="12">
        <v>325</v>
      </c>
      <c r="C397" t="s">
        <v>245</v>
      </c>
      <c r="E397" s="8"/>
      <c r="F397" s="12">
        <v>21</v>
      </c>
      <c r="G397" s="8" t="s">
        <v>44</v>
      </c>
      <c r="H397" s="12">
        <v>2767</v>
      </c>
      <c r="I397" t="s">
        <v>348</v>
      </c>
      <c r="K397" t="s">
        <v>101</v>
      </c>
      <c r="N397" s="12"/>
      <c r="O397" s="8"/>
      <c r="P397">
        <v>1</v>
      </c>
      <c r="Q397" s="8">
        <v>1</v>
      </c>
      <c r="R397" s="12">
        <v>1</v>
      </c>
      <c r="S397" s="8">
        <v>1</v>
      </c>
      <c r="T397" s="12"/>
      <c r="U397" s="8"/>
      <c r="V397" s="2">
        <v>45658</v>
      </c>
      <c r="W397" s="2">
        <v>1</v>
      </c>
      <c r="X397" s="2">
        <v>45688</v>
      </c>
      <c r="Y397" s="2">
        <v>45757</v>
      </c>
      <c r="Z397" s="2"/>
      <c r="AA397" t="s">
        <v>246</v>
      </c>
      <c r="AB397">
        <v>8316</v>
      </c>
      <c r="AC397">
        <v>72003</v>
      </c>
      <c r="AD397" t="s">
        <v>670</v>
      </c>
      <c r="AE397" s="2">
        <v>45708</v>
      </c>
      <c r="AF397">
        <v>2</v>
      </c>
      <c r="AG397" s="17">
        <v>8.3333333333333301E-2</v>
      </c>
      <c r="AH397" s="2">
        <v>45708</v>
      </c>
    </row>
    <row r="398" spans="1:34" hidden="1" x14ac:dyDescent="0.25">
      <c r="A398" s="12">
        <v>8316</v>
      </c>
      <c r="B398" s="12">
        <v>325</v>
      </c>
      <c r="C398" t="s">
        <v>245</v>
      </c>
      <c r="E398" s="8"/>
      <c r="F398" s="12">
        <v>21</v>
      </c>
      <c r="G398" s="8" t="s">
        <v>44</v>
      </c>
      <c r="H398" s="12">
        <v>2767</v>
      </c>
      <c r="I398" t="s">
        <v>348</v>
      </c>
      <c r="K398" t="s">
        <v>101</v>
      </c>
      <c r="N398" s="12"/>
      <c r="O398" s="8"/>
      <c r="P398">
        <v>1</v>
      </c>
      <c r="Q398" s="8">
        <v>1</v>
      </c>
      <c r="R398" s="12">
        <v>1</v>
      </c>
      <c r="S398" s="8">
        <v>1</v>
      </c>
      <c r="T398" s="12"/>
      <c r="U398" s="8"/>
      <c r="V398" s="2">
        <v>45658</v>
      </c>
      <c r="W398" s="2">
        <v>1</v>
      </c>
      <c r="X398" s="2">
        <v>45688</v>
      </c>
      <c r="Y398" s="2">
        <v>45757</v>
      </c>
      <c r="Z398" s="2"/>
      <c r="AA398" t="s">
        <v>246</v>
      </c>
      <c r="AB398">
        <v>8316</v>
      </c>
      <c r="AC398">
        <v>72000</v>
      </c>
      <c r="AD398" t="s">
        <v>671</v>
      </c>
      <c r="AE398" s="2">
        <v>45708</v>
      </c>
      <c r="AF398">
        <v>1</v>
      </c>
      <c r="AG398" s="17">
        <v>4.1666666666666602E-2</v>
      </c>
      <c r="AH398" s="2">
        <v>45708</v>
      </c>
    </row>
    <row r="399" spans="1:34" hidden="1" x14ac:dyDescent="0.25">
      <c r="A399" s="12">
        <v>8316</v>
      </c>
      <c r="B399" s="12">
        <v>325</v>
      </c>
      <c r="C399" t="s">
        <v>245</v>
      </c>
      <c r="E399" s="8"/>
      <c r="F399" s="12">
        <v>21</v>
      </c>
      <c r="G399" s="8" t="s">
        <v>44</v>
      </c>
      <c r="H399" s="12">
        <v>2767</v>
      </c>
      <c r="I399" t="s">
        <v>348</v>
      </c>
      <c r="K399" t="s">
        <v>101</v>
      </c>
      <c r="N399" s="12"/>
      <c r="O399" s="8"/>
      <c r="P399">
        <v>1</v>
      </c>
      <c r="Q399" s="8">
        <v>1</v>
      </c>
      <c r="R399" s="12">
        <v>1</v>
      </c>
      <c r="S399" s="8">
        <v>1</v>
      </c>
      <c r="T399" s="12"/>
      <c r="U399" s="8"/>
      <c r="V399" s="2">
        <v>45658</v>
      </c>
      <c r="W399" s="2">
        <v>1</v>
      </c>
      <c r="X399" s="2">
        <v>45688</v>
      </c>
      <c r="Y399" s="2">
        <v>45757</v>
      </c>
      <c r="Z399" s="2"/>
      <c r="AA399" t="s">
        <v>246</v>
      </c>
      <c r="AB399">
        <v>8316</v>
      </c>
      <c r="AC399">
        <v>72002</v>
      </c>
      <c r="AD399" t="s">
        <v>672</v>
      </c>
      <c r="AE399" s="2">
        <v>45707</v>
      </c>
      <c r="AF399">
        <v>2</v>
      </c>
      <c r="AG399" s="17">
        <v>8.3333333333333301E-2</v>
      </c>
      <c r="AH399" s="2">
        <v>45708</v>
      </c>
    </row>
    <row r="400" spans="1:34" hidden="1" x14ac:dyDescent="0.25">
      <c r="A400" s="12">
        <v>8316</v>
      </c>
      <c r="B400" s="12">
        <v>325</v>
      </c>
      <c r="C400" t="s">
        <v>245</v>
      </c>
      <c r="E400" s="8"/>
      <c r="F400" s="12">
        <v>21</v>
      </c>
      <c r="G400" s="8" t="s">
        <v>44</v>
      </c>
      <c r="H400" s="12">
        <v>2767</v>
      </c>
      <c r="I400" t="s">
        <v>348</v>
      </c>
      <c r="K400" t="s">
        <v>101</v>
      </c>
      <c r="N400" s="12"/>
      <c r="O400" s="8"/>
      <c r="P400">
        <v>1</v>
      </c>
      <c r="Q400" s="8">
        <v>1</v>
      </c>
      <c r="R400" s="12">
        <v>1</v>
      </c>
      <c r="S400" s="8">
        <v>1</v>
      </c>
      <c r="T400" s="12"/>
      <c r="U400" s="8"/>
      <c r="V400" s="2">
        <v>45658</v>
      </c>
      <c r="W400" s="2">
        <v>1</v>
      </c>
      <c r="X400" s="2">
        <v>45688</v>
      </c>
      <c r="Y400" s="2">
        <v>45757</v>
      </c>
      <c r="Z400" s="2"/>
      <c r="AA400" t="s">
        <v>246</v>
      </c>
      <c r="AB400">
        <v>8316</v>
      </c>
      <c r="AC400">
        <v>70686</v>
      </c>
      <c r="AD400" t="s">
        <v>673</v>
      </c>
      <c r="AE400" s="2">
        <v>45702</v>
      </c>
      <c r="AF400">
        <v>3</v>
      </c>
      <c r="AG400" s="17">
        <v>0.125</v>
      </c>
      <c r="AH400" s="2">
        <v>45702</v>
      </c>
    </row>
    <row r="401" spans="1:34" hidden="1" x14ac:dyDescent="0.25">
      <c r="A401" s="12">
        <v>8316</v>
      </c>
      <c r="B401" s="12">
        <v>325</v>
      </c>
      <c r="C401" t="s">
        <v>245</v>
      </c>
      <c r="E401" s="8"/>
      <c r="F401" s="12">
        <v>21</v>
      </c>
      <c r="G401" s="8" t="s">
        <v>44</v>
      </c>
      <c r="H401" s="12">
        <v>2767</v>
      </c>
      <c r="I401" t="s">
        <v>348</v>
      </c>
      <c r="K401" t="s">
        <v>101</v>
      </c>
      <c r="N401" s="12"/>
      <c r="O401" s="8"/>
      <c r="P401">
        <v>1</v>
      </c>
      <c r="Q401" s="8">
        <v>1</v>
      </c>
      <c r="R401" s="12">
        <v>1</v>
      </c>
      <c r="S401" s="8">
        <v>1</v>
      </c>
      <c r="T401" s="12"/>
      <c r="U401" s="8"/>
      <c r="V401" s="2">
        <v>45658</v>
      </c>
      <c r="W401" s="2">
        <v>1</v>
      </c>
      <c r="X401" s="2">
        <v>45688</v>
      </c>
      <c r="Y401" s="2">
        <v>45757</v>
      </c>
      <c r="Z401" s="2"/>
      <c r="AA401" t="s">
        <v>246</v>
      </c>
      <c r="AB401">
        <v>8316</v>
      </c>
      <c r="AC401">
        <v>70290</v>
      </c>
      <c r="AD401" t="s">
        <v>674</v>
      </c>
      <c r="AE401" s="2">
        <v>45702</v>
      </c>
      <c r="AF401">
        <v>0.5</v>
      </c>
      <c r="AG401" s="17">
        <v>2.0833333333333301E-2</v>
      </c>
      <c r="AH401" s="2">
        <v>45702</v>
      </c>
    </row>
    <row r="402" spans="1:34" hidden="1" x14ac:dyDescent="0.25">
      <c r="A402" s="12">
        <v>8316</v>
      </c>
      <c r="B402" s="12">
        <v>325</v>
      </c>
      <c r="C402" t="s">
        <v>245</v>
      </c>
      <c r="E402" s="8"/>
      <c r="F402" s="12">
        <v>21</v>
      </c>
      <c r="G402" s="8" t="s">
        <v>44</v>
      </c>
      <c r="H402" s="12">
        <v>2767</v>
      </c>
      <c r="I402" t="s">
        <v>348</v>
      </c>
      <c r="K402" t="s">
        <v>101</v>
      </c>
      <c r="N402" s="12"/>
      <c r="O402" s="8"/>
      <c r="P402">
        <v>1</v>
      </c>
      <c r="Q402" s="8">
        <v>1</v>
      </c>
      <c r="R402" s="12">
        <v>1</v>
      </c>
      <c r="S402" s="8">
        <v>1</v>
      </c>
      <c r="T402" s="12"/>
      <c r="U402" s="8"/>
      <c r="V402" s="2">
        <v>45658</v>
      </c>
      <c r="W402" s="2">
        <v>1</v>
      </c>
      <c r="X402" s="2">
        <v>45688</v>
      </c>
      <c r="Y402" s="2">
        <v>45757</v>
      </c>
      <c r="Z402" s="2"/>
      <c r="AA402" t="s">
        <v>246</v>
      </c>
      <c r="AB402">
        <v>8316</v>
      </c>
      <c r="AC402">
        <v>70200</v>
      </c>
      <c r="AD402" t="s">
        <v>675</v>
      </c>
      <c r="AE402" s="2">
        <v>45701</v>
      </c>
      <c r="AF402">
        <v>0.5</v>
      </c>
      <c r="AG402" s="17">
        <v>2.0833333333333301E-2</v>
      </c>
      <c r="AH402" s="2">
        <v>45701</v>
      </c>
    </row>
    <row r="403" spans="1:34" hidden="1" x14ac:dyDescent="0.25">
      <c r="A403" s="12">
        <v>8316</v>
      </c>
      <c r="B403" s="12">
        <v>325</v>
      </c>
      <c r="C403" t="s">
        <v>245</v>
      </c>
      <c r="E403" s="8"/>
      <c r="F403" s="12">
        <v>21</v>
      </c>
      <c r="G403" s="8" t="s">
        <v>44</v>
      </c>
      <c r="H403" s="12">
        <v>2767</v>
      </c>
      <c r="I403" t="s">
        <v>348</v>
      </c>
      <c r="K403" t="s">
        <v>101</v>
      </c>
      <c r="N403" s="12"/>
      <c r="O403" s="8"/>
      <c r="P403">
        <v>1</v>
      </c>
      <c r="Q403" s="8">
        <v>1</v>
      </c>
      <c r="R403" s="12">
        <v>1</v>
      </c>
      <c r="S403" s="8">
        <v>1</v>
      </c>
      <c r="T403" s="12"/>
      <c r="U403" s="8"/>
      <c r="V403" s="2">
        <v>45658</v>
      </c>
      <c r="W403" s="2">
        <v>1</v>
      </c>
      <c r="X403" s="2">
        <v>45688</v>
      </c>
      <c r="Y403" s="2">
        <v>45757</v>
      </c>
      <c r="Z403" s="2"/>
      <c r="AA403" t="s">
        <v>246</v>
      </c>
      <c r="AB403">
        <v>8316</v>
      </c>
      <c r="AC403">
        <v>70983</v>
      </c>
      <c r="AD403" t="s">
        <v>676</v>
      </c>
      <c r="AE403" s="2">
        <v>45698</v>
      </c>
      <c r="AF403">
        <v>4</v>
      </c>
      <c r="AG403" s="17">
        <v>0.16666666666666599</v>
      </c>
      <c r="AH403" s="2">
        <v>45703</v>
      </c>
    </row>
    <row r="404" spans="1:34" hidden="1" x14ac:dyDescent="0.25">
      <c r="A404" s="12">
        <v>8316</v>
      </c>
      <c r="B404" s="12">
        <v>325</v>
      </c>
      <c r="C404" t="s">
        <v>245</v>
      </c>
      <c r="E404" s="8"/>
      <c r="F404" s="12">
        <v>21</v>
      </c>
      <c r="G404" s="8" t="s">
        <v>44</v>
      </c>
      <c r="H404" s="12">
        <v>2767</v>
      </c>
      <c r="I404" t="s">
        <v>348</v>
      </c>
      <c r="K404" t="s">
        <v>101</v>
      </c>
      <c r="N404" s="12"/>
      <c r="O404" s="8"/>
      <c r="P404">
        <v>1</v>
      </c>
      <c r="Q404" s="8">
        <v>1</v>
      </c>
      <c r="R404" s="12">
        <v>1</v>
      </c>
      <c r="S404" s="8">
        <v>1</v>
      </c>
      <c r="T404" s="12"/>
      <c r="U404" s="8"/>
      <c r="V404" s="2">
        <v>45658</v>
      </c>
      <c r="W404" s="2">
        <v>1</v>
      </c>
      <c r="X404" s="2">
        <v>45688</v>
      </c>
      <c r="Y404" s="2">
        <v>45757</v>
      </c>
      <c r="Z404" s="2"/>
      <c r="AA404" t="s">
        <v>246</v>
      </c>
      <c r="AB404">
        <v>8316</v>
      </c>
      <c r="AC404">
        <v>68418</v>
      </c>
      <c r="AD404" t="s">
        <v>677</v>
      </c>
      <c r="AE404" s="2">
        <v>45693</v>
      </c>
      <c r="AF404">
        <v>1</v>
      </c>
      <c r="AG404" s="17">
        <v>4.1666666666666602E-2</v>
      </c>
      <c r="AH404" s="2">
        <v>45695</v>
      </c>
    </row>
    <row r="405" spans="1:34" hidden="1" x14ac:dyDescent="0.25">
      <c r="A405" s="12">
        <v>8316</v>
      </c>
      <c r="B405" s="12">
        <v>325</v>
      </c>
      <c r="C405" t="s">
        <v>245</v>
      </c>
      <c r="E405" s="8"/>
      <c r="F405" s="12">
        <v>21</v>
      </c>
      <c r="G405" s="8" t="s">
        <v>44</v>
      </c>
      <c r="H405" s="12">
        <v>2767</v>
      </c>
      <c r="I405" t="s">
        <v>348</v>
      </c>
      <c r="K405" t="s">
        <v>101</v>
      </c>
      <c r="N405" s="12"/>
      <c r="O405" s="8"/>
      <c r="P405">
        <v>1</v>
      </c>
      <c r="Q405" s="8">
        <v>1</v>
      </c>
      <c r="R405" s="12">
        <v>1</v>
      </c>
      <c r="S405" s="8">
        <v>1</v>
      </c>
      <c r="T405" s="12"/>
      <c r="U405" s="8"/>
      <c r="V405" s="2">
        <v>45658</v>
      </c>
      <c r="W405" s="2">
        <v>1</v>
      </c>
      <c r="X405" s="2">
        <v>45688</v>
      </c>
      <c r="Y405" s="2">
        <v>45757</v>
      </c>
      <c r="Z405" s="2"/>
      <c r="AA405" t="s">
        <v>246</v>
      </c>
      <c r="AB405">
        <v>8316</v>
      </c>
      <c r="AC405">
        <v>68417</v>
      </c>
      <c r="AD405" t="s">
        <v>678</v>
      </c>
      <c r="AE405" s="2">
        <v>45692</v>
      </c>
      <c r="AF405">
        <v>4</v>
      </c>
      <c r="AG405" s="17">
        <v>0.16666666666666599</v>
      </c>
      <c r="AH405" s="2">
        <v>45695</v>
      </c>
    </row>
    <row r="406" spans="1:34" hidden="1" x14ac:dyDescent="0.25">
      <c r="A406" s="12">
        <v>8316</v>
      </c>
      <c r="B406" s="12">
        <v>325</v>
      </c>
      <c r="C406" t="s">
        <v>245</v>
      </c>
      <c r="E406" s="8"/>
      <c r="F406" s="12">
        <v>21</v>
      </c>
      <c r="G406" s="8" t="s">
        <v>44</v>
      </c>
      <c r="H406" s="12">
        <v>2767</v>
      </c>
      <c r="I406" t="s">
        <v>348</v>
      </c>
      <c r="K406" t="s">
        <v>101</v>
      </c>
      <c r="N406" s="12"/>
      <c r="O406" s="8"/>
      <c r="P406">
        <v>1</v>
      </c>
      <c r="Q406" s="8">
        <v>1</v>
      </c>
      <c r="R406" s="12">
        <v>1</v>
      </c>
      <c r="S406" s="8">
        <v>1</v>
      </c>
      <c r="T406" s="12"/>
      <c r="U406" s="8"/>
      <c r="V406" s="2">
        <v>45658</v>
      </c>
      <c r="W406" s="2">
        <v>1</v>
      </c>
      <c r="X406" s="2">
        <v>45688</v>
      </c>
      <c r="Y406" s="2">
        <v>45757</v>
      </c>
      <c r="Z406" s="2"/>
      <c r="AA406" t="s">
        <v>246</v>
      </c>
      <c r="AB406">
        <v>8316</v>
      </c>
      <c r="AC406">
        <v>68416</v>
      </c>
      <c r="AD406" t="s">
        <v>679</v>
      </c>
      <c r="AE406" s="2">
        <v>45691</v>
      </c>
      <c r="AF406">
        <v>8</v>
      </c>
      <c r="AG406" s="17">
        <v>0.33333333333333298</v>
      </c>
      <c r="AH406" s="2">
        <v>45695</v>
      </c>
    </row>
    <row r="407" spans="1:34" hidden="1" x14ac:dyDescent="0.25">
      <c r="A407" s="12">
        <v>8287</v>
      </c>
      <c r="B407" s="12">
        <v>327</v>
      </c>
      <c r="C407" t="s">
        <v>247</v>
      </c>
      <c r="D407">
        <v>247795</v>
      </c>
      <c r="E407" s="8" t="s">
        <v>75</v>
      </c>
      <c r="F407" s="12">
        <v>21</v>
      </c>
      <c r="G407" s="8" t="s">
        <v>44</v>
      </c>
      <c r="H407" s="12">
        <v>3201</v>
      </c>
      <c r="I407" t="s">
        <v>51</v>
      </c>
      <c r="J407" t="s">
        <v>62</v>
      </c>
      <c r="K407" t="s">
        <v>63</v>
      </c>
      <c r="N407" s="12"/>
      <c r="O407" s="8"/>
      <c r="P407">
        <v>1</v>
      </c>
      <c r="Q407" s="8">
        <v>1</v>
      </c>
      <c r="R407" s="12">
        <v>1</v>
      </c>
      <c r="S407" s="8">
        <v>1</v>
      </c>
      <c r="T407" s="12"/>
      <c r="U407" s="8"/>
      <c r="V407" s="2">
        <v>45658</v>
      </c>
      <c r="W407" s="2">
        <v>1</v>
      </c>
      <c r="X407" s="2">
        <v>45702</v>
      </c>
      <c r="Y407" s="2">
        <v>45702</v>
      </c>
      <c r="Z407" s="2"/>
      <c r="AA407" t="s">
        <v>248</v>
      </c>
      <c r="AB407">
        <v>8287</v>
      </c>
      <c r="AC407">
        <v>72207</v>
      </c>
      <c r="AD407" t="s">
        <v>417</v>
      </c>
      <c r="AE407" s="2">
        <v>45708</v>
      </c>
      <c r="AF407">
        <v>3</v>
      </c>
      <c r="AG407" s="17">
        <v>0.125</v>
      </c>
      <c r="AH407" s="2">
        <v>45708</v>
      </c>
    </row>
    <row r="408" spans="1:34" hidden="1" x14ac:dyDescent="0.25">
      <c r="A408" s="12">
        <v>8287</v>
      </c>
      <c r="B408" s="12">
        <v>327</v>
      </c>
      <c r="C408" t="s">
        <v>247</v>
      </c>
      <c r="D408">
        <v>247795</v>
      </c>
      <c r="E408" s="8" t="s">
        <v>75</v>
      </c>
      <c r="F408" s="12">
        <v>21</v>
      </c>
      <c r="G408" s="8" t="s">
        <v>44</v>
      </c>
      <c r="H408" s="12">
        <v>3201</v>
      </c>
      <c r="I408" t="s">
        <v>51</v>
      </c>
      <c r="K408" t="s">
        <v>63</v>
      </c>
      <c r="N408" s="12"/>
      <c r="O408" s="8"/>
      <c r="P408">
        <v>1</v>
      </c>
      <c r="Q408" s="8">
        <v>1</v>
      </c>
      <c r="R408" s="12">
        <v>1</v>
      </c>
      <c r="S408" s="8">
        <v>1</v>
      </c>
      <c r="T408" s="12"/>
      <c r="U408" s="8"/>
      <c r="V408" s="2">
        <v>45658</v>
      </c>
      <c r="W408" s="2">
        <v>1</v>
      </c>
      <c r="X408" s="2">
        <v>45702</v>
      </c>
      <c r="Y408" s="2">
        <v>45702</v>
      </c>
      <c r="Z408" s="2"/>
      <c r="AA408" t="s">
        <v>248</v>
      </c>
      <c r="AB408">
        <v>8287</v>
      </c>
      <c r="AC408">
        <v>72188</v>
      </c>
      <c r="AD408" t="s">
        <v>680</v>
      </c>
      <c r="AE408" s="2">
        <v>45708</v>
      </c>
      <c r="AF408">
        <v>4</v>
      </c>
      <c r="AG408" s="17">
        <v>0.16666666666666599</v>
      </c>
      <c r="AH408" s="2">
        <v>45708</v>
      </c>
    </row>
    <row r="409" spans="1:34" hidden="1" x14ac:dyDescent="0.25">
      <c r="A409" s="12">
        <v>8287</v>
      </c>
      <c r="B409" s="12">
        <v>327</v>
      </c>
      <c r="C409" t="s">
        <v>247</v>
      </c>
      <c r="D409">
        <v>247795</v>
      </c>
      <c r="E409" s="8" t="s">
        <v>75</v>
      </c>
      <c r="F409" s="12">
        <v>21</v>
      </c>
      <c r="G409" s="8" t="s">
        <v>44</v>
      </c>
      <c r="H409" s="12">
        <v>3201</v>
      </c>
      <c r="I409" t="s">
        <v>51</v>
      </c>
      <c r="K409" t="s">
        <v>63</v>
      </c>
      <c r="N409" s="12"/>
      <c r="O409" s="8"/>
      <c r="P409">
        <v>1</v>
      </c>
      <c r="Q409" s="8">
        <v>1</v>
      </c>
      <c r="R409" s="12">
        <v>1</v>
      </c>
      <c r="S409" s="8">
        <v>1</v>
      </c>
      <c r="T409" s="12"/>
      <c r="U409" s="8"/>
      <c r="V409" s="2">
        <v>45658</v>
      </c>
      <c r="W409" s="2">
        <v>1</v>
      </c>
      <c r="X409" s="2">
        <v>45702</v>
      </c>
      <c r="Y409" s="2">
        <v>45702</v>
      </c>
      <c r="Z409" s="2"/>
      <c r="AA409" t="s">
        <v>248</v>
      </c>
      <c r="AB409">
        <v>8287</v>
      </c>
      <c r="AC409">
        <v>71354</v>
      </c>
      <c r="AD409" t="s">
        <v>681</v>
      </c>
      <c r="AE409" s="2">
        <v>45705</v>
      </c>
      <c r="AF409">
        <v>1</v>
      </c>
      <c r="AG409" s="17">
        <v>4.1666666666666602E-2</v>
      </c>
      <c r="AH409" s="2">
        <v>45705</v>
      </c>
    </row>
    <row r="410" spans="1:34" hidden="1" x14ac:dyDescent="0.25">
      <c r="A410" s="12">
        <v>8287</v>
      </c>
      <c r="B410" s="12">
        <v>327</v>
      </c>
      <c r="C410" t="s">
        <v>247</v>
      </c>
      <c r="D410">
        <v>247795</v>
      </c>
      <c r="E410" s="8" t="s">
        <v>75</v>
      </c>
      <c r="F410" s="12">
        <v>21</v>
      </c>
      <c r="G410" s="8" t="s">
        <v>44</v>
      </c>
      <c r="H410" s="12">
        <v>3201</v>
      </c>
      <c r="I410" t="s">
        <v>51</v>
      </c>
      <c r="K410" t="s">
        <v>63</v>
      </c>
      <c r="N410" s="12"/>
      <c r="O410" s="8"/>
      <c r="P410">
        <v>1</v>
      </c>
      <c r="Q410" s="8">
        <v>1</v>
      </c>
      <c r="R410" s="12">
        <v>1</v>
      </c>
      <c r="S410" s="8">
        <v>1</v>
      </c>
      <c r="T410" s="12"/>
      <c r="U410" s="8"/>
      <c r="V410" s="2">
        <v>45658</v>
      </c>
      <c r="W410" s="2">
        <v>1</v>
      </c>
      <c r="X410" s="2">
        <v>45702</v>
      </c>
      <c r="Y410" s="2">
        <v>45702</v>
      </c>
      <c r="Z410" s="2"/>
      <c r="AA410" t="s">
        <v>248</v>
      </c>
      <c r="AB410">
        <v>8287</v>
      </c>
      <c r="AC410">
        <v>70862</v>
      </c>
      <c r="AD410" t="s">
        <v>682</v>
      </c>
      <c r="AE410" s="2">
        <v>45702</v>
      </c>
      <c r="AF410">
        <v>4</v>
      </c>
      <c r="AG410" s="17">
        <v>0.16666666666666599</v>
      </c>
      <c r="AH410" s="2">
        <v>45702</v>
      </c>
    </row>
    <row r="411" spans="1:34" hidden="1" x14ac:dyDescent="0.25">
      <c r="A411" s="12">
        <v>8287</v>
      </c>
      <c r="B411" s="12">
        <v>327</v>
      </c>
      <c r="C411" t="s">
        <v>247</v>
      </c>
      <c r="D411">
        <v>247795</v>
      </c>
      <c r="E411" s="8" t="s">
        <v>75</v>
      </c>
      <c r="F411" s="12">
        <v>21</v>
      </c>
      <c r="G411" s="8" t="s">
        <v>44</v>
      </c>
      <c r="H411" s="12">
        <v>3201</v>
      </c>
      <c r="I411" t="s">
        <v>51</v>
      </c>
      <c r="K411" t="s">
        <v>63</v>
      </c>
      <c r="N411" s="12"/>
      <c r="O411" s="8"/>
      <c r="P411">
        <v>1</v>
      </c>
      <c r="Q411" s="8">
        <v>1</v>
      </c>
      <c r="R411" s="12">
        <v>1</v>
      </c>
      <c r="S411" s="8">
        <v>1</v>
      </c>
      <c r="T411" s="12"/>
      <c r="U411" s="8"/>
      <c r="V411" s="2">
        <v>45658</v>
      </c>
      <c r="W411" s="2">
        <v>1</v>
      </c>
      <c r="X411" s="2">
        <v>45702</v>
      </c>
      <c r="Y411" s="2">
        <v>45702</v>
      </c>
      <c r="Z411" s="2"/>
      <c r="AA411" t="s">
        <v>248</v>
      </c>
      <c r="AB411">
        <v>8287</v>
      </c>
      <c r="AC411">
        <v>70463</v>
      </c>
      <c r="AD411" t="s">
        <v>683</v>
      </c>
      <c r="AE411" s="2">
        <v>45702</v>
      </c>
      <c r="AF411">
        <v>8</v>
      </c>
      <c r="AG411" s="17">
        <v>0.33333333333333298</v>
      </c>
      <c r="AH411" s="2">
        <v>45702</v>
      </c>
    </row>
    <row r="412" spans="1:34" hidden="1" x14ac:dyDescent="0.25">
      <c r="A412" s="12">
        <v>8287</v>
      </c>
      <c r="B412" s="12">
        <v>327</v>
      </c>
      <c r="C412" t="s">
        <v>247</v>
      </c>
      <c r="D412">
        <v>247795</v>
      </c>
      <c r="E412" s="8" t="s">
        <v>75</v>
      </c>
      <c r="F412" s="12">
        <v>21</v>
      </c>
      <c r="G412" s="8" t="s">
        <v>44</v>
      </c>
      <c r="H412" s="12">
        <v>3201</v>
      </c>
      <c r="I412" t="s">
        <v>51</v>
      </c>
      <c r="K412" t="s">
        <v>63</v>
      </c>
      <c r="N412" s="12"/>
      <c r="O412" s="8"/>
      <c r="P412">
        <v>1</v>
      </c>
      <c r="Q412" s="8">
        <v>1</v>
      </c>
      <c r="R412" s="12">
        <v>1</v>
      </c>
      <c r="S412" s="8">
        <v>1</v>
      </c>
      <c r="T412" s="12"/>
      <c r="U412" s="8"/>
      <c r="V412" s="2">
        <v>45658</v>
      </c>
      <c r="W412" s="2">
        <v>1</v>
      </c>
      <c r="X412" s="2">
        <v>45702</v>
      </c>
      <c r="Y412" s="2">
        <v>45702</v>
      </c>
      <c r="Z412" s="2"/>
      <c r="AA412" t="s">
        <v>248</v>
      </c>
      <c r="AB412">
        <v>8287</v>
      </c>
      <c r="AC412">
        <v>70199</v>
      </c>
      <c r="AD412" t="s">
        <v>684</v>
      </c>
      <c r="AE412" s="2">
        <v>45701</v>
      </c>
      <c r="AF412">
        <v>5</v>
      </c>
      <c r="AG412" s="17">
        <v>0.20833333333333301</v>
      </c>
      <c r="AH412" s="2">
        <v>45701</v>
      </c>
    </row>
    <row r="413" spans="1:34" hidden="1" x14ac:dyDescent="0.25">
      <c r="A413" s="12">
        <v>8287</v>
      </c>
      <c r="B413" s="12">
        <v>327</v>
      </c>
      <c r="C413" t="s">
        <v>247</v>
      </c>
      <c r="D413">
        <v>247795</v>
      </c>
      <c r="E413" s="8" t="s">
        <v>75</v>
      </c>
      <c r="F413" s="12">
        <v>21</v>
      </c>
      <c r="G413" s="8" t="s">
        <v>44</v>
      </c>
      <c r="H413" s="12">
        <v>3201</v>
      </c>
      <c r="I413" t="s">
        <v>51</v>
      </c>
      <c r="K413" t="s">
        <v>63</v>
      </c>
      <c r="N413" s="12"/>
      <c r="O413" s="8"/>
      <c r="P413">
        <v>1</v>
      </c>
      <c r="Q413" s="8">
        <v>1</v>
      </c>
      <c r="R413" s="12">
        <v>1</v>
      </c>
      <c r="S413" s="8">
        <v>1</v>
      </c>
      <c r="T413" s="12"/>
      <c r="U413" s="8"/>
      <c r="V413" s="2">
        <v>45658</v>
      </c>
      <c r="W413" s="2">
        <v>1</v>
      </c>
      <c r="X413" s="2">
        <v>45702</v>
      </c>
      <c r="Y413" s="2">
        <v>45702</v>
      </c>
      <c r="Z413" s="2"/>
      <c r="AA413" t="s">
        <v>248</v>
      </c>
      <c r="AB413">
        <v>8287</v>
      </c>
      <c r="AC413">
        <v>70062</v>
      </c>
      <c r="AD413" t="s">
        <v>685</v>
      </c>
      <c r="AE413" s="2">
        <v>45700</v>
      </c>
      <c r="AF413">
        <v>4.5</v>
      </c>
      <c r="AG413" s="17">
        <v>0.1875</v>
      </c>
      <c r="AH413" s="2">
        <v>45701</v>
      </c>
    </row>
    <row r="414" spans="1:34" hidden="1" x14ac:dyDescent="0.25">
      <c r="A414" s="12">
        <v>8287</v>
      </c>
      <c r="B414" s="12">
        <v>327</v>
      </c>
      <c r="C414" t="s">
        <v>247</v>
      </c>
      <c r="D414">
        <v>247795</v>
      </c>
      <c r="E414" s="8" t="s">
        <v>75</v>
      </c>
      <c r="F414" s="12">
        <v>21</v>
      </c>
      <c r="G414" s="8" t="s">
        <v>44</v>
      </c>
      <c r="H414" s="12">
        <v>3201</v>
      </c>
      <c r="I414" t="s">
        <v>51</v>
      </c>
      <c r="K414" t="s">
        <v>63</v>
      </c>
      <c r="N414" s="12"/>
      <c r="O414" s="8"/>
      <c r="P414">
        <v>1</v>
      </c>
      <c r="Q414" s="8">
        <v>1</v>
      </c>
      <c r="R414" s="12">
        <v>1</v>
      </c>
      <c r="S414" s="8">
        <v>1</v>
      </c>
      <c r="T414" s="12"/>
      <c r="U414" s="8"/>
      <c r="V414" s="2">
        <v>45658</v>
      </c>
      <c r="W414" s="2">
        <v>1</v>
      </c>
      <c r="X414" s="2">
        <v>45702</v>
      </c>
      <c r="Y414" s="2">
        <v>45702</v>
      </c>
      <c r="Z414" s="2"/>
      <c r="AA414" t="s">
        <v>248</v>
      </c>
      <c r="AB414">
        <v>8287</v>
      </c>
      <c r="AC414">
        <v>70061</v>
      </c>
      <c r="AD414" t="s">
        <v>686</v>
      </c>
      <c r="AE414" s="2">
        <v>45699</v>
      </c>
      <c r="AF414">
        <v>6</v>
      </c>
      <c r="AG414" s="17">
        <v>0.25</v>
      </c>
      <c r="AH414" s="2">
        <v>45701</v>
      </c>
    </row>
    <row r="415" spans="1:34" hidden="1" x14ac:dyDescent="0.25">
      <c r="A415" s="12">
        <v>8287</v>
      </c>
      <c r="B415" s="12">
        <v>327</v>
      </c>
      <c r="C415" t="s">
        <v>247</v>
      </c>
      <c r="D415">
        <v>247795</v>
      </c>
      <c r="E415" s="8" t="s">
        <v>75</v>
      </c>
      <c r="F415" s="12">
        <v>21</v>
      </c>
      <c r="G415" s="8" t="s">
        <v>44</v>
      </c>
      <c r="H415" s="12">
        <v>3201</v>
      </c>
      <c r="I415" t="s">
        <v>51</v>
      </c>
      <c r="K415" t="s">
        <v>63</v>
      </c>
      <c r="N415" s="12"/>
      <c r="O415" s="8"/>
      <c r="P415">
        <v>1</v>
      </c>
      <c r="Q415" s="8">
        <v>1</v>
      </c>
      <c r="R415" s="12">
        <v>1</v>
      </c>
      <c r="S415" s="8">
        <v>1</v>
      </c>
      <c r="T415" s="12"/>
      <c r="U415" s="8"/>
      <c r="V415" s="2">
        <v>45658</v>
      </c>
      <c r="W415" s="2">
        <v>1</v>
      </c>
      <c r="X415" s="2">
        <v>45702</v>
      </c>
      <c r="Y415" s="2">
        <v>45702</v>
      </c>
      <c r="Z415" s="2"/>
      <c r="AA415" t="s">
        <v>248</v>
      </c>
      <c r="AB415">
        <v>8287</v>
      </c>
      <c r="AC415">
        <v>69771</v>
      </c>
      <c r="AD415" t="s">
        <v>687</v>
      </c>
      <c r="AE415" s="2">
        <v>45699</v>
      </c>
      <c r="AF415">
        <v>2</v>
      </c>
      <c r="AG415" s="17">
        <v>8.3333333333333301E-2</v>
      </c>
      <c r="AH415" s="2">
        <v>45700</v>
      </c>
    </row>
    <row r="416" spans="1:34" hidden="1" x14ac:dyDescent="0.25">
      <c r="A416" s="12">
        <v>8287</v>
      </c>
      <c r="B416" s="12">
        <v>327</v>
      </c>
      <c r="C416" t="s">
        <v>247</v>
      </c>
      <c r="D416">
        <v>247795</v>
      </c>
      <c r="E416" s="8" t="s">
        <v>75</v>
      </c>
      <c r="F416" s="12">
        <v>21</v>
      </c>
      <c r="G416" s="8" t="s">
        <v>44</v>
      </c>
      <c r="H416" s="12">
        <v>3201</v>
      </c>
      <c r="I416" t="s">
        <v>51</v>
      </c>
      <c r="K416" t="s">
        <v>63</v>
      </c>
      <c r="N416" s="12"/>
      <c r="O416" s="8"/>
      <c r="P416">
        <v>1</v>
      </c>
      <c r="Q416" s="8">
        <v>1</v>
      </c>
      <c r="R416" s="12">
        <v>1</v>
      </c>
      <c r="S416" s="8">
        <v>1</v>
      </c>
      <c r="T416" s="12"/>
      <c r="U416" s="8"/>
      <c r="V416" s="2">
        <v>45658</v>
      </c>
      <c r="W416" s="2">
        <v>1</v>
      </c>
      <c r="X416" s="2">
        <v>45702</v>
      </c>
      <c r="Y416" s="2">
        <v>45702</v>
      </c>
      <c r="Z416" s="2"/>
      <c r="AA416" t="s">
        <v>248</v>
      </c>
      <c r="AB416">
        <v>8287</v>
      </c>
      <c r="AC416">
        <v>69770</v>
      </c>
      <c r="AD416" t="s">
        <v>688</v>
      </c>
      <c r="AE416" s="2">
        <v>45699</v>
      </c>
      <c r="AF416">
        <v>2</v>
      </c>
      <c r="AG416" s="17">
        <v>8.3333333333333301E-2</v>
      </c>
      <c r="AH416" s="2">
        <v>45700</v>
      </c>
    </row>
    <row r="417" spans="1:34" hidden="1" x14ac:dyDescent="0.25">
      <c r="A417" s="12">
        <v>8288</v>
      </c>
      <c r="B417" s="12">
        <v>329</v>
      </c>
      <c r="C417" t="s">
        <v>141</v>
      </c>
      <c r="E417" s="8"/>
      <c r="F417" s="12">
        <v>29</v>
      </c>
      <c r="G417" s="8" t="s">
        <v>69</v>
      </c>
      <c r="H417" s="12">
        <v>3201</v>
      </c>
      <c r="I417" t="s">
        <v>51</v>
      </c>
      <c r="J417" t="s">
        <v>62</v>
      </c>
      <c r="K417" t="s">
        <v>63</v>
      </c>
      <c r="N417" s="12"/>
      <c r="O417" s="8"/>
      <c r="P417">
        <v>2</v>
      </c>
      <c r="Q417" s="8">
        <v>2</v>
      </c>
      <c r="R417" s="12">
        <v>2</v>
      </c>
      <c r="S417" s="8">
        <v>2</v>
      </c>
      <c r="T417" s="12"/>
      <c r="U417" s="8"/>
      <c r="V417" s="2">
        <v>45658</v>
      </c>
      <c r="W417" s="2">
        <v>1</v>
      </c>
      <c r="X417" s="2">
        <v>45702</v>
      </c>
      <c r="Y417" s="2">
        <v>45726</v>
      </c>
      <c r="Z417" s="2"/>
      <c r="AE417" s="2"/>
      <c r="AG417" s="17"/>
      <c r="AH417" s="2"/>
    </row>
    <row r="418" spans="1:34" hidden="1" x14ac:dyDescent="0.25">
      <c r="A418" s="12">
        <v>8254</v>
      </c>
      <c r="B418" s="12">
        <v>352</v>
      </c>
      <c r="C418" t="s">
        <v>249</v>
      </c>
      <c r="E418" s="8"/>
      <c r="F418" s="12">
        <v>21</v>
      </c>
      <c r="G418" s="8" t="s">
        <v>44</v>
      </c>
      <c r="H418" s="12">
        <v>3201</v>
      </c>
      <c r="I418" t="s">
        <v>51</v>
      </c>
      <c r="J418" t="s">
        <v>62</v>
      </c>
      <c r="K418" t="s">
        <v>63</v>
      </c>
      <c r="N418" s="12"/>
      <c r="O418" s="8"/>
      <c r="P418">
        <v>1</v>
      </c>
      <c r="Q418" s="8">
        <v>1</v>
      </c>
      <c r="R418" s="12">
        <v>1</v>
      </c>
      <c r="S418" s="8">
        <v>1</v>
      </c>
      <c r="T418" s="12"/>
      <c r="U418" s="8"/>
      <c r="V418" s="2">
        <v>45658</v>
      </c>
      <c r="W418" s="2">
        <v>1</v>
      </c>
      <c r="X418" s="2">
        <v>45688</v>
      </c>
      <c r="Y418" s="2">
        <v>45688</v>
      </c>
      <c r="Z418" s="2"/>
      <c r="AB418">
        <v>8254</v>
      </c>
      <c r="AC418">
        <v>67453</v>
      </c>
      <c r="AD418" t="s">
        <v>418</v>
      </c>
      <c r="AE418" s="2">
        <v>45692</v>
      </c>
      <c r="AF418">
        <v>4</v>
      </c>
      <c r="AG418" s="17">
        <v>0.16666666666666599</v>
      </c>
      <c r="AH418" s="2">
        <v>45691</v>
      </c>
    </row>
    <row r="419" spans="1:34" hidden="1" x14ac:dyDescent="0.25">
      <c r="A419" s="12">
        <v>8254</v>
      </c>
      <c r="B419" s="12">
        <v>352</v>
      </c>
      <c r="C419" t="s">
        <v>249</v>
      </c>
      <c r="E419" s="8"/>
      <c r="F419" s="12">
        <v>21</v>
      </c>
      <c r="G419" s="8" t="s">
        <v>44</v>
      </c>
      <c r="H419" s="12">
        <v>3201</v>
      </c>
      <c r="I419" t="s">
        <v>51</v>
      </c>
      <c r="K419" t="s">
        <v>63</v>
      </c>
      <c r="N419" s="12"/>
      <c r="O419" s="8"/>
      <c r="P419">
        <v>1</v>
      </c>
      <c r="Q419" s="8">
        <v>1</v>
      </c>
      <c r="R419" s="12">
        <v>1</v>
      </c>
      <c r="S419" s="8">
        <v>1</v>
      </c>
      <c r="T419" s="12"/>
      <c r="U419" s="8"/>
      <c r="V419" s="2">
        <v>45658</v>
      </c>
      <c r="W419" s="2">
        <v>1</v>
      </c>
      <c r="X419" s="2">
        <v>45688</v>
      </c>
      <c r="Y419" s="2">
        <v>45688</v>
      </c>
      <c r="Z419" s="2"/>
      <c r="AB419">
        <v>8254</v>
      </c>
      <c r="AC419">
        <v>67461</v>
      </c>
      <c r="AD419" t="s">
        <v>689</v>
      </c>
      <c r="AE419" s="2">
        <v>45686</v>
      </c>
      <c r="AF419">
        <v>3.5</v>
      </c>
      <c r="AG419" s="17">
        <v>0.14583333333333301</v>
      </c>
      <c r="AH419" s="2">
        <v>45691</v>
      </c>
    </row>
    <row r="420" spans="1:34" hidden="1" x14ac:dyDescent="0.25">
      <c r="A420" s="12">
        <v>8254</v>
      </c>
      <c r="B420" s="12">
        <v>352</v>
      </c>
      <c r="C420" t="s">
        <v>249</v>
      </c>
      <c r="E420" s="8"/>
      <c r="F420" s="12">
        <v>21</v>
      </c>
      <c r="G420" s="8" t="s">
        <v>44</v>
      </c>
      <c r="H420" s="12">
        <v>3201</v>
      </c>
      <c r="I420" t="s">
        <v>51</v>
      </c>
      <c r="K420" t="s">
        <v>63</v>
      </c>
      <c r="N420" s="12"/>
      <c r="O420" s="8"/>
      <c r="P420">
        <v>1</v>
      </c>
      <c r="Q420" s="8">
        <v>1</v>
      </c>
      <c r="R420" s="12">
        <v>1</v>
      </c>
      <c r="S420" s="8">
        <v>1</v>
      </c>
      <c r="T420" s="12"/>
      <c r="U420" s="8"/>
      <c r="V420" s="2">
        <v>45658</v>
      </c>
      <c r="W420" s="2">
        <v>1</v>
      </c>
      <c r="X420" s="2">
        <v>45688</v>
      </c>
      <c r="Y420" s="2">
        <v>45688</v>
      </c>
      <c r="Z420" s="2"/>
      <c r="AB420">
        <v>8254</v>
      </c>
      <c r="AC420">
        <v>67460</v>
      </c>
      <c r="AD420" t="s">
        <v>690</v>
      </c>
      <c r="AE420" s="2">
        <v>45685</v>
      </c>
      <c r="AF420">
        <v>4</v>
      </c>
      <c r="AG420" s="17">
        <v>0.16666666666666599</v>
      </c>
      <c r="AH420" s="2">
        <v>45691</v>
      </c>
    </row>
    <row r="421" spans="1:34" hidden="1" x14ac:dyDescent="0.25">
      <c r="A421" s="12">
        <v>8254</v>
      </c>
      <c r="B421" s="12">
        <v>352</v>
      </c>
      <c r="C421" t="s">
        <v>249</v>
      </c>
      <c r="E421" s="8"/>
      <c r="F421" s="12">
        <v>21</v>
      </c>
      <c r="G421" s="8" t="s">
        <v>44</v>
      </c>
      <c r="H421" s="12">
        <v>3201</v>
      </c>
      <c r="I421" t="s">
        <v>51</v>
      </c>
      <c r="K421" t="s">
        <v>63</v>
      </c>
      <c r="N421" s="12"/>
      <c r="O421" s="8"/>
      <c r="P421">
        <v>1</v>
      </c>
      <c r="Q421" s="8">
        <v>1</v>
      </c>
      <c r="R421" s="12">
        <v>1</v>
      </c>
      <c r="S421" s="8">
        <v>1</v>
      </c>
      <c r="T421" s="12"/>
      <c r="U421" s="8"/>
      <c r="V421" s="2">
        <v>45658</v>
      </c>
      <c r="W421" s="2">
        <v>1</v>
      </c>
      <c r="X421" s="2">
        <v>45688</v>
      </c>
      <c r="Y421" s="2">
        <v>45688</v>
      </c>
      <c r="Z421" s="2"/>
      <c r="AB421">
        <v>8254</v>
      </c>
      <c r="AC421">
        <v>67459</v>
      </c>
      <c r="AD421" t="s">
        <v>691</v>
      </c>
      <c r="AE421" s="2">
        <v>45685</v>
      </c>
      <c r="AF421">
        <v>2</v>
      </c>
      <c r="AG421" s="17">
        <v>8.3333333333333301E-2</v>
      </c>
      <c r="AH421" s="2">
        <v>45691</v>
      </c>
    </row>
    <row r="422" spans="1:34" hidden="1" x14ac:dyDescent="0.25">
      <c r="A422" s="12">
        <v>8254</v>
      </c>
      <c r="B422" s="12">
        <v>352</v>
      </c>
      <c r="C422" t="s">
        <v>249</v>
      </c>
      <c r="E422" s="8"/>
      <c r="F422" s="12">
        <v>21</v>
      </c>
      <c r="G422" s="8" t="s">
        <v>44</v>
      </c>
      <c r="H422" s="12">
        <v>3201</v>
      </c>
      <c r="I422" t="s">
        <v>51</v>
      </c>
      <c r="K422" t="s">
        <v>63</v>
      </c>
      <c r="N422" s="12"/>
      <c r="O422" s="8"/>
      <c r="P422">
        <v>1</v>
      </c>
      <c r="Q422" s="8">
        <v>1</v>
      </c>
      <c r="R422" s="12">
        <v>1</v>
      </c>
      <c r="S422" s="8">
        <v>1</v>
      </c>
      <c r="T422" s="12"/>
      <c r="U422" s="8"/>
      <c r="V422" s="2">
        <v>45658</v>
      </c>
      <c r="W422" s="2">
        <v>1</v>
      </c>
      <c r="X422" s="2">
        <v>45688</v>
      </c>
      <c r="Y422" s="2">
        <v>45688</v>
      </c>
      <c r="Z422" s="2"/>
      <c r="AB422">
        <v>8254</v>
      </c>
      <c r="AC422">
        <v>67454</v>
      </c>
      <c r="AD422" t="s">
        <v>692</v>
      </c>
      <c r="AE422" s="2">
        <v>45681</v>
      </c>
      <c r="AF422">
        <v>2</v>
      </c>
      <c r="AG422" s="17">
        <v>8.3333333333333301E-2</v>
      </c>
      <c r="AH422" s="2">
        <v>45691</v>
      </c>
    </row>
    <row r="423" spans="1:34" hidden="1" x14ac:dyDescent="0.25">
      <c r="A423" s="12">
        <v>8254</v>
      </c>
      <c r="B423" s="12">
        <v>352</v>
      </c>
      <c r="C423" t="s">
        <v>249</v>
      </c>
      <c r="E423" s="8"/>
      <c r="F423" s="12">
        <v>21</v>
      </c>
      <c r="G423" s="8" t="s">
        <v>44</v>
      </c>
      <c r="H423" s="12">
        <v>3201</v>
      </c>
      <c r="I423" t="s">
        <v>51</v>
      </c>
      <c r="K423" t="s">
        <v>63</v>
      </c>
      <c r="N423" s="12"/>
      <c r="O423" s="8"/>
      <c r="P423">
        <v>1</v>
      </c>
      <c r="Q423" s="8">
        <v>1</v>
      </c>
      <c r="R423" s="12">
        <v>1</v>
      </c>
      <c r="S423" s="8">
        <v>1</v>
      </c>
      <c r="T423" s="12"/>
      <c r="U423" s="8"/>
      <c r="V423" s="2">
        <v>45658</v>
      </c>
      <c r="W423" s="2">
        <v>1</v>
      </c>
      <c r="X423" s="2">
        <v>45688</v>
      </c>
      <c r="Y423" s="2">
        <v>45688</v>
      </c>
      <c r="Z423" s="2"/>
      <c r="AB423">
        <v>8254</v>
      </c>
      <c r="AC423">
        <v>66058</v>
      </c>
      <c r="AD423" t="s">
        <v>693</v>
      </c>
      <c r="AE423" s="2">
        <v>45681</v>
      </c>
      <c r="AF423">
        <v>1</v>
      </c>
      <c r="AG423" s="17">
        <v>4.1666666666666602E-2</v>
      </c>
      <c r="AH423" s="2">
        <v>45686</v>
      </c>
    </row>
    <row r="424" spans="1:34" hidden="1" x14ac:dyDescent="0.25">
      <c r="A424" s="12">
        <v>8281</v>
      </c>
      <c r="B424" s="12">
        <v>369</v>
      </c>
      <c r="C424" t="s">
        <v>253</v>
      </c>
      <c r="D424">
        <v>289006</v>
      </c>
      <c r="E424" s="8" t="s">
        <v>241</v>
      </c>
      <c r="F424" s="12">
        <v>21</v>
      </c>
      <c r="G424" s="8" t="s">
        <v>44</v>
      </c>
      <c r="H424" s="12">
        <v>3200</v>
      </c>
      <c r="I424" t="s">
        <v>50</v>
      </c>
      <c r="J424" t="s">
        <v>62</v>
      </c>
      <c r="K424" t="s">
        <v>63</v>
      </c>
      <c r="N424" s="12"/>
      <c r="O424" s="8"/>
      <c r="P424">
        <v>2</v>
      </c>
      <c r="Q424" s="8">
        <v>2</v>
      </c>
      <c r="R424" s="12">
        <v>2</v>
      </c>
      <c r="S424" s="8">
        <v>2</v>
      </c>
      <c r="T424" s="12"/>
      <c r="U424" s="8"/>
      <c r="V424" s="2">
        <v>45685</v>
      </c>
      <c r="W424" s="2">
        <v>1</v>
      </c>
      <c r="X424" s="2">
        <v>45700</v>
      </c>
      <c r="Y424" s="2">
        <v>45700</v>
      </c>
      <c r="Z424" s="2"/>
      <c r="AA424" t="s">
        <v>254</v>
      </c>
      <c r="AB424">
        <v>8281</v>
      </c>
      <c r="AC424">
        <v>69992</v>
      </c>
      <c r="AD424" t="s">
        <v>420</v>
      </c>
      <c r="AE424" s="2">
        <v>45700</v>
      </c>
      <c r="AF424">
        <v>8</v>
      </c>
      <c r="AG424" s="17">
        <v>0.33333333333333298</v>
      </c>
      <c r="AH424" s="2">
        <v>45701</v>
      </c>
    </row>
    <row r="425" spans="1:34" hidden="1" x14ac:dyDescent="0.25">
      <c r="A425" s="12">
        <v>8281</v>
      </c>
      <c r="B425" s="12">
        <v>369</v>
      </c>
      <c r="C425" t="s">
        <v>253</v>
      </c>
      <c r="D425">
        <v>289006</v>
      </c>
      <c r="E425" s="8" t="s">
        <v>241</v>
      </c>
      <c r="F425" s="12">
        <v>21</v>
      </c>
      <c r="G425" s="8" t="s">
        <v>44</v>
      </c>
      <c r="H425" s="12">
        <v>3200</v>
      </c>
      <c r="I425" t="s">
        <v>50</v>
      </c>
      <c r="K425" t="s">
        <v>63</v>
      </c>
      <c r="N425" s="12"/>
      <c r="O425" s="8"/>
      <c r="P425">
        <v>2</v>
      </c>
      <c r="Q425" s="8">
        <v>2</v>
      </c>
      <c r="R425" s="12">
        <v>2</v>
      </c>
      <c r="S425" s="8">
        <v>2</v>
      </c>
      <c r="T425" s="12"/>
      <c r="U425" s="8"/>
      <c r="V425" s="2">
        <v>45685</v>
      </c>
      <c r="W425" s="2">
        <v>1</v>
      </c>
      <c r="X425" s="2">
        <v>45700</v>
      </c>
      <c r="Y425" s="2">
        <v>45700</v>
      </c>
      <c r="Z425" s="2"/>
      <c r="AA425" t="s">
        <v>254</v>
      </c>
      <c r="AB425">
        <v>8281</v>
      </c>
      <c r="AC425">
        <v>69388</v>
      </c>
      <c r="AD425" t="s">
        <v>699</v>
      </c>
      <c r="AE425" s="2">
        <v>45699</v>
      </c>
      <c r="AF425">
        <v>8</v>
      </c>
      <c r="AG425" s="17">
        <v>0.33333333333333298</v>
      </c>
      <c r="AH425" s="2">
        <v>45699</v>
      </c>
    </row>
    <row r="426" spans="1:34" hidden="1" x14ac:dyDescent="0.25">
      <c r="A426" s="12">
        <v>8281</v>
      </c>
      <c r="B426" s="12">
        <v>369</v>
      </c>
      <c r="C426" t="s">
        <v>253</v>
      </c>
      <c r="D426">
        <v>289006</v>
      </c>
      <c r="E426" s="8" t="s">
        <v>241</v>
      </c>
      <c r="F426" s="12">
        <v>21</v>
      </c>
      <c r="G426" s="8" t="s">
        <v>44</v>
      </c>
      <c r="H426" s="12">
        <v>3200</v>
      </c>
      <c r="I426" t="s">
        <v>50</v>
      </c>
      <c r="K426" t="s">
        <v>63</v>
      </c>
      <c r="N426" s="12"/>
      <c r="O426" s="8"/>
      <c r="P426">
        <v>2</v>
      </c>
      <c r="Q426" s="8">
        <v>2</v>
      </c>
      <c r="R426" s="12">
        <v>2</v>
      </c>
      <c r="S426" s="8">
        <v>2</v>
      </c>
      <c r="T426" s="12"/>
      <c r="U426" s="8"/>
      <c r="V426" s="2">
        <v>45685</v>
      </c>
      <c r="W426" s="2">
        <v>1</v>
      </c>
      <c r="X426" s="2">
        <v>45700</v>
      </c>
      <c r="Y426" s="2">
        <v>45700</v>
      </c>
      <c r="Z426" s="2"/>
      <c r="AA426" t="s">
        <v>254</v>
      </c>
      <c r="AB426">
        <v>8281</v>
      </c>
      <c r="AC426">
        <v>68153</v>
      </c>
      <c r="AD426" t="s">
        <v>700</v>
      </c>
      <c r="AE426" s="2">
        <v>45693</v>
      </c>
      <c r="AF426">
        <v>2</v>
      </c>
      <c r="AG426" s="17">
        <v>8.3333333333333301E-2</v>
      </c>
      <c r="AH426" s="2">
        <v>45694</v>
      </c>
    </row>
    <row r="427" spans="1:34" hidden="1" x14ac:dyDescent="0.25">
      <c r="A427" s="12">
        <v>8281</v>
      </c>
      <c r="B427" s="12">
        <v>369</v>
      </c>
      <c r="C427" t="s">
        <v>253</v>
      </c>
      <c r="D427">
        <v>289006</v>
      </c>
      <c r="E427" s="8" t="s">
        <v>241</v>
      </c>
      <c r="F427" s="12">
        <v>21</v>
      </c>
      <c r="G427" s="8" t="s">
        <v>44</v>
      </c>
      <c r="H427" s="12">
        <v>3200</v>
      </c>
      <c r="I427" t="s">
        <v>50</v>
      </c>
      <c r="K427" t="s">
        <v>63</v>
      </c>
      <c r="N427" s="12"/>
      <c r="O427" s="8"/>
      <c r="P427">
        <v>2</v>
      </c>
      <c r="Q427" s="8">
        <v>2</v>
      </c>
      <c r="R427" s="12">
        <v>2</v>
      </c>
      <c r="S427" s="8">
        <v>2</v>
      </c>
      <c r="T427" s="12"/>
      <c r="U427" s="8"/>
      <c r="V427" s="2">
        <v>45685</v>
      </c>
      <c r="W427" s="2">
        <v>1</v>
      </c>
      <c r="X427" s="2">
        <v>45700</v>
      </c>
      <c r="Y427" s="2">
        <v>45700</v>
      </c>
      <c r="Z427" s="2"/>
      <c r="AA427" t="s">
        <v>254</v>
      </c>
      <c r="AB427">
        <v>8281</v>
      </c>
      <c r="AC427">
        <v>67590</v>
      </c>
      <c r="AD427" t="s">
        <v>701</v>
      </c>
      <c r="AE427" s="2">
        <v>45691</v>
      </c>
      <c r="AF427">
        <v>0.5</v>
      </c>
      <c r="AG427" s="17">
        <v>2.0833333333333301E-2</v>
      </c>
      <c r="AH427" s="2">
        <v>45692</v>
      </c>
    </row>
    <row r="428" spans="1:34" hidden="1" x14ac:dyDescent="0.25">
      <c r="A428" s="12">
        <v>8326</v>
      </c>
      <c r="B428" s="12">
        <v>0</v>
      </c>
      <c r="C428" t="s">
        <v>255</v>
      </c>
      <c r="D428">
        <v>289006</v>
      </c>
      <c r="E428" s="8" t="s">
        <v>241</v>
      </c>
      <c r="F428" s="12">
        <v>21</v>
      </c>
      <c r="G428" s="8" t="s">
        <v>44</v>
      </c>
      <c r="H428" s="12">
        <v>3202</v>
      </c>
      <c r="I428" t="s">
        <v>49</v>
      </c>
      <c r="J428" t="s">
        <v>62</v>
      </c>
      <c r="K428" t="s">
        <v>101</v>
      </c>
      <c r="L428">
        <v>4</v>
      </c>
      <c r="M428" t="s">
        <v>207</v>
      </c>
      <c r="N428" s="12">
        <v>1</v>
      </c>
      <c r="O428" s="8" t="s">
        <v>193</v>
      </c>
      <c r="P428">
        <v>2</v>
      </c>
      <c r="Q428" s="8">
        <v>2</v>
      </c>
      <c r="R428" s="12">
        <v>2</v>
      </c>
      <c r="S428" s="8">
        <v>2</v>
      </c>
      <c r="T428" s="12">
        <v>1</v>
      </c>
      <c r="U428" s="8" t="s">
        <v>194</v>
      </c>
      <c r="V428" s="2">
        <v>45694</v>
      </c>
      <c r="W428" s="2">
        <v>45701</v>
      </c>
      <c r="X428" s="2">
        <v>45716</v>
      </c>
      <c r="Y428" s="2">
        <v>45716</v>
      </c>
      <c r="Z428" s="2">
        <v>45715</v>
      </c>
      <c r="AB428">
        <v>8326</v>
      </c>
      <c r="AC428">
        <v>75484</v>
      </c>
      <c r="AD428" t="s">
        <v>421</v>
      </c>
      <c r="AE428" s="2">
        <v>45714</v>
      </c>
      <c r="AF428">
        <v>2</v>
      </c>
      <c r="AG428" s="17">
        <v>8.3333333333333301E-2</v>
      </c>
      <c r="AH428" s="2">
        <v>45721</v>
      </c>
    </row>
    <row r="429" spans="1:34" hidden="1" x14ac:dyDescent="0.25">
      <c r="A429" s="12">
        <v>8326</v>
      </c>
      <c r="B429" s="12">
        <v>0</v>
      </c>
      <c r="C429" t="s">
        <v>255</v>
      </c>
      <c r="D429">
        <v>289006</v>
      </c>
      <c r="E429" s="8" t="s">
        <v>241</v>
      </c>
      <c r="F429" s="12">
        <v>21</v>
      </c>
      <c r="G429" s="8" t="s">
        <v>44</v>
      </c>
      <c r="H429" s="12">
        <v>3202</v>
      </c>
      <c r="I429" t="s">
        <v>49</v>
      </c>
      <c r="K429" t="s">
        <v>101</v>
      </c>
      <c r="L429">
        <v>4</v>
      </c>
      <c r="M429" t="s">
        <v>207</v>
      </c>
      <c r="N429" s="12">
        <v>1</v>
      </c>
      <c r="O429" s="8" t="s">
        <v>193</v>
      </c>
      <c r="P429">
        <v>2</v>
      </c>
      <c r="Q429" s="8">
        <v>2</v>
      </c>
      <c r="R429" s="12">
        <v>2</v>
      </c>
      <c r="S429" s="8">
        <v>2</v>
      </c>
      <c r="T429" s="12">
        <v>1</v>
      </c>
      <c r="U429" s="8" t="s">
        <v>194</v>
      </c>
      <c r="V429" s="2">
        <v>45694</v>
      </c>
      <c r="W429" s="2">
        <v>45701</v>
      </c>
      <c r="X429" s="2">
        <v>45716</v>
      </c>
      <c r="Y429" s="2">
        <v>45716</v>
      </c>
      <c r="Z429" s="2">
        <v>45715</v>
      </c>
      <c r="AB429">
        <v>8326</v>
      </c>
      <c r="AC429">
        <v>75483</v>
      </c>
      <c r="AD429" t="s">
        <v>702</v>
      </c>
      <c r="AE429" s="2">
        <v>45714</v>
      </c>
      <c r="AF429">
        <v>3</v>
      </c>
      <c r="AG429" s="17">
        <v>0.125</v>
      </c>
      <c r="AH429" s="2">
        <v>45721</v>
      </c>
    </row>
    <row r="430" spans="1:34" hidden="1" x14ac:dyDescent="0.25">
      <c r="A430" s="12">
        <v>8326</v>
      </c>
      <c r="B430" s="12">
        <v>0</v>
      </c>
      <c r="C430" t="s">
        <v>255</v>
      </c>
      <c r="D430">
        <v>289006</v>
      </c>
      <c r="E430" s="8" t="s">
        <v>241</v>
      </c>
      <c r="F430" s="12">
        <v>21</v>
      </c>
      <c r="G430" s="8" t="s">
        <v>44</v>
      </c>
      <c r="H430" s="12">
        <v>3202</v>
      </c>
      <c r="I430" t="s">
        <v>49</v>
      </c>
      <c r="K430" t="s">
        <v>101</v>
      </c>
      <c r="L430">
        <v>4</v>
      </c>
      <c r="M430" t="s">
        <v>207</v>
      </c>
      <c r="N430" s="12">
        <v>1</v>
      </c>
      <c r="O430" s="8" t="s">
        <v>193</v>
      </c>
      <c r="P430">
        <v>2</v>
      </c>
      <c r="Q430" s="8">
        <v>2</v>
      </c>
      <c r="R430" s="12">
        <v>2</v>
      </c>
      <c r="S430" s="8">
        <v>2</v>
      </c>
      <c r="T430" s="12">
        <v>1</v>
      </c>
      <c r="U430" s="8" t="s">
        <v>194</v>
      </c>
      <c r="V430" s="2">
        <v>45694</v>
      </c>
      <c r="W430" s="2">
        <v>45701</v>
      </c>
      <c r="X430" s="2">
        <v>45716</v>
      </c>
      <c r="Y430" s="2">
        <v>45716</v>
      </c>
      <c r="Z430" s="2">
        <v>45715</v>
      </c>
      <c r="AB430">
        <v>8326</v>
      </c>
      <c r="AC430">
        <v>71690</v>
      </c>
      <c r="AD430" t="s">
        <v>703</v>
      </c>
      <c r="AE430" s="2">
        <v>45706</v>
      </c>
      <c r="AF430">
        <v>1</v>
      </c>
      <c r="AG430" s="17">
        <v>4.1666666666666602E-2</v>
      </c>
      <c r="AH430" s="2">
        <v>45707</v>
      </c>
    </row>
    <row r="431" spans="1:34" hidden="1" x14ac:dyDescent="0.25">
      <c r="A431" s="12">
        <v>8326</v>
      </c>
      <c r="B431" s="12">
        <v>0</v>
      </c>
      <c r="C431" t="s">
        <v>255</v>
      </c>
      <c r="D431">
        <v>289006</v>
      </c>
      <c r="E431" s="8" t="s">
        <v>241</v>
      </c>
      <c r="F431" s="12">
        <v>21</v>
      </c>
      <c r="G431" s="8" t="s">
        <v>44</v>
      </c>
      <c r="H431" s="12">
        <v>3202</v>
      </c>
      <c r="I431" t="s">
        <v>49</v>
      </c>
      <c r="K431" t="s">
        <v>101</v>
      </c>
      <c r="L431">
        <v>4</v>
      </c>
      <c r="M431" t="s">
        <v>207</v>
      </c>
      <c r="N431" s="12">
        <v>1</v>
      </c>
      <c r="O431" s="8" t="s">
        <v>193</v>
      </c>
      <c r="P431">
        <v>2</v>
      </c>
      <c r="Q431" s="8">
        <v>2</v>
      </c>
      <c r="R431" s="12">
        <v>2</v>
      </c>
      <c r="S431" s="8">
        <v>2</v>
      </c>
      <c r="T431" s="12">
        <v>1</v>
      </c>
      <c r="U431" s="8" t="s">
        <v>194</v>
      </c>
      <c r="V431" s="2">
        <v>45694</v>
      </c>
      <c r="W431" s="2">
        <v>45701</v>
      </c>
      <c r="X431" s="2">
        <v>45716</v>
      </c>
      <c r="Y431" s="2">
        <v>45716</v>
      </c>
      <c r="Z431" s="2">
        <v>45715</v>
      </c>
      <c r="AB431">
        <v>8326</v>
      </c>
      <c r="AC431">
        <v>70758</v>
      </c>
      <c r="AD431" t="s">
        <v>704</v>
      </c>
      <c r="AE431" s="2">
        <v>45701</v>
      </c>
      <c r="AF431">
        <v>1.6666666666666601</v>
      </c>
      <c r="AG431" s="17">
        <v>6.9444444444444406E-2</v>
      </c>
      <c r="AH431" s="2">
        <v>45702</v>
      </c>
    </row>
    <row r="432" spans="1:34" hidden="1" x14ac:dyDescent="0.25">
      <c r="A432" s="12">
        <v>8326</v>
      </c>
      <c r="B432" s="12">
        <v>0</v>
      </c>
      <c r="C432" t="s">
        <v>255</v>
      </c>
      <c r="D432">
        <v>289006</v>
      </c>
      <c r="E432" s="8" t="s">
        <v>241</v>
      </c>
      <c r="F432" s="12">
        <v>21</v>
      </c>
      <c r="G432" s="8" t="s">
        <v>44</v>
      </c>
      <c r="H432" s="12">
        <v>3202</v>
      </c>
      <c r="I432" t="s">
        <v>49</v>
      </c>
      <c r="K432" t="s">
        <v>101</v>
      </c>
      <c r="L432">
        <v>4</v>
      </c>
      <c r="M432" t="s">
        <v>207</v>
      </c>
      <c r="N432" s="12">
        <v>1</v>
      </c>
      <c r="O432" s="8" t="s">
        <v>193</v>
      </c>
      <c r="P432">
        <v>2</v>
      </c>
      <c r="Q432" s="8">
        <v>2</v>
      </c>
      <c r="R432" s="12">
        <v>2</v>
      </c>
      <c r="S432" s="8">
        <v>2</v>
      </c>
      <c r="T432" s="12">
        <v>1</v>
      </c>
      <c r="U432" s="8" t="s">
        <v>194</v>
      </c>
      <c r="V432" s="2">
        <v>45694</v>
      </c>
      <c r="W432" s="2">
        <v>45701</v>
      </c>
      <c r="X432" s="2">
        <v>45716</v>
      </c>
      <c r="Y432" s="2">
        <v>45716</v>
      </c>
      <c r="Z432" s="2">
        <v>45715</v>
      </c>
      <c r="AB432">
        <v>8326</v>
      </c>
      <c r="AC432">
        <v>70748</v>
      </c>
      <c r="AD432" t="s">
        <v>705</v>
      </c>
      <c r="AE432" s="2">
        <v>45701</v>
      </c>
      <c r="AF432">
        <v>1.6666666666666601</v>
      </c>
      <c r="AG432" s="17">
        <v>6.9444444444444406E-2</v>
      </c>
      <c r="AH432" s="2">
        <v>45702</v>
      </c>
    </row>
    <row r="433" spans="1:34" hidden="1" x14ac:dyDescent="0.25">
      <c r="A433" s="12">
        <v>8552</v>
      </c>
      <c r="B433" s="12">
        <v>0</v>
      </c>
      <c r="C433" t="s">
        <v>950</v>
      </c>
      <c r="D433">
        <v>247884</v>
      </c>
      <c r="E433" s="8" t="s">
        <v>316</v>
      </c>
      <c r="F433" s="12">
        <v>21</v>
      </c>
      <c r="G433" s="8" t="s">
        <v>44</v>
      </c>
      <c r="H433" s="12">
        <v>3204</v>
      </c>
      <c r="I433" t="s">
        <v>52</v>
      </c>
      <c r="J433" t="s">
        <v>62</v>
      </c>
      <c r="K433" t="s">
        <v>101</v>
      </c>
      <c r="L433">
        <v>2</v>
      </c>
      <c r="M433" t="s">
        <v>157</v>
      </c>
      <c r="N433" s="12">
        <v>2</v>
      </c>
      <c r="O433" s="8" t="s">
        <v>158</v>
      </c>
      <c r="P433">
        <v>2</v>
      </c>
      <c r="Q433" s="8">
        <v>2</v>
      </c>
      <c r="R433" s="12"/>
      <c r="S433" s="8"/>
      <c r="T433" s="12"/>
      <c r="U433" s="8"/>
      <c r="V433" s="2">
        <v>45723</v>
      </c>
      <c r="W433" s="2">
        <v>45723</v>
      </c>
      <c r="X433" s="2">
        <v>45723</v>
      </c>
      <c r="Y433" s="2">
        <v>45723</v>
      </c>
      <c r="Z433" s="2">
        <v>45723</v>
      </c>
      <c r="AB433">
        <v>8552</v>
      </c>
      <c r="AC433">
        <v>77036</v>
      </c>
      <c r="AD433" t="s">
        <v>951</v>
      </c>
      <c r="AE433" s="2">
        <v>45723</v>
      </c>
      <c r="AF433">
        <v>5</v>
      </c>
      <c r="AG433" s="17">
        <v>0.20833333333333301</v>
      </c>
      <c r="AH433" s="2">
        <v>45727</v>
      </c>
    </row>
    <row r="434" spans="1:34" x14ac:dyDescent="0.25">
      <c r="A434" s="12">
        <v>8503</v>
      </c>
      <c r="B434" s="12">
        <v>0</v>
      </c>
      <c r="C434" t="s">
        <v>340</v>
      </c>
      <c r="D434">
        <v>289092</v>
      </c>
      <c r="E434" s="8" t="s">
        <v>145</v>
      </c>
      <c r="F434" s="12">
        <v>30</v>
      </c>
      <c r="G434" s="8" t="s">
        <v>41</v>
      </c>
      <c r="H434" s="12">
        <v>339</v>
      </c>
      <c r="I434" t="s">
        <v>371</v>
      </c>
      <c r="J434" t="s">
        <v>62</v>
      </c>
      <c r="K434" t="s">
        <v>63</v>
      </c>
      <c r="N434" s="12"/>
      <c r="O434" s="8"/>
      <c r="Q434" s="8"/>
      <c r="R434" s="12"/>
      <c r="S434" s="8"/>
      <c r="T434" s="12"/>
      <c r="U434" s="8"/>
      <c r="V434" s="2">
        <v>45719</v>
      </c>
      <c r="W434" s="2">
        <v>45719</v>
      </c>
      <c r="X434" s="2"/>
      <c r="Y434" s="2"/>
      <c r="Z434" s="2"/>
      <c r="AB434">
        <v>8503</v>
      </c>
      <c r="AC434">
        <v>77039</v>
      </c>
      <c r="AD434" t="s">
        <v>952</v>
      </c>
      <c r="AE434" s="2">
        <v>45726</v>
      </c>
      <c r="AF434">
        <v>3</v>
      </c>
      <c r="AG434" s="17">
        <v>0.125</v>
      </c>
      <c r="AH434" s="2">
        <v>45727</v>
      </c>
    </row>
    <row r="435" spans="1:34" x14ac:dyDescent="0.25">
      <c r="A435" s="12">
        <v>8503</v>
      </c>
      <c r="B435" s="12">
        <v>0</v>
      </c>
      <c r="C435" t="s">
        <v>340</v>
      </c>
      <c r="D435">
        <v>289092</v>
      </c>
      <c r="E435" s="8" t="s">
        <v>145</v>
      </c>
      <c r="F435" s="12">
        <v>30</v>
      </c>
      <c r="G435" s="8" t="s">
        <v>41</v>
      </c>
      <c r="H435" s="12">
        <v>339</v>
      </c>
      <c r="I435" t="s">
        <v>371</v>
      </c>
      <c r="K435" t="s">
        <v>63</v>
      </c>
      <c r="N435" s="12"/>
      <c r="O435" s="8"/>
      <c r="Q435" s="8"/>
      <c r="R435" s="12"/>
      <c r="S435" s="8"/>
      <c r="T435" s="12"/>
      <c r="U435" s="8"/>
      <c r="V435" s="2">
        <v>45719</v>
      </c>
      <c r="W435" s="2">
        <v>45719</v>
      </c>
      <c r="X435" s="2"/>
      <c r="Y435" s="2"/>
      <c r="Z435" s="2"/>
      <c r="AB435">
        <v>8503</v>
      </c>
      <c r="AC435">
        <v>77032</v>
      </c>
      <c r="AD435" t="s">
        <v>953</v>
      </c>
      <c r="AE435" s="2">
        <v>45726</v>
      </c>
      <c r="AF435">
        <v>3</v>
      </c>
      <c r="AG435" s="17">
        <v>0.125</v>
      </c>
      <c r="AH435" s="2">
        <v>45727</v>
      </c>
    </row>
    <row r="436" spans="1:34" x14ac:dyDescent="0.25">
      <c r="A436" s="12">
        <v>8503</v>
      </c>
      <c r="B436" s="12">
        <v>0</v>
      </c>
      <c r="C436" t="s">
        <v>340</v>
      </c>
      <c r="D436">
        <v>289092</v>
      </c>
      <c r="E436" s="8" t="s">
        <v>145</v>
      </c>
      <c r="F436" s="12">
        <v>30</v>
      </c>
      <c r="G436" s="8" t="s">
        <v>41</v>
      </c>
      <c r="H436" s="12">
        <v>339</v>
      </c>
      <c r="I436" t="s">
        <v>371</v>
      </c>
      <c r="K436" t="s">
        <v>63</v>
      </c>
      <c r="N436" s="12"/>
      <c r="O436" s="8"/>
      <c r="Q436" s="8"/>
      <c r="R436" s="12"/>
      <c r="S436" s="8"/>
      <c r="T436" s="12"/>
      <c r="U436" s="8"/>
      <c r="V436" s="2">
        <v>45719</v>
      </c>
      <c r="W436" s="2">
        <v>45719</v>
      </c>
      <c r="X436" s="2"/>
      <c r="Y436" s="2"/>
      <c r="Z436" s="2"/>
      <c r="AB436">
        <v>8503</v>
      </c>
      <c r="AC436">
        <v>77034</v>
      </c>
      <c r="AD436" t="s">
        <v>954</v>
      </c>
      <c r="AE436" s="2">
        <v>45723</v>
      </c>
      <c r="AF436">
        <v>3</v>
      </c>
      <c r="AG436" s="17">
        <v>0.125</v>
      </c>
      <c r="AH436" s="2">
        <v>45727</v>
      </c>
    </row>
    <row r="437" spans="1:34" x14ac:dyDescent="0.25">
      <c r="A437" s="12">
        <v>8503</v>
      </c>
      <c r="B437" s="12">
        <v>0</v>
      </c>
      <c r="C437" t="s">
        <v>340</v>
      </c>
      <c r="D437">
        <v>289092</v>
      </c>
      <c r="E437" s="8" t="s">
        <v>145</v>
      </c>
      <c r="F437" s="12">
        <v>30</v>
      </c>
      <c r="G437" s="8" t="s">
        <v>41</v>
      </c>
      <c r="H437" s="12">
        <v>339</v>
      </c>
      <c r="I437" t="s">
        <v>371</v>
      </c>
      <c r="K437" t="s">
        <v>63</v>
      </c>
      <c r="N437" s="12"/>
      <c r="O437" s="8"/>
      <c r="Q437" s="8"/>
      <c r="R437" s="12"/>
      <c r="S437" s="8"/>
      <c r="T437" s="12"/>
      <c r="U437" s="8"/>
      <c r="V437" s="2">
        <v>45719</v>
      </c>
      <c r="W437" s="2">
        <v>45719</v>
      </c>
      <c r="X437" s="2"/>
      <c r="Y437" s="2"/>
      <c r="Z437" s="2"/>
      <c r="AB437">
        <v>8503</v>
      </c>
      <c r="AC437">
        <v>77030</v>
      </c>
      <c r="AD437" t="s">
        <v>955</v>
      </c>
      <c r="AE437" s="2">
        <v>45723</v>
      </c>
      <c r="AF437">
        <v>3.5</v>
      </c>
      <c r="AG437" s="17">
        <v>0.14583333333333301</v>
      </c>
      <c r="AH437" s="2">
        <v>45727</v>
      </c>
    </row>
    <row r="438" spans="1:34" x14ac:dyDescent="0.25">
      <c r="A438" s="12">
        <v>8503</v>
      </c>
      <c r="B438" s="12">
        <v>0</v>
      </c>
      <c r="C438" t="s">
        <v>340</v>
      </c>
      <c r="D438">
        <v>289092</v>
      </c>
      <c r="E438" s="8" t="s">
        <v>145</v>
      </c>
      <c r="F438" s="12">
        <v>30</v>
      </c>
      <c r="G438" s="8" t="s">
        <v>41</v>
      </c>
      <c r="H438" s="12">
        <v>339</v>
      </c>
      <c r="I438" t="s">
        <v>371</v>
      </c>
      <c r="K438" t="s">
        <v>63</v>
      </c>
      <c r="N438" s="12"/>
      <c r="O438" s="8"/>
      <c r="Q438" s="8"/>
      <c r="R438" s="12"/>
      <c r="S438" s="8"/>
      <c r="T438" s="12"/>
      <c r="U438" s="8"/>
      <c r="V438" s="2">
        <v>45719</v>
      </c>
      <c r="W438" s="2">
        <v>45719</v>
      </c>
      <c r="X438" s="2"/>
      <c r="Y438" s="2"/>
      <c r="Z438" s="2"/>
      <c r="AB438">
        <v>8503</v>
      </c>
      <c r="AC438">
        <v>77029</v>
      </c>
      <c r="AD438" t="s">
        <v>956</v>
      </c>
      <c r="AE438" s="2">
        <v>45723</v>
      </c>
      <c r="AF438">
        <v>2.5</v>
      </c>
      <c r="AG438" s="17">
        <v>0.10416666666666601</v>
      </c>
      <c r="AH438" s="2">
        <v>45727</v>
      </c>
    </row>
    <row r="439" spans="1:34" x14ac:dyDescent="0.25">
      <c r="A439" s="12">
        <v>8503</v>
      </c>
      <c r="B439" s="12">
        <v>0</v>
      </c>
      <c r="C439" t="s">
        <v>340</v>
      </c>
      <c r="D439">
        <v>289092</v>
      </c>
      <c r="E439" s="8" t="s">
        <v>145</v>
      </c>
      <c r="F439" s="12">
        <v>30</v>
      </c>
      <c r="G439" s="8" t="s">
        <v>41</v>
      </c>
      <c r="H439" s="12">
        <v>339</v>
      </c>
      <c r="I439" t="s">
        <v>371</v>
      </c>
      <c r="K439" t="s">
        <v>63</v>
      </c>
      <c r="N439" s="12"/>
      <c r="O439" s="8"/>
      <c r="Q439" s="8"/>
      <c r="R439" s="12"/>
      <c r="S439" s="8"/>
      <c r="T439" s="12"/>
      <c r="U439" s="8"/>
      <c r="V439" s="2">
        <v>45719</v>
      </c>
      <c r="W439" s="2">
        <v>45719</v>
      </c>
      <c r="X439" s="2"/>
      <c r="Y439" s="2"/>
      <c r="Z439" s="2"/>
      <c r="AB439">
        <v>8503</v>
      </c>
      <c r="AC439">
        <v>77026</v>
      </c>
      <c r="AD439" t="s">
        <v>957</v>
      </c>
      <c r="AE439" s="2">
        <v>45722</v>
      </c>
      <c r="AF439">
        <v>2.5</v>
      </c>
      <c r="AG439" s="17">
        <v>0.10416666666666601</v>
      </c>
      <c r="AH439" s="2">
        <v>45727</v>
      </c>
    </row>
    <row r="440" spans="1:34" x14ac:dyDescent="0.25">
      <c r="A440" s="12">
        <v>8503</v>
      </c>
      <c r="B440" s="12">
        <v>0</v>
      </c>
      <c r="C440" t="s">
        <v>340</v>
      </c>
      <c r="D440">
        <v>289092</v>
      </c>
      <c r="E440" s="8" t="s">
        <v>145</v>
      </c>
      <c r="F440" s="12">
        <v>30</v>
      </c>
      <c r="G440" s="8" t="s">
        <v>41</v>
      </c>
      <c r="H440" s="12">
        <v>339</v>
      </c>
      <c r="I440" t="s">
        <v>371</v>
      </c>
      <c r="K440" t="s">
        <v>63</v>
      </c>
      <c r="N440" s="12"/>
      <c r="O440" s="8"/>
      <c r="Q440" s="8"/>
      <c r="R440" s="12"/>
      <c r="S440" s="8"/>
      <c r="T440" s="12"/>
      <c r="U440" s="8"/>
      <c r="V440" s="2">
        <v>45719</v>
      </c>
      <c r="W440" s="2">
        <v>45719</v>
      </c>
      <c r="X440" s="2"/>
      <c r="Y440" s="2"/>
      <c r="Z440" s="2"/>
      <c r="AB440">
        <v>8503</v>
      </c>
      <c r="AC440">
        <v>77025</v>
      </c>
      <c r="AD440" t="s">
        <v>958</v>
      </c>
      <c r="AE440" s="2">
        <v>45722</v>
      </c>
      <c r="AF440">
        <v>5.5</v>
      </c>
      <c r="AG440" s="17">
        <v>0.22916666666666599</v>
      </c>
      <c r="AH440" s="2">
        <v>45727</v>
      </c>
    </row>
    <row r="441" spans="1:34" x14ac:dyDescent="0.25">
      <c r="A441" s="12">
        <v>8503</v>
      </c>
      <c r="B441" s="12">
        <v>0</v>
      </c>
      <c r="C441" t="s">
        <v>340</v>
      </c>
      <c r="D441">
        <v>289092</v>
      </c>
      <c r="E441" s="8" t="s">
        <v>145</v>
      </c>
      <c r="F441" s="12">
        <v>30</v>
      </c>
      <c r="G441" s="8" t="s">
        <v>41</v>
      </c>
      <c r="H441" s="12">
        <v>339</v>
      </c>
      <c r="I441" t="s">
        <v>371</v>
      </c>
      <c r="K441" t="s">
        <v>63</v>
      </c>
      <c r="N441" s="12"/>
      <c r="O441" s="8"/>
      <c r="Q441" s="8"/>
      <c r="R441" s="12"/>
      <c r="S441" s="8"/>
      <c r="T441" s="12"/>
      <c r="U441" s="8"/>
      <c r="V441" s="2">
        <v>45719</v>
      </c>
      <c r="W441" s="2">
        <v>45719</v>
      </c>
      <c r="X441" s="2"/>
      <c r="Y441" s="2"/>
      <c r="Z441" s="2"/>
      <c r="AB441">
        <v>8503</v>
      </c>
      <c r="AC441">
        <v>77024</v>
      </c>
      <c r="AD441" t="s">
        <v>959</v>
      </c>
      <c r="AE441" s="2">
        <v>45721</v>
      </c>
      <c r="AF441">
        <v>5</v>
      </c>
      <c r="AG441" s="17">
        <v>0.20833333333333301</v>
      </c>
      <c r="AH441" s="2">
        <v>45727</v>
      </c>
    </row>
    <row r="442" spans="1:34" x14ac:dyDescent="0.25">
      <c r="A442" s="12">
        <v>8503</v>
      </c>
      <c r="B442" s="12">
        <v>0</v>
      </c>
      <c r="C442" t="s">
        <v>340</v>
      </c>
      <c r="D442">
        <v>289092</v>
      </c>
      <c r="E442" s="8" t="s">
        <v>145</v>
      </c>
      <c r="F442" s="12">
        <v>30</v>
      </c>
      <c r="G442" s="8" t="s">
        <v>41</v>
      </c>
      <c r="H442" s="12">
        <v>339</v>
      </c>
      <c r="I442" t="s">
        <v>371</v>
      </c>
      <c r="K442" t="s">
        <v>63</v>
      </c>
      <c r="N442" s="12"/>
      <c r="O442" s="8"/>
      <c r="Q442" s="8"/>
      <c r="R442" s="12"/>
      <c r="S442" s="8"/>
      <c r="T442" s="12"/>
      <c r="U442" s="8"/>
      <c r="V442" s="2">
        <v>45719</v>
      </c>
      <c r="W442" s="2">
        <v>45719</v>
      </c>
      <c r="X442" s="2"/>
      <c r="Y442" s="2"/>
      <c r="Z442" s="2"/>
      <c r="AB442">
        <v>8503</v>
      </c>
      <c r="AC442">
        <v>77023</v>
      </c>
      <c r="AD442" t="s">
        <v>960</v>
      </c>
      <c r="AE442" s="2">
        <v>45721</v>
      </c>
      <c r="AF442">
        <v>3</v>
      </c>
      <c r="AG442" s="17">
        <v>0.125</v>
      </c>
      <c r="AH442" s="2">
        <v>45727</v>
      </c>
    </row>
    <row r="443" spans="1:34" x14ac:dyDescent="0.25">
      <c r="A443" s="12">
        <v>8503</v>
      </c>
      <c r="B443" s="12">
        <v>0</v>
      </c>
      <c r="C443" t="s">
        <v>340</v>
      </c>
      <c r="D443">
        <v>289092</v>
      </c>
      <c r="E443" s="8" t="s">
        <v>145</v>
      </c>
      <c r="F443" s="12">
        <v>30</v>
      </c>
      <c r="G443" s="8" t="s">
        <v>41</v>
      </c>
      <c r="H443" s="12">
        <v>339</v>
      </c>
      <c r="I443" t="s">
        <v>371</v>
      </c>
      <c r="K443" t="s">
        <v>63</v>
      </c>
      <c r="N443" s="12"/>
      <c r="O443" s="8"/>
      <c r="Q443" s="8"/>
      <c r="R443" s="12"/>
      <c r="S443" s="8"/>
      <c r="T443" s="12"/>
      <c r="U443" s="8"/>
      <c r="V443" s="2">
        <v>45719</v>
      </c>
      <c r="W443" s="2">
        <v>45719</v>
      </c>
      <c r="X443" s="2"/>
      <c r="Y443" s="2"/>
      <c r="Z443" s="2"/>
      <c r="AB443">
        <v>8503</v>
      </c>
      <c r="AC443">
        <v>77028</v>
      </c>
      <c r="AD443" t="s">
        <v>961</v>
      </c>
      <c r="AE443" s="2">
        <v>45720</v>
      </c>
      <c r="AF443">
        <v>1</v>
      </c>
      <c r="AG443" s="17">
        <v>4.1666666666666602E-2</v>
      </c>
      <c r="AH443" s="2">
        <v>45727</v>
      </c>
    </row>
    <row r="444" spans="1:34" x14ac:dyDescent="0.25">
      <c r="A444" s="12">
        <v>8503</v>
      </c>
      <c r="B444" s="12">
        <v>0</v>
      </c>
      <c r="C444" t="s">
        <v>340</v>
      </c>
      <c r="D444">
        <v>289092</v>
      </c>
      <c r="E444" s="8" t="s">
        <v>145</v>
      </c>
      <c r="F444" s="12">
        <v>30</v>
      </c>
      <c r="G444" s="8" t="s">
        <v>41</v>
      </c>
      <c r="H444" s="12">
        <v>339</v>
      </c>
      <c r="I444" t="s">
        <v>371</v>
      </c>
      <c r="K444" t="s">
        <v>63</v>
      </c>
      <c r="N444" s="12"/>
      <c r="O444" s="8"/>
      <c r="Q444" s="8"/>
      <c r="R444" s="12"/>
      <c r="S444" s="8"/>
      <c r="T444" s="12"/>
      <c r="U444" s="8"/>
      <c r="V444" s="2">
        <v>45719</v>
      </c>
      <c r="W444" s="2">
        <v>45719</v>
      </c>
      <c r="X444" s="2"/>
      <c r="Y444" s="2"/>
      <c r="Z444" s="2"/>
      <c r="AB444">
        <v>8503</v>
      </c>
      <c r="AC444">
        <v>77022</v>
      </c>
      <c r="AD444" t="s">
        <v>962</v>
      </c>
      <c r="AE444" s="2">
        <v>45720</v>
      </c>
      <c r="AF444">
        <v>2</v>
      </c>
      <c r="AG444" s="17">
        <v>8.3333333333333301E-2</v>
      </c>
      <c r="AH444" s="2">
        <v>45727</v>
      </c>
    </row>
    <row r="445" spans="1:34" x14ac:dyDescent="0.25">
      <c r="A445" s="12">
        <v>8503</v>
      </c>
      <c r="B445" s="12">
        <v>0</v>
      </c>
      <c r="C445" t="s">
        <v>340</v>
      </c>
      <c r="D445">
        <v>289092</v>
      </c>
      <c r="E445" s="8" t="s">
        <v>145</v>
      </c>
      <c r="F445" s="12">
        <v>30</v>
      </c>
      <c r="G445" s="8" t="s">
        <v>41</v>
      </c>
      <c r="H445" s="12">
        <v>339</v>
      </c>
      <c r="I445" t="s">
        <v>371</v>
      </c>
      <c r="K445" t="s">
        <v>63</v>
      </c>
      <c r="N445" s="12"/>
      <c r="O445" s="8"/>
      <c r="Q445" s="8"/>
      <c r="R445" s="12"/>
      <c r="S445" s="8"/>
      <c r="T445" s="12"/>
      <c r="U445" s="8"/>
      <c r="V445" s="2">
        <v>45719</v>
      </c>
      <c r="W445" s="2">
        <v>45719</v>
      </c>
      <c r="X445" s="2"/>
      <c r="Y445" s="2"/>
      <c r="Z445" s="2"/>
      <c r="AB445">
        <v>8503</v>
      </c>
      <c r="AC445">
        <v>77021</v>
      </c>
      <c r="AD445" t="s">
        <v>963</v>
      </c>
      <c r="AE445" s="2">
        <v>45720</v>
      </c>
      <c r="AF445">
        <v>1</v>
      </c>
      <c r="AG445" s="17">
        <v>4.1666666666666602E-2</v>
      </c>
      <c r="AH445" s="2">
        <v>45727</v>
      </c>
    </row>
    <row r="446" spans="1:34" x14ac:dyDescent="0.25">
      <c r="A446" s="12">
        <v>8503</v>
      </c>
      <c r="B446" s="12">
        <v>0</v>
      </c>
      <c r="C446" t="s">
        <v>340</v>
      </c>
      <c r="D446">
        <v>289092</v>
      </c>
      <c r="E446" s="8" t="s">
        <v>145</v>
      </c>
      <c r="F446" s="12">
        <v>30</v>
      </c>
      <c r="G446" s="8" t="s">
        <v>41</v>
      </c>
      <c r="H446" s="12">
        <v>339</v>
      </c>
      <c r="I446" t="s">
        <v>371</v>
      </c>
      <c r="K446" t="s">
        <v>63</v>
      </c>
      <c r="N446" s="12"/>
      <c r="O446" s="8"/>
      <c r="Q446" s="8"/>
      <c r="R446" s="12"/>
      <c r="S446" s="8"/>
      <c r="T446" s="12"/>
      <c r="U446" s="8"/>
      <c r="V446" s="2">
        <v>45719</v>
      </c>
      <c r="W446" s="2">
        <v>45719</v>
      </c>
      <c r="X446" s="2"/>
      <c r="Y446" s="2"/>
      <c r="Z446" s="2"/>
      <c r="AB446">
        <v>8503</v>
      </c>
      <c r="AC446">
        <v>77020</v>
      </c>
      <c r="AD446" t="s">
        <v>964</v>
      </c>
      <c r="AE446" s="2">
        <v>45720</v>
      </c>
      <c r="AF446">
        <v>4</v>
      </c>
      <c r="AG446" s="17">
        <v>0.16666666666666599</v>
      </c>
      <c r="AH446" s="2">
        <v>45727</v>
      </c>
    </row>
    <row r="447" spans="1:34" x14ac:dyDescent="0.25">
      <c r="A447" s="12">
        <v>8503</v>
      </c>
      <c r="B447" s="12">
        <v>0</v>
      </c>
      <c r="C447" t="s">
        <v>340</v>
      </c>
      <c r="D447">
        <v>289092</v>
      </c>
      <c r="E447" s="8" t="s">
        <v>145</v>
      </c>
      <c r="F447" s="12">
        <v>30</v>
      </c>
      <c r="G447" s="8" t="s">
        <v>41</v>
      </c>
      <c r="H447" s="12">
        <v>339</v>
      </c>
      <c r="I447" t="s">
        <v>371</v>
      </c>
      <c r="K447" t="s">
        <v>63</v>
      </c>
      <c r="N447" s="12"/>
      <c r="O447" s="8"/>
      <c r="Q447" s="8"/>
      <c r="R447" s="12"/>
      <c r="S447" s="8"/>
      <c r="T447" s="12"/>
      <c r="U447" s="8"/>
      <c r="V447" s="2">
        <v>45719</v>
      </c>
      <c r="W447" s="2">
        <v>45719</v>
      </c>
      <c r="X447" s="2"/>
      <c r="Y447" s="2"/>
      <c r="Z447" s="2"/>
      <c r="AB447">
        <v>8503</v>
      </c>
      <c r="AC447">
        <v>77019</v>
      </c>
      <c r="AD447" t="s">
        <v>965</v>
      </c>
      <c r="AE447" s="2">
        <v>45719</v>
      </c>
      <c r="AF447">
        <v>5</v>
      </c>
      <c r="AG447" s="17">
        <v>0.20833333333333301</v>
      </c>
      <c r="AH447" s="2">
        <v>45727</v>
      </c>
    </row>
    <row r="448" spans="1:34" x14ac:dyDescent="0.25">
      <c r="A448" s="12">
        <v>8503</v>
      </c>
      <c r="B448" s="12">
        <v>0</v>
      </c>
      <c r="C448" t="s">
        <v>340</v>
      </c>
      <c r="D448">
        <v>289092</v>
      </c>
      <c r="E448" s="8" t="s">
        <v>145</v>
      </c>
      <c r="F448" s="12">
        <v>30</v>
      </c>
      <c r="G448" s="8" t="s">
        <v>41</v>
      </c>
      <c r="H448" s="12">
        <v>339</v>
      </c>
      <c r="I448" t="s">
        <v>371</v>
      </c>
      <c r="K448" t="s">
        <v>63</v>
      </c>
      <c r="N448" s="12"/>
      <c r="O448" s="8"/>
      <c r="Q448" s="8"/>
      <c r="R448" s="12"/>
      <c r="S448" s="8"/>
      <c r="T448" s="12"/>
      <c r="U448" s="8"/>
      <c r="V448" s="2">
        <v>45719</v>
      </c>
      <c r="W448" s="2">
        <v>45719</v>
      </c>
      <c r="X448" s="2"/>
      <c r="Y448" s="2"/>
      <c r="Z448" s="2"/>
      <c r="AB448">
        <v>8503</v>
      </c>
      <c r="AC448">
        <v>77018</v>
      </c>
      <c r="AD448" t="s">
        <v>966</v>
      </c>
      <c r="AE448" s="2">
        <v>45719</v>
      </c>
      <c r="AF448">
        <v>4</v>
      </c>
      <c r="AG448" s="17">
        <v>0.16666666666666599</v>
      </c>
      <c r="AH448" s="2">
        <v>45727</v>
      </c>
    </row>
    <row r="449" spans="1:34" x14ac:dyDescent="0.25">
      <c r="A449" s="12">
        <v>8503</v>
      </c>
      <c r="B449" s="12">
        <v>0</v>
      </c>
      <c r="C449" t="s">
        <v>340</v>
      </c>
      <c r="D449">
        <v>289092</v>
      </c>
      <c r="E449" s="8" t="s">
        <v>145</v>
      </c>
      <c r="F449" s="12">
        <v>30</v>
      </c>
      <c r="G449" s="8" t="s">
        <v>41</v>
      </c>
      <c r="H449" s="12">
        <v>339</v>
      </c>
      <c r="I449" t="s">
        <v>371</v>
      </c>
      <c r="K449" t="s">
        <v>63</v>
      </c>
      <c r="N449" s="12"/>
      <c r="O449" s="8"/>
      <c r="Q449" s="8"/>
      <c r="R449" s="12"/>
      <c r="S449" s="8"/>
      <c r="T449" s="12"/>
      <c r="U449" s="8"/>
      <c r="V449" s="2">
        <v>45719</v>
      </c>
      <c r="W449" s="2">
        <v>45719</v>
      </c>
      <c r="X449" s="2"/>
      <c r="Y449" s="2"/>
      <c r="Z449" s="2"/>
      <c r="AB449">
        <v>8503</v>
      </c>
      <c r="AC449">
        <v>77017</v>
      </c>
      <c r="AD449" t="s">
        <v>592</v>
      </c>
      <c r="AE449" s="2">
        <v>45716</v>
      </c>
      <c r="AF449">
        <v>9</v>
      </c>
      <c r="AG449" s="17">
        <v>0.375</v>
      </c>
      <c r="AH449" s="2">
        <v>45727</v>
      </c>
    </row>
    <row r="450" spans="1:34" x14ac:dyDescent="0.25">
      <c r="A450" s="12">
        <v>8503</v>
      </c>
      <c r="B450" s="12">
        <v>0</v>
      </c>
      <c r="C450" t="s">
        <v>340</v>
      </c>
      <c r="D450">
        <v>289092</v>
      </c>
      <c r="E450" s="8" t="s">
        <v>145</v>
      </c>
      <c r="F450" s="12">
        <v>30</v>
      </c>
      <c r="G450" s="8" t="s">
        <v>41</v>
      </c>
      <c r="H450" s="12">
        <v>339</v>
      </c>
      <c r="I450" t="s">
        <v>371</v>
      </c>
      <c r="K450" t="s">
        <v>63</v>
      </c>
      <c r="N450" s="12"/>
      <c r="O450" s="8"/>
      <c r="Q450" s="8"/>
      <c r="R450" s="12"/>
      <c r="S450" s="8"/>
      <c r="T450" s="12"/>
      <c r="U450" s="8"/>
      <c r="V450" s="2">
        <v>45719</v>
      </c>
      <c r="W450" s="2">
        <v>45719</v>
      </c>
      <c r="X450" s="2"/>
      <c r="Y450" s="2"/>
      <c r="Z450" s="2"/>
      <c r="AB450">
        <v>8503</v>
      </c>
      <c r="AC450">
        <v>77016</v>
      </c>
      <c r="AD450" t="s">
        <v>593</v>
      </c>
      <c r="AE450" s="2">
        <v>45715</v>
      </c>
      <c r="AF450">
        <v>9</v>
      </c>
      <c r="AG450" s="17">
        <v>0.375</v>
      </c>
      <c r="AH450" s="2">
        <v>45727</v>
      </c>
    </row>
    <row r="451" spans="1:34" x14ac:dyDescent="0.25">
      <c r="A451" s="12">
        <v>8503</v>
      </c>
      <c r="B451" s="12">
        <v>0</v>
      </c>
      <c r="C451" t="s">
        <v>340</v>
      </c>
      <c r="D451">
        <v>289092</v>
      </c>
      <c r="E451" s="8" t="s">
        <v>145</v>
      </c>
      <c r="F451" s="12">
        <v>30</v>
      </c>
      <c r="G451" s="8" t="s">
        <v>41</v>
      </c>
      <c r="H451" s="12">
        <v>339</v>
      </c>
      <c r="I451" t="s">
        <v>371</v>
      </c>
      <c r="K451" t="s">
        <v>63</v>
      </c>
      <c r="N451" s="12"/>
      <c r="O451" s="8"/>
      <c r="Q451" s="8"/>
      <c r="R451" s="12"/>
      <c r="S451" s="8"/>
      <c r="T451" s="12"/>
      <c r="U451" s="8"/>
      <c r="V451" s="2">
        <v>45719</v>
      </c>
      <c r="W451" s="2">
        <v>45719</v>
      </c>
      <c r="X451" s="2"/>
      <c r="Y451" s="2"/>
      <c r="Z451" s="2"/>
      <c r="AB451">
        <v>8503</v>
      </c>
      <c r="AC451">
        <v>77015</v>
      </c>
      <c r="AD451" t="s">
        <v>594</v>
      </c>
      <c r="AE451" s="2">
        <v>45714</v>
      </c>
      <c r="AF451">
        <v>9</v>
      </c>
      <c r="AG451" s="17">
        <v>0.375</v>
      </c>
      <c r="AH451" s="2">
        <v>45727</v>
      </c>
    </row>
    <row r="452" spans="1:34" x14ac:dyDescent="0.25">
      <c r="A452" s="12">
        <v>8503</v>
      </c>
      <c r="B452" s="12">
        <v>0</v>
      </c>
      <c r="C452" t="s">
        <v>340</v>
      </c>
      <c r="D452">
        <v>289092</v>
      </c>
      <c r="E452" s="8" t="s">
        <v>145</v>
      </c>
      <c r="F452" s="12">
        <v>30</v>
      </c>
      <c r="G452" s="8" t="s">
        <v>41</v>
      </c>
      <c r="H452" s="12">
        <v>339</v>
      </c>
      <c r="I452" t="s">
        <v>371</v>
      </c>
      <c r="K452" t="s">
        <v>63</v>
      </c>
      <c r="N452" s="12"/>
      <c r="O452" s="8"/>
      <c r="Q452" s="8"/>
      <c r="R452" s="12"/>
      <c r="S452" s="8"/>
      <c r="T452" s="12"/>
      <c r="U452" s="8"/>
      <c r="V452" s="2">
        <v>45719</v>
      </c>
      <c r="W452" s="2">
        <v>45719</v>
      </c>
      <c r="X452" s="2"/>
      <c r="Y452" s="2"/>
      <c r="Z452" s="2"/>
      <c r="AB452">
        <v>8503</v>
      </c>
      <c r="AC452">
        <v>77014</v>
      </c>
      <c r="AD452" t="s">
        <v>595</v>
      </c>
      <c r="AE452" s="2">
        <v>45713</v>
      </c>
      <c r="AF452">
        <v>9</v>
      </c>
      <c r="AG452" s="17">
        <v>0.375</v>
      </c>
      <c r="AH452" s="2">
        <v>45727</v>
      </c>
    </row>
    <row r="453" spans="1:34" hidden="1" x14ac:dyDescent="0.25">
      <c r="A453" s="12">
        <v>8449</v>
      </c>
      <c r="B453" s="12">
        <v>0</v>
      </c>
      <c r="C453" t="s">
        <v>256</v>
      </c>
      <c r="D453">
        <v>247791</v>
      </c>
      <c r="E453" s="8" t="s">
        <v>175</v>
      </c>
      <c r="F453" s="12">
        <v>28</v>
      </c>
      <c r="G453" s="8" t="s">
        <v>42</v>
      </c>
      <c r="H453" s="12">
        <v>3201</v>
      </c>
      <c r="I453" t="s">
        <v>51</v>
      </c>
      <c r="J453" t="s">
        <v>62</v>
      </c>
      <c r="K453" t="s">
        <v>63</v>
      </c>
      <c r="L453">
        <v>2</v>
      </c>
      <c r="M453" t="s">
        <v>157</v>
      </c>
      <c r="N453" s="12">
        <v>2</v>
      </c>
      <c r="O453" s="8" t="s">
        <v>158</v>
      </c>
      <c r="P453">
        <v>2</v>
      </c>
      <c r="Q453" s="8">
        <v>2</v>
      </c>
      <c r="R453" s="12">
        <v>2</v>
      </c>
      <c r="S453" s="8">
        <v>2</v>
      </c>
      <c r="T453" s="12">
        <v>1</v>
      </c>
      <c r="U453" s="8" t="s">
        <v>194</v>
      </c>
      <c r="V453" s="2">
        <v>45705</v>
      </c>
      <c r="W453" s="2"/>
      <c r="X453" s="2"/>
      <c r="Y453" s="2"/>
      <c r="Z453" s="2"/>
      <c r="AE453" s="2"/>
      <c r="AG453" s="17"/>
      <c r="AH453" s="2"/>
    </row>
    <row r="454" spans="1:34" hidden="1" x14ac:dyDescent="0.25">
      <c r="A454" s="12">
        <v>8537</v>
      </c>
      <c r="B454" s="12">
        <v>0</v>
      </c>
      <c r="C454" t="s">
        <v>422</v>
      </c>
      <c r="D454">
        <v>289036</v>
      </c>
      <c r="E454" s="8" t="s">
        <v>280</v>
      </c>
      <c r="F454" s="12">
        <v>30</v>
      </c>
      <c r="G454" s="8" t="s">
        <v>41</v>
      </c>
      <c r="H454" s="12">
        <v>2767</v>
      </c>
      <c r="I454" t="s">
        <v>348</v>
      </c>
      <c r="J454" t="s">
        <v>62</v>
      </c>
      <c r="K454" t="s">
        <v>101</v>
      </c>
      <c r="L454">
        <v>4</v>
      </c>
      <c r="M454" t="s">
        <v>207</v>
      </c>
      <c r="N454" s="12">
        <v>2</v>
      </c>
      <c r="O454" s="8" t="s">
        <v>158</v>
      </c>
      <c r="P454">
        <v>2</v>
      </c>
      <c r="Q454" s="8">
        <v>2</v>
      </c>
      <c r="R454" s="12">
        <v>2</v>
      </c>
      <c r="S454" s="8">
        <v>2</v>
      </c>
      <c r="T454" s="12">
        <v>2</v>
      </c>
      <c r="U454" s="8" t="s">
        <v>199</v>
      </c>
      <c r="V454" s="2">
        <v>45719</v>
      </c>
      <c r="W454" s="2">
        <v>45719</v>
      </c>
      <c r="X454" s="2">
        <v>45747</v>
      </c>
      <c r="Y454" s="2"/>
      <c r="Z454" s="2"/>
      <c r="AA454" t="s">
        <v>423</v>
      </c>
      <c r="AB454">
        <v>8537</v>
      </c>
      <c r="AC454">
        <v>77061</v>
      </c>
      <c r="AD454" t="s">
        <v>424</v>
      </c>
      <c r="AE454" s="2">
        <v>45726</v>
      </c>
      <c r="AF454">
        <v>4</v>
      </c>
      <c r="AG454" s="17">
        <v>0.16666666666666599</v>
      </c>
      <c r="AH454" s="2">
        <v>45727</v>
      </c>
    </row>
    <row r="455" spans="1:34" hidden="1" x14ac:dyDescent="0.25">
      <c r="A455" s="12">
        <v>8537</v>
      </c>
      <c r="B455" s="12">
        <v>0</v>
      </c>
      <c r="C455" t="s">
        <v>422</v>
      </c>
      <c r="D455">
        <v>289036</v>
      </c>
      <c r="E455" s="8" t="s">
        <v>280</v>
      </c>
      <c r="F455" s="12">
        <v>30</v>
      </c>
      <c r="G455" s="8" t="s">
        <v>41</v>
      </c>
      <c r="H455" s="12">
        <v>2767</v>
      </c>
      <c r="I455" t="s">
        <v>348</v>
      </c>
      <c r="K455" t="s">
        <v>101</v>
      </c>
      <c r="L455">
        <v>4</v>
      </c>
      <c r="M455" t="s">
        <v>207</v>
      </c>
      <c r="N455" s="12">
        <v>2</v>
      </c>
      <c r="O455" s="8" t="s">
        <v>158</v>
      </c>
      <c r="P455">
        <v>2</v>
      </c>
      <c r="Q455" s="8">
        <v>2</v>
      </c>
      <c r="R455" s="12">
        <v>2</v>
      </c>
      <c r="S455" s="8">
        <v>2</v>
      </c>
      <c r="T455" s="12">
        <v>2</v>
      </c>
      <c r="U455" s="8" t="s">
        <v>199</v>
      </c>
      <c r="V455" s="2">
        <v>45719</v>
      </c>
      <c r="W455" s="2">
        <v>45719</v>
      </c>
      <c r="X455" s="2">
        <v>45747</v>
      </c>
      <c r="Y455" s="2"/>
      <c r="Z455" s="2"/>
      <c r="AA455" t="s">
        <v>423</v>
      </c>
      <c r="AB455">
        <v>8537</v>
      </c>
      <c r="AC455">
        <v>76613</v>
      </c>
      <c r="AD455" t="s">
        <v>424</v>
      </c>
      <c r="AE455" s="2">
        <v>45724</v>
      </c>
      <c r="AF455">
        <v>4</v>
      </c>
      <c r="AG455" s="17">
        <v>0.16666666666666599</v>
      </c>
      <c r="AH455" s="2">
        <v>45724</v>
      </c>
    </row>
    <row r="456" spans="1:34" hidden="1" x14ac:dyDescent="0.25">
      <c r="A456" s="12">
        <v>8537</v>
      </c>
      <c r="B456" s="12">
        <v>0</v>
      </c>
      <c r="C456" t="s">
        <v>422</v>
      </c>
      <c r="D456">
        <v>289036</v>
      </c>
      <c r="E456" s="8" t="s">
        <v>280</v>
      </c>
      <c r="F456" s="12">
        <v>30</v>
      </c>
      <c r="G456" s="8" t="s">
        <v>41</v>
      </c>
      <c r="H456" s="12">
        <v>2767</v>
      </c>
      <c r="I456" t="s">
        <v>348</v>
      </c>
      <c r="K456" t="s">
        <v>101</v>
      </c>
      <c r="L456">
        <v>4</v>
      </c>
      <c r="M456" t="s">
        <v>207</v>
      </c>
      <c r="N456" s="12">
        <v>2</v>
      </c>
      <c r="O456" s="8" t="s">
        <v>158</v>
      </c>
      <c r="P456">
        <v>2</v>
      </c>
      <c r="Q456" s="8">
        <v>2</v>
      </c>
      <c r="R456" s="12">
        <v>2</v>
      </c>
      <c r="S456" s="8">
        <v>2</v>
      </c>
      <c r="T456" s="12">
        <v>2</v>
      </c>
      <c r="U456" s="8" t="s">
        <v>199</v>
      </c>
      <c r="V456" s="2">
        <v>45719</v>
      </c>
      <c r="W456" s="2">
        <v>45719</v>
      </c>
      <c r="X456" s="2">
        <v>45747</v>
      </c>
      <c r="Y456" s="2"/>
      <c r="Z456" s="2"/>
      <c r="AA456" t="s">
        <v>423</v>
      </c>
      <c r="AB456">
        <v>8537</v>
      </c>
      <c r="AC456">
        <v>76246</v>
      </c>
      <c r="AD456" t="s">
        <v>706</v>
      </c>
      <c r="AE456" s="2">
        <v>45723</v>
      </c>
      <c r="AF456">
        <v>1</v>
      </c>
      <c r="AG456" s="17">
        <v>4.1666666666666602E-2</v>
      </c>
      <c r="AH456" s="2">
        <v>45723</v>
      </c>
    </row>
    <row r="457" spans="1:34" hidden="1" x14ac:dyDescent="0.25">
      <c r="A457" s="12">
        <v>8537</v>
      </c>
      <c r="B457" s="12">
        <v>0</v>
      </c>
      <c r="C457" t="s">
        <v>422</v>
      </c>
      <c r="D457">
        <v>289036</v>
      </c>
      <c r="E457" s="8" t="s">
        <v>280</v>
      </c>
      <c r="F457" s="12">
        <v>30</v>
      </c>
      <c r="G457" s="8" t="s">
        <v>41</v>
      </c>
      <c r="H457" s="12">
        <v>2767</v>
      </c>
      <c r="I457" t="s">
        <v>348</v>
      </c>
      <c r="K457" t="s">
        <v>101</v>
      </c>
      <c r="L457">
        <v>4</v>
      </c>
      <c r="M457" t="s">
        <v>207</v>
      </c>
      <c r="N457" s="12">
        <v>2</v>
      </c>
      <c r="O457" s="8" t="s">
        <v>158</v>
      </c>
      <c r="P457">
        <v>2</v>
      </c>
      <c r="Q457" s="8">
        <v>2</v>
      </c>
      <c r="R457" s="12">
        <v>2</v>
      </c>
      <c r="S457" s="8">
        <v>2</v>
      </c>
      <c r="T457" s="12">
        <v>2</v>
      </c>
      <c r="U457" s="8" t="s">
        <v>199</v>
      </c>
      <c r="V457" s="2">
        <v>45719</v>
      </c>
      <c r="W457" s="2">
        <v>45719</v>
      </c>
      <c r="X457" s="2">
        <v>45747</v>
      </c>
      <c r="Y457" s="2"/>
      <c r="Z457" s="2"/>
      <c r="AA457" t="s">
        <v>423</v>
      </c>
      <c r="AB457">
        <v>8537</v>
      </c>
      <c r="AC457">
        <v>76245</v>
      </c>
      <c r="AD457" t="s">
        <v>707</v>
      </c>
      <c r="AE457" s="2">
        <v>45723</v>
      </c>
      <c r="AF457">
        <v>1</v>
      </c>
      <c r="AG457" s="17">
        <v>4.1666666666666602E-2</v>
      </c>
      <c r="AH457" s="2">
        <v>45723</v>
      </c>
    </row>
    <row r="458" spans="1:34" hidden="1" x14ac:dyDescent="0.25">
      <c r="A458" s="12">
        <v>8537</v>
      </c>
      <c r="B458" s="12">
        <v>0</v>
      </c>
      <c r="C458" t="s">
        <v>422</v>
      </c>
      <c r="D458">
        <v>289036</v>
      </c>
      <c r="E458" s="8" t="s">
        <v>280</v>
      </c>
      <c r="F458" s="12">
        <v>30</v>
      </c>
      <c r="G458" s="8" t="s">
        <v>41</v>
      </c>
      <c r="H458" s="12">
        <v>2767</v>
      </c>
      <c r="I458" t="s">
        <v>348</v>
      </c>
      <c r="K458" t="s">
        <v>101</v>
      </c>
      <c r="L458">
        <v>4</v>
      </c>
      <c r="M458" t="s">
        <v>207</v>
      </c>
      <c r="N458" s="12">
        <v>2</v>
      </c>
      <c r="O458" s="8" t="s">
        <v>158</v>
      </c>
      <c r="P458">
        <v>2</v>
      </c>
      <c r="Q458" s="8">
        <v>2</v>
      </c>
      <c r="R458" s="12">
        <v>2</v>
      </c>
      <c r="S458" s="8">
        <v>2</v>
      </c>
      <c r="T458" s="12">
        <v>2</v>
      </c>
      <c r="U458" s="8" t="s">
        <v>199</v>
      </c>
      <c r="V458" s="2">
        <v>45719</v>
      </c>
      <c r="W458" s="2">
        <v>45719</v>
      </c>
      <c r="X458" s="2">
        <v>45747</v>
      </c>
      <c r="Y458" s="2"/>
      <c r="Z458" s="2"/>
      <c r="AA458" t="s">
        <v>423</v>
      </c>
      <c r="AB458">
        <v>8537</v>
      </c>
      <c r="AC458">
        <v>76238</v>
      </c>
      <c r="AD458" t="s">
        <v>708</v>
      </c>
      <c r="AE458" s="2">
        <v>45720</v>
      </c>
      <c r="AF458">
        <v>4</v>
      </c>
      <c r="AG458" s="17">
        <v>0.16666666666666599</v>
      </c>
      <c r="AH458" s="2">
        <v>45723</v>
      </c>
    </row>
    <row r="459" spans="1:34" hidden="1" x14ac:dyDescent="0.25">
      <c r="A459" s="12">
        <v>8540</v>
      </c>
      <c r="B459" s="12">
        <v>0</v>
      </c>
      <c r="C459" t="s">
        <v>426</v>
      </c>
      <c r="E459" s="8"/>
      <c r="F459" s="12">
        <v>22</v>
      </c>
      <c r="G459" s="8" t="s">
        <v>45</v>
      </c>
      <c r="H459" s="12">
        <v>3201</v>
      </c>
      <c r="I459" t="s">
        <v>51</v>
      </c>
      <c r="J459" t="s">
        <v>62</v>
      </c>
      <c r="K459" t="s">
        <v>63</v>
      </c>
      <c r="N459" s="12"/>
      <c r="O459" s="8"/>
      <c r="Q459" s="8"/>
      <c r="R459" s="12"/>
      <c r="S459" s="8"/>
      <c r="T459" s="12"/>
      <c r="U459" s="8"/>
      <c r="V459" s="2">
        <v>45719</v>
      </c>
      <c r="W459" s="2"/>
      <c r="X459" s="2"/>
      <c r="Y459" s="2"/>
      <c r="Z459" s="2">
        <v>45747</v>
      </c>
      <c r="AB459">
        <v>8540</v>
      </c>
      <c r="AC459">
        <v>76706</v>
      </c>
      <c r="AD459" t="s">
        <v>427</v>
      </c>
      <c r="AE459" s="2">
        <v>45723</v>
      </c>
      <c r="AF459">
        <v>1</v>
      </c>
      <c r="AG459" s="17">
        <v>4.1666666666666602E-2</v>
      </c>
      <c r="AH459" s="2">
        <v>45726</v>
      </c>
    </row>
    <row r="460" spans="1:34" hidden="1" x14ac:dyDescent="0.25">
      <c r="A460" s="12">
        <v>8540</v>
      </c>
      <c r="B460" s="12">
        <v>0</v>
      </c>
      <c r="C460" t="s">
        <v>426</v>
      </c>
      <c r="E460" s="8"/>
      <c r="F460" s="12">
        <v>22</v>
      </c>
      <c r="G460" s="8" t="s">
        <v>45</v>
      </c>
      <c r="H460" s="12">
        <v>3201</v>
      </c>
      <c r="I460" t="s">
        <v>51</v>
      </c>
      <c r="K460" t="s">
        <v>63</v>
      </c>
      <c r="N460" s="12"/>
      <c r="O460" s="8"/>
      <c r="Q460" s="8"/>
      <c r="R460" s="12"/>
      <c r="S460" s="8"/>
      <c r="T460" s="12"/>
      <c r="U460" s="8"/>
      <c r="V460" s="2">
        <v>45719</v>
      </c>
      <c r="W460" s="2"/>
      <c r="X460" s="2"/>
      <c r="Y460" s="2"/>
      <c r="Z460" s="2">
        <v>45747</v>
      </c>
      <c r="AB460">
        <v>8540</v>
      </c>
      <c r="AC460">
        <v>76705</v>
      </c>
      <c r="AD460" t="s">
        <v>709</v>
      </c>
      <c r="AE460" s="2">
        <v>45721</v>
      </c>
      <c r="AF460">
        <v>0.5</v>
      </c>
      <c r="AG460" s="17">
        <v>2.0833333333333301E-2</v>
      </c>
      <c r="AH460" s="2">
        <v>45726</v>
      </c>
    </row>
    <row r="461" spans="1:34" hidden="1" x14ac:dyDescent="0.25">
      <c r="A461" s="12">
        <v>8540</v>
      </c>
      <c r="B461" s="12">
        <v>0</v>
      </c>
      <c r="C461" t="s">
        <v>426</v>
      </c>
      <c r="E461" s="8"/>
      <c r="F461" s="12">
        <v>22</v>
      </c>
      <c r="G461" s="8" t="s">
        <v>45</v>
      </c>
      <c r="H461" s="12">
        <v>3201</v>
      </c>
      <c r="I461" t="s">
        <v>51</v>
      </c>
      <c r="K461" t="s">
        <v>63</v>
      </c>
      <c r="N461" s="12"/>
      <c r="O461" s="8"/>
      <c r="Q461" s="8"/>
      <c r="R461" s="12"/>
      <c r="S461" s="8"/>
      <c r="T461" s="12"/>
      <c r="U461" s="8"/>
      <c r="V461" s="2">
        <v>45719</v>
      </c>
      <c r="W461" s="2"/>
      <c r="X461" s="2"/>
      <c r="Y461" s="2"/>
      <c r="Z461" s="2">
        <v>45747</v>
      </c>
      <c r="AB461">
        <v>8540</v>
      </c>
      <c r="AC461">
        <v>76704</v>
      </c>
      <c r="AD461" t="s">
        <v>710</v>
      </c>
      <c r="AE461" s="2">
        <v>45719</v>
      </c>
      <c r="AF461">
        <v>0.75</v>
      </c>
      <c r="AG461" s="17">
        <v>3.125E-2</v>
      </c>
      <c r="AH461" s="2">
        <v>45726</v>
      </c>
    </row>
    <row r="462" spans="1:34" hidden="1" x14ac:dyDescent="0.25">
      <c r="A462" s="12">
        <v>8246</v>
      </c>
      <c r="B462" s="12">
        <v>276</v>
      </c>
      <c r="C462" t="s">
        <v>258</v>
      </c>
      <c r="D462">
        <v>247888</v>
      </c>
      <c r="E462" s="8" t="s">
        <v>184</v>
      </c>
      <c r="F462" s="12">
        <v>30</v>
      </c>
      <c r="G462" s="8" t="s">
        <v>41</v>
      </c>
      <c r="H462" s="12">
        <v>3198</v>
      </c>
      <c r="I462" t="s">
        <v>43</v>
      </c>
      <c r="J462" t="s">
        <v>62</v>
      </c>
      <c r="K462" t="s">
        <v>63</v>
      </c>
      <c r="N462" s="12"/>
      <c r="O462" s="8"/>
      <c r="P462">
        <v>1</v>
      </c>
      <c r="Q462" s="8">
        <v>1</v>
      </c>
      <c r="R462" s="12">
        <v>1</v>
      </c>
      <c r="S462" s="8">
        <v>1</v>
      </c>
      <c r="T462" s="12"/>
      <c r="U462" s="8"/>
      <c r="V462" s="2">
        <v>45658</v>
      </c>
      <c r="W462" s="2">
        <v>1</v>
      </c>
      <c r="X462" s="2">
        <v>45961</v>
      </c>
      <c r="Y462" s="2">
        <v>45960</v>
      </c>
      <c r="Z462" s="2"/>
      <c r="AA462" t="s">
        <v>259</v>
      </c>
      <c r="AB462">
        <v>8246</v>
      </c>
      <c r="AC462">
        <v>76803</v>
      </c>
      <c r="AD462" t="s">
        <v>428</v>
      </c>
      <c r="AE462" s="2">
        <v>45722</v>
      </c>
      <c r="AF462">
        <v>9</v>
      </c>
      <c r="AG462" s="17">
        <v>0.375</v>
      </c>
      <c r="AH462" s="2">
        <v>45726</v>
      </c>
    </row>
    <row r="463" spans="1:34" hidden="1" x14ac:dyDescent="0.25">
      <c r="A463" s="12">
        <v>8246</v>
      </c>
      <c r="B463" s="12">
        <v>276</v>
      </c>
      <c r="C463" t="s">
        <v>258</v>
      </c>
      <c r="D463">
        <v>247888</v>
      </c>
      <c r="E463" s="8" t="s">
        <v>184</v>
      </c>
      <c r="F463" s="12">
        <v>30</v>
      </c>
      <c r="G463" s="8" t="s">
        <v>41</v>
      </c>
      <c r="H463" s="12">
        <v>3198</v>
      </c>
      <c r="I463" t="s">
        <v>43</v>
      </c>
      <c r="K463" t="s">
        <v>63</v>
      </c>
      <c r="N463" s="12"/>
      <c r="O463" s="8"/>
      <c r="P463">
        <v>1</v>
      </c>
      <c r="Q463" s="8">
        <v>1</v>
      </c>
      <c r="R463" s="12">
        <v>1</v>
      </c>
      <c r="S463" s="8">
        <v>1</v>
      </c>
      <c r="T463" s="12"/>
      <c r="U463" s="8"/>
      <c r="V463" s="2">
        <v>45658</v>
      </c>
      <c r="W463" s="2">
        <v>1</v>
      </c>
      <c r="X463" s="2">
        <v>45961</v>
      </c>
      <c r="Y463" s="2">
        <v>45960</v>
      </c>
      <c r="Z463" s="2"/>
      <c r="AA463" t="s">
        <v>259</v>
      </c>
      <c r="AB463">
        <v>8246</v>
      </c>
      <c r="AC463">
        <v>76802</v>
      </c>
      <c r="AD463" t="s">
        <v>711</v>
      </c>
      <c r="AE463" s="2">
        <v>45721</v>
      </c>
      <c r="AF463">
        <v>9</v>
      </c>
      <c r="AG463" s="17">
        <v>0.375</v>
      </c>
      <c r="AH463" s="2">
        <v>45726</v>
      </c>
    </row>
    <row r="464" spans="1:34" hidden="1" x14ac:dyDescent="0.25">
      <c r="A464" s="12">
        <v>8246</v>
      </c>
      <c r="B464" s="12">
        <v>276</v>
      </c>
      <c r="C464" t="s">
        <v>258</v>
      </c>
      <c r="D464">
        <v>247888</v>
      </c>
      <c r="E464" s="8" t="s">
        <v>184</v>
      </c>
      <c r="F464" s="12">
        <v>30</v>
      </c>
      <c r="G464" s="8" t="s">
        <v>41</v>
      </c>
      <c r="H464" s="12">
        <v>3198</v>
      </c>
      <c r="I464" t="s">
        <v>43</v>
      </c>
      <c r="K464" t="s">
        <v>63</v>
      </c>
      <c r="N464" s="12"/>
      <c r="O464" s="8"/>
      <c r="P464">
        <v>1</v>
      </c>
      <c r="Q464" s="8">
        <v>1</v>
      </c>
      <c r="R464" s="12">
        <v>1</v>
      </c>
      <c r="S464" s="8">
        <v>1</v>
      </c>
      <c r="T464" s="12"/>
      <c r="U464" s="8"/>
      <c r="V464" s="2">
        <v>45658</v>
      </c>
      <c r="W464" s="2">
        <v>1</v>
      </c>
      <c r="X464" s="2">
        <v>45961</v>
      </c>
      <c r="Y464" s="2">
        <v>45960</v>
      </c>
      <c r="Z464" s="2"/>
      <c r="AA464" t="s">
        <v>259</v>
      </c>
      <c r="AB464">
        <v>8246</v>
      </c>
      <c r="AC464">
        <v>76805</v>
      </c>
      <c r="AD464" t="s">
        <v>712</v>
      </c>
      <c r="AE464" s="2">
        <v>45720</v>
      </c>
      <c r="AF464">
        <v>9</v>
      </c>
      <c r="AG464" s="17">
        <v>0.375</v>
      </c>
      <c r="AH464" s="2">
        <v>45726</v>
      </c>
    </row>
    <row r="465" spans="1:34" hidden="1" x14ac:dyDescent="0.25">
      <c r="A465" s="12">
        <v>8246</v>
      </c>
      <c r="B465" s="12">
        <v>276</v>
      </c>
      <c r="C465" t="s">
        <v>258</v>
      </c>
      <c r="D465">
        <v>247888</v>
      </c>
      <c r="E465" s="8" t="s">
        <v>184</v>
      </c>
      <c r="F465" s="12">
        <v>30</v>
      </c>
      <c r="G465" s="8" t="s">
        <v>41</v>
      </c>
      <c r="H465" s="12">
        <v>3198</v>
      </c>
      <c r="I465" t="s">
        <v>43</v>
      </c>
      <c r="K465" t="s">
        <v>63</v>
      </c>
      <c r="N465" s="12"/>
      <c r="O465" s="8"/>
      <c r="P465">
        <v>1</v>
      </c>
      <c r="Q465" s="8">
        <v>1</v>
      </c>
      <c r="R465" s="12">
        <v>1</v>
      </c>
      <c r="S465" s="8">
        <v>1</v>
      </c>
      <c r="T465" s="12"/>
      <c r="U465" s="8"/>
      <c r="V465" s="2">
        <v>45658</v>
      </c>
      <c r="W465" s="2">
        <v>1</v>
      </c>
      <c r="X465" s="2">
        <v>45961</v>
      </c>
      <c r="Y465" s="2">
        <v>45960</v>
      </c>
      <c r="Z465" s="2"/>
      <c r="AA465" t="s">
        <v>259</v>
      </c>
      <c r="AB465">
        <v>8246</v>
      </c>
      <c r="AC465">
        <v>76748</v>
      </c>
      <c r="AD465" t="s">
        <v>713</v>
      </c>
      <c r="AE465" s="2">
        <v>45720</v>
      </c>
      <c r="AF465">
        <v>8</v>
      </c>
      <c r="AG465" s="17">
        <v>0.33333333333333298</v>
      </c>
      <c r="AH465" s="2">
        <v>45726</v>
      </c>
    </row>
    <row r="466" spans="1:34" hidden="1" x14ac:dyDescent="0.25">
      <c r="A466" s="12">
        <v>8246</v>
      </c>
      <c r="B466" s="12">
        <v>276</v>
      </c>
      <c r="C466" t="s">
        <v>258</v>
      </c>
      <c r="D466">
        <v>247888</v>
      </c>
      <c r="E466" s="8" t="s">
        <v>184</v>
      </c>
      <c r="F466" s="12">
        <v>30</v>
      </c>
      <c r="G466" s="8" t="s">
        <v>41</v>
      </c>
      <c r="H466" s="12">
        <v>3198</v>
      </c>
      <c r="I466" t="s">
        <v>43</v>
      </c>
      <c r="K466" t="s">
        <v>63</v>
      </c>
      <c r="N466" s="12"/>
      <c r="O466" s="8"/>
      <c r="P466">
        <v>1</v>
      </c>
      <c r="Q466" s="8">
        <v>1</v>
      </c>
      <c r="R466" s="12">
        <v>1</v>
      </c>
      <c r="S466" s="8">
        <v>1</v>
      </c>
      <c r="T466" s="12"/>
      <c r="U466" s="8"/>
      <c r="V466" s="2">
        <v>45658</v>
      </c>
      <c r="W466" s="2">
        <v>1</v>
      </c>
      <c r="X466" s="2">
        <v>45961</v>
      </c>
      <c r="Y466" s="2">
        <v>45960</v>
      </c>
      <c r="Z466" s="2"/>
      <c r="AA466" t="s">
        <v>259</v>
      </c>
      <c r="AB466">
        <v>8246</v>
      </c>
      <c r="AC466">
        <v>76744</v>
      </c>
      <c r="AD466" t="s">
        <v>714</v>
      </c>
      <c r="AE466" s="2">
        <v>45719</v>
      </c>
      <c r="AF466">
        <v>8</v>
      </c>
      <c r="AG466" s="17">
        <v>0.33333333333333298</v>
      </c>
      <c r="AH466" s="2">
        <v>45726</v>
      </c>
    </row>
    <row r="467" spans="1:34" hidden="1" x14ac:dyDescent="0.25">
      <c r="A467" s="12">
        <v>8246</v>
      </c>
      <c r="B467" s="12">
        <v>276</v>
      </c>
      <c r="C467" t="s">
        <v>258</v>
      </c>
      <c r="D467">
        <v>247888</v>
      </c>
      <c r="E467" s="8" t="s">
        <v>184</v>
      </c>
      <c r="F467" s="12">
        <v>30</v>
      </c>
      <c r="G467" s="8" t="s">
        <v>41</v>
      </c>
      <c r="H467" s="12">
        <v>3198</v>
      </c>
      <c r="I467" t="s">
        <v>43</v>
      </c>
      <c r="K467" t="s">
        <v>63</v>
      </c>
      <c r="N467" s="12"/>
      <c r="O467" s="8"/>
      <c r="P467">
        <v>1</v>
      </c>
      <c r="Q467" s="8">
        <v>1</v>
      </c>
      <c r="R467" s="12">
        <v>1</v>
      </c>
      <c r="S467" s="8">
        <v>1</v>
      </c>
      <c r="T467" s="12"/>
      <c r="U467" s="8"/>
      <c r="V467" s="2">
        <v>45658</v>
      </c>
      <c r="W467" s="2">
        <v>1</v>
      </c>
      <c r="X467" s="2">
        <v>45961</v>
      </c>
      <c r="Y467" s="2">
        <v>45960</v>
      </c>
      <c r="Z467" s="2"/>
      <c r="AA467" t="s">
        <v>259</v>
      </c>
      <c r="AB467">
        <v>8246</v>
      </c>
      <c r="AC467">
        <v>74820</v>
      </c>
      <c r="AD467" t="s">
        <v>715</v>
      </c>
      <c r="AE467" s="2">
        <v>45717</v>
      </c>
      <c r="AF467">
        <v>4</v>
      </c>
      <c r="AG467" s="17">
        <v>0.16666666666666599</v>
      </c>
      <c r="AH467" s="2">
        <v>45717</v>
      </c>
    </row>
    <row r="468" spans="1:34" hidden="1" x14ac:dyDescent="0.25">
      <c r="A468" s="12">
        <v>8246</v>
      </c>
      <c r="B468" s="12">
        <v>276</v>
      </c>
      <c r="C468" t="s">
        <v>258</v>
      </c>
      <c r="D468">
        <v>247888</v>
      </c>
      <c r="E468" s="8" t="s">
        <v>184</v>
      </c>
      <c r="F468" s="12">
        <v>30</v>
      </c>
      <c r="G468" s="8" t="s">
        <v>41</v>
      </c>
      <c r="H468" s="12">
        <v>3198</v>
      </c>
      <c r="I468" t="s">
        <v>43</v>
      </c>
      <c r="K468" t="s">
        <v>63</v>
      </c>
      <c r="N468" s="12"/>
      <c r="O468" s="8"/>
      <c r="P468">
        <v>1</v>
      </c>
      <c r="Q468" s="8">
        <v>1</v>
      </c>
      <c r="R468" s="12">
        <v>1</v>
      </c>
      <c r="S468" s="8">
        <v>1</v>
      </c>
      <c r="T468" s="12"/>
      <c r="U468" s="8"/>
      <c r="V468" s="2">
        <v>45658</v>
      </c>
      <c r="W468" s="2">
        <v>1</v>
      </c>
      <c r="X468" s="2">
        <v>45961</v>
      </c>
      <c r="Y468" s="2">
        <v>45960</v>
      </c>
      <c r="Z468" s="2"/>
      <c r="AA468" t="s">
        <v>259</v>
      </c>
      <c r="AB468">
        <v>8246</v>
      </c>
      <c r="AC468">
        <v>74579</v>
      </c>
      <c r="AD468" t="s">
        <v>716</v>
      </c>
      <c r="AE468" s="2">
        <v>45716</v>
      </c>
      <c r="AF468">
        <v>8</v>
      </c>
      <c r="AG468" s="17">
        <v>0.33333333333333298</v>
      </c>
      <c r="AH468" s="2">
        <v>45716</v>
      </c>
    </row>
    <row r="469" spans="1:34" hidden="1" x14ac:dyDescent="0.25">
      <c r="A469" s="12">
        <v>8246</v>
      </c>
      <c r="B469" s="12">
        <v>276</v>
      </c>
      <c r="C469" t="s">
        <v>258</v>
      </c>
      <c r="D469">
        <v>247888</v>
      </c>
      <c r="E469" s="8" t="s">
        <v>184</v>
      </c>
      <c r="F469" s="12">
        <v>30</v>
      </c>
      <c r="G469" s="8" t="s">
        <v>41</v>
      </c>
      <c r="H469" s="12">
        <v>3198</v>
      </c>
      <c r="I469" t="s">
        <v>43</v>
      </c>
      <c r="K469" t="s">
        <v>63</v>
      </c>
      <c r="N469" s="12"/>
      <c r="O469" s="8"/>
      <c r="P469">
        <v>1</v>
      </c>
      <c r="Q469" s="8">
        <v>1</v>
      </c>
      <c r="R469" s="12">
        <v>1</v>
      </c>
      <c r="S469" s="8">
        <v>1</v>
      </c>
      <c r="T469" s="12"/>
      <c r="U469" s="8"/>
      <c r="V469" s="2">
        <v>45658</v>
      </c>
      <c r="W469" s="2">
        <v>1</v>
      </c>
      <c r="X469" s="2">
        <v>45961</v>
      </c>
      <c r="Y469" s="2">
        <v>45960</v>
      </c>
      <c r="Z469" s="2"/>
      <c r="AA469" t="s">
        <v>259</v>
      </c>
      <c r="AB469">
        <v>8246</v>
      </c>
      <c r="AC469">
        <v>73991</v>
      </c>
      <c r="AD469" t="s">
        <v>345</v>
      </c>
      <c r="AE469" s="2">
        <v>45715</v>
      </c>
      <c r="AF469">
        <v>0</v>
      </c>
      <c r="AG469" s="17">
        <v>0</v>
      </c>
      <c r="AH469" s="2">
        <v>45715</v>
      </c>
    </row>
    <row r="470" spans="1:34" hidden="1" x14ac:dyDescent="0.25">
      <c r="A470" s="12">
        <v>8246</v>
      </c>
      <c r="B470" s="12">
        <v>276</v>
      </c>
      <c r="C470" t="s">
        <v>258</v>
      </c>
      <c r="D470">
        <v>247888</v>
      </c>
      <c r="E470" s="8" t="s">
        <v>184</v>
      </c>
      <c r="F470" s="12">
        <v>30</v>
      </c>
      <c r="G470" s="8" t="s">
        <v>41</v>
      </c>
      <c r="H470" s="12">
        <v>3198</v>
      </c>
      <c r="I470" t="s">
        <v>43</v>
      </c>
      <c r="K470" t="s">
        <v>63</v>
      </c>
      <c r="N470" s="12"/>
      <c r="O470" s="8"/>
      <c r="P470">
        <v>1</v>
      </c>
      <c r="Q470" s="8">
        <v>1</v>
      </c>
      <c r="R470" s="12">
        <v>1</v>
      </c>
      <c r="S470" s="8">
        <v>1</v>
      </c>
      <c r="T470" s="12"/>
      <c r="U470" s="8"/>
      <c r="V470" s="2">
        <v>45658</v>
      </c>
      <c r="W470" s="2">
        <v>1</v>
      </c>
      <c r="X470" s="2">
        <v>45961</v>
      </c>
      <c r="Y470" s="2">
        <v>45960</v>
      </c>
      <c r="Z470" s="2"/>
      <c r="AA470" t="s">
        <v>259</v>
      </c>
      <c r="AB470">
        <v>8246</v>
      </c>
      <c r="AC470">
        <v>73990</v>
      </c>
      <c r="AD470" t="s">
        <v>717</v>
      </c>
      <c r="AE470" s="2">
        <v>45714</v>
      </c>
      <c r="AF470">
        <v>9</v>
      </c>
      <c r="AG470" s="17">
        <v>0.375</v>
      </c>
      <c r="AH470" s="2">
        <v>45715</v>
      </c>
    </row>
    <row r="471" spans="1:34" hidden="1" x14ac:dyDescent="0.25">
      <c r="A471" s="12">
        <v>8246</v>
      </c>
      <c r="B471" s="12">
        <v>276</v>
      </c>
      <c r="C471" t="s">
        <v>258</v>
      </c>
      <c r="D471">
        <v>247888</v>
      </c>
      <c r="E471" s="8" t="s">
        <v>184</v>
      </c>
      <c r="F471" s="12">
        <v>30</v>
      </c>
      <c r="G471" s="8" t="s">
        <v>41</v>
      </c>
      <c r="H471" s="12">
        <v>3198</v>
      </c>
      <c r="I471" t="s">
        <v>43</v>
      </c>
      <c r="K471" t="s">
        <v>63</v>
      </c>
      <c r="N471" s="12"/>
      <c r="O471" s="8"/>
      <c r="P471">
        <v>1</v>
      </c>
      <c r="Q471" s="8">
        <v>1</v>
      </c>
      <c r="R471" s="12">
        <v>1</v>
      </c>
      <c r="S471" s="8">
        <v>1</v>
      </c>
      <c r="T471" s="12"/>
      <c r="U471" s="8"/>
      <c r="V471" s="2">
        <v>45658</v>
      </c>
      <c r="W471" s="2">
        <v>1</v>
      </c>
      <c r="X471" s="2">
        <v>45961</v>
      </c>
      <c r="Y471" s="2">
        <v>45960</v>
      </c>
      <c r="Z471" s="2"/>
      <c r="AA471" t="s">
        <v>259</v>
      </c>
      <c r="AB471">
        <v>8246</v>
      </c>
      <c r="AC471">
        <v>73388</v>
      </c>
      <c r="AD471" t="s">
        <v>718</v>
      </c>
      <c r="AE471" s="2">
        <v>45713</v>
      </c>
      <c r="AF471">
        <v>5</v>
      </c>
      <c r="AG471" s="17">
        <v>0.20833333333333301</v>
      </c>
      <c r="AH471" s="2">
        <v>45713</v>
      </c>
    </row>
    <row r="472" spans="1:34" hidden="1" x14ac:dyDescent="0.25">
      <c r="A472" s="12">
        <v>8246</v>
      </c>
      <c r="B472" s="12">
        <v>276</v>
      </c>
      <c r="C472" t="s">
        <v>258</v>
      </c>
      <c r="D472">
        <v>247888</v>
      </c>
      <c r="E472" s="8" t="s">
        <v>184</v>
      </c>
      <c r="F472" s="12">
        <v>30</v>
      </c>
      <c r="G472" s="8" t="s">
        <v>41</v>
      </c>
      <c r="H472" s="12">
        <v>3198</v>
      </c>
      <c r="I472" t="s">
        <v>43</v>
      </c>
      <c r="K472" t="s">
        <v>63</v>
      </c>
      <c r="N472" s="12"/>
      <c r="O472" s="8"/>
      <c r="P472">
        <v>1</v>
      </c>
      <c r="Q472" s="8">
        <v>1</v>
      </c>
      <c r="R472" s="12">
        <v>1</v>
      </c>
      <c r="S472" s="8">
        <v>1</v>
      </c>
      <c r="T472" s="12"/>
      <c r="U472" s="8"/>
      <c r="V472" s="2">
        <v>45658</v>
      </c>
      <c r="W472" s="2">
        <v>1</v>
      </c>
      <c r="X472" s="2">
        <v>45961</v>
      </c>
      <c r="Y472" s="2">
        <v>45960</v>
      </c>
      <c r="Z472" s="2"/>
      <c r="AA472" t="s">
        <v>259</v>
      </c>
      <c r="AB472">
        <v>8246</v>
      </c>
      <c r="AC472">
        <v>73387</v>
      </c>
      <c r="AD472" t="s">
        <v>719</v>
      </c>
      <c r="AE472" s="2">
        <v>45712</v>
      </c>
      <c r="AF472">
        <v>9</v>
      </c>
      <c r="AG472" s="17">
        <v>0.375</v>
      </c>
      <c r="AH472" s="2">
        <v>45713</v>
      </c>
    </row>
    <row r="473" spans="1:34" hidden="1" x14ac:dyDescent="0.25">
      <c r="A473" s="12">
        <v>8246</v>
      </c>
      <c r="B473" s="12">
        <v>276</v>
      </c>
      <c r="C473" t="s">
        <v>258</v>
      </c>
      <c r="D473">
        <v>247888</v>
      </c>
      <c r="E473" s="8" t="s">
        <v>184</v>
      </c>
      <c r="F473" s="12">
        <v>30</v>
      </c>
      <c r="G473" s="8" t="s">
        <v>41</v>
      </c>
      <c r="H473" s="12">
        <v>3198</v>
      </c>
      <c r="I473" t="s">
        <v>43</v>
      </c>
      <c r="K473" t="s">
        <v>63</v>
      </c>
      <c r="N473" s="12"/>
      <c r="O473" s="8"/>
      <c r="P473">
        <v>1</v>
      </c>
      <c r="Q473" s="8">
        <v>1</v>
      </c>
      <c r="R473" s="12">
        <v>1</v>
      </c>
      <c r="S473" s="8">
        <v>1</v>
      </c>
      <c r="T473" s="12"/>
      <c r="U473" s="8"/>
      <c r="V473" s="2">
        <v>45658</v>
      </c>
      <c r="W473" s="2">
        <v>1</v>
      </c>
      <c r="X473" s="2">
        <v>45961</v>
      </c>
      <c r="Y473" s="2">
        <v>45960</v>
      </c>
      <c r="Z473" s="2"/>
      <c r="AA473" t="s">
        <v>259</v>
      </c>
      <c r="AB473">
        <v>8246</v>
      </c>
      <c r="AC473">
        <v>72715</v>
      </c>
      <c r="AD473" t="s">
        <v>720</v>
      </c>
      <c r="AE473" s="2">
        <v>45709</v>
      </c>
      <c r="AF473">
        <v>4</v>
      </c>
      <c r="AG473" s="17">
        <v>0.16666666666666599</v>
      </c>
      <c r="AH473" s="2">
        <v>45709</v>
      </c>
    </row>
    <row r="474" spans="1:34" hidden="1" x14ac:dyDescent="0.25">
      <c r="A474" s="12">
        <v>8246</v>
      </c>
      <c r="B474" s="12">
        <v>276</v>
      </c>
      <c r="C474" t="s">
        <v>258</v>
      </c>
      <c r="D474">
        <v>247888</v>
      </c>
      <c r="E474" s="8" t="s">
        <v>184</v>
      </c>
      <c r="F474" s="12">
        <v>30</v>
      </c>
      <c r="G474" s="8" t="s">
        <v>41</v>
      </c>
      <c r="H474" s="12">
        <v>3198</v>
      </c>
      <c r="I474" t="s">
        <v>43</v>
      </c>
      <c r="K474" t="s">
        <v>63</v>
      </c>
      <c r="N474" s="12"/>
      <c r="O474" s="8"/>
      <c r="P474">
        <v>1</v>
      </c>
      <c r="Q474" s="8">
        <v>1</v>
      </c>
      <c r="R474" s="12">
        <v>1</v>
      </c>
      <c r="S474" s="8">
        <v>1</v>
      </c>
      <c r="T474" s="12"/>
      <c r="U474" s="8"/>
      <c r="V474" s="2">
        <v>45658</v>
      </c>
      <c r="W474" s="2">
        <v>1</v>
      </c>
      <c r="X474" s="2">
        <v>45961</v>
      </c>
      <c r="Y474" s="2">
        <v>45960</v>
      </c>
      <c r="Z474" s="2"/>
      <c r="AA474" t="s">
        <v>259</v>
      </c>
      <c r="AB474">
        <v>8246</v>
      </c>
      <c r="AC474">
        <v>72377</v>
      </c>
      <c r="AD474" t="s">
        <v>721</v>
      </c>
      <c r="AE474" s="2">
        <v>45708</v>
      </c>
      <c r="AF474">
        <v>5</v>
      </c>
      <c r="AG474" s="17">
        <v>0.20833333333333301</v>
      </c>
      <c r="AH474" s="2">
        <v>45709</v>
      </c>
    </row>
    <row r="475" spans="1:34" hidden="1" x14ac:dyDescent="0.25">
      <c r="A475" s="12">
        <v>8246</v>
      </c>
      <c r="B475" s="12">
        <v>276</v>
      </c>
      <c r="C475" t="s">
        <v>258</v>
      </c>
      <c r="D475">
        <v>247888</v>
      </c>
      <c r="E475" s="8" t="s">
        <v>184</v>
      </c>
      <c r="F475" s="12">
        <v>30</v>
      </c>
      <c r="G475" s="8" t="s">
        <v>41</v>
      </c>
      <c r="H475" s="12">
        <v>3198</v>
      </c>
      <c r="I475" t="s">
        <v>43</v>
      </c>
      <c r="K475" t="s">
        <v>63</v>
      </c>
      <c r="N475" s="12"/>
      <c r="O475" s="8"/>
      <c r="P475">
        <v>1</v>
      </c>
      <c r="Q475" s="8">
        <v>1</v>
      </c>
      <c r="R475" s="12">
        <v>1</v>
      </c>
      <c r="S475" s="8">
        <v>1</v>
      </c>
      <c r="T475" s="12"/>
      <c r="U475" s="8"/>
      <c r="V475" s="2">
        <v>45658</v>
      </c>
      <c r="W475" s="2">
        <v>1</v>
      </c>
      <c r="X475" s="2">
        <v>45961</v>
      </c>
      <c r="Y475" s="2">
        <v>45960</v>
      </c>
      <c r="Z475" s="2"/>
      <c r="AA475" t="s">
        <v>259</v>
      </c>
      <c r="AB475">
        <v>8246</v>
      </c>
      <c r="AC475">
        <v>72549</v>
      </c>
      <c r="AD475" t="s">
        <v>722</v>
      </c>
      <c r="AE475" s="2">
        <v>45707</v>
      </c>
      <c r="AF475">
        <v>8</v>
      </c>
      <c r="AG475" s="17">
        <v>0.33333333333333298</v>
      </c>
      <c r="AH475" s="2">
        <v>45709</v>
      </c>
    </row>
    <row r="476" spans="1:34" hidden="1" x14ac:dyDescent="0.25">
      <c r="A476" s="12">
        <v>8246</v>
      </c>
      <c r="B476" s="12">
        <v>276</v>
      </c>
      <c r="C476" t="s">
        <v>258</v>
      </c>
      <c r="D476">
        <v>247888</v>
      </c>
      <c r="E476" s="8" t="s">
        <v>184</v>
      </c>
      <c r="F476" s="12">
        <v>30</v>
      </c>
      <c r="G476" s="8" t="s">
        <v>41</v>
      </c>
      <c r="H476" s="12">
        <v>3198</v>
      </c>
      <c r="I476" t="s">
        <v>43</v>
      </c>
      <c r="K476" t="s">
        <v>63</v>
      </c>
      <c r="N476" s="12"/>
      <c r="O476" s="8"/>
      <c r="P476">
        <v>1</v>
      </c>
      <c r="Q476" s="8">
        <v>1</v>
      </c>
      <c r="R476" s="12">
        <v>1</v>
      </c>
      <c r="S476" s="8">
        <v>1</v>
      </c>
      <c r="T476" s="12"/>
      <c r="U476" s="8"/>
      <c r="V476" s="2">
        <v>45658</v>
      </c>
      <c r="W476" s="2">
        <v>1</v>
      </c>
      <c r="X476" s="2">
        <v>45961</v>
      </c>
      <c r="Y476" s="2">
        <v>45960</v>
      </c>
      <c r="Z476" s="2"/>
      <c r="AA476" t="s">
        <v>259</v>
      </c>
      <c r="AB476">
        <v>8246</v>
      </c>
      <c r="AC476">
        <v>72014</v>
      </c>
      <c r="AD476" t="s">
        <v>723</v>
      </c>
      <c r="AE476" s="2">
        <v>45707</v>
      </c>
      <c r="AF476">
        <v>6.8333333333333304</v>
      </c>
      <c r="AG476" s="17">
        <v>0.28472222222222199</v>
      </c>
      <c r="AH476" s="2">
        <v>45708</v>
      </c>
    </row>
    <row r="477" spans="1:34" hidden="1" x14ac:dyDescent="0.25">
      <c r="A477" s="12">
        <v>8246</v>
      </c>
      <c r="B477" s="12">
        <v>276</v>
      </c>
      <c r="C477" t="s">
        <v>258</v>
      </c>
      <c r="D477">
        <v>247888</v>
      </c>
      <c r="E477" s="8" t="s">
        <v>184</v>
      </c>
      <c r="F477" s="12">
        <v>30</v>
      </c>
      <c r="G477" s="8" t="s">
        <v>41</v>
      </c>
      <c r="H477" s="12">
        <v>3198</v>
      </c>
      <c r="I477" t="s">
        <v>43</v>
      </c>
      <c r="K477" t="s">
        <v>63</v>
      </c>
      <c r="N477" s="12"/>
      <c r="O477" s="8"/>
      <c r="P477">
        <v>1</v>
      </c>
      <c r="Q477" s="8">
        <v>1</v>
      </c>
      <c r="R477" s="12">
        <v>1</v>
      </c>
      <c r="S477" s="8">
        <v>1</v>
      </c>
      <c r="T477" s="12"/>
      <c r="U477" s="8"/>
      <c r="V477" s="2">
        <v>45658</v>
      </c>
      <c r="W477" s="2">
        <v>1</v>
      </c>
      <c r="X477" s="2">
        <v>45961</v>
      </c>
      <c r="Y477" s="2">
        <v>45960</v>
      </c>
      <c r="Z477" s="2"/>
      <c r="AA477" t="s">
        <v>259</v>
      </c>
      <c r="AB477">
        <v>8246</v>
      </c>
      <c r="AC477">
        <v>71686</v>
      </c>
      <c r="AD477" t="s">
        <v>724</v>
      </c>
      <c r="AE477" s="2">
        <v>45706</v>
      </c>
      <c r="AF477">
        <v>9</v>
      </c>
      <c r="AG477" s="17">
        <v>0.375</v>
      </c>
      <c r="AH477" s="2">
        <v>45707</v>
      </c>
    </row>
    <row r="478" spans="1:34" hidden="1" x14ac:dyDescent="0.25">
      <c r="A478" s="12">
        <v>8246</v>
      </c>
      <c r="B478" s="12">
        <v>276</v>
      </c>
      <c r="C478" t="s">
        <v>258</v>
      </c>
      <c r="D478">
        <v>247888</v>
      </c>
      <c r="E478" s="8" t="s">
        <v>184</v>
      </c>
      <c r="F478" s="12">
        <v>30</v>
      </c>
      <c r="G478" s="8" t="s">
        <v>41</v>
      </c>
      <c r="H478" s="12">
        <v>3198</v>
      </c>
      <c r="I478" t="s">
        <v>43</v>
      </c>
      <c r="K478" t="s">
        <v>63</v>
      </c>
      <c r="N478" s="12"/>
      <c r="O478" s="8"/>
      <c r="P478">
        <v>1</v>
      </c>
      <c r="Q478" s="8">
        <v>1</v>
      </c>
      <c r="R478" s="12">
        <v>1</v>
      </c>
      <c r="S478" s="8">
        <v>1</v>
      </c>
      <c r="T478" s="12"/>
      <c r="U478" s="8"/>
      <c r="V478" s="2">
        <v>45658</v>
      </c>
      <c r="W478" s="2">
        <v>1</v>
      </c>
      <c r="X478" s="2">
        <v>45961</v>
      </c>
      <c r="Y478" s="2">
        <v>45960</v>
      </c>
      <c r="Z478" s="2"/>
      <c r="AA478" t="s">
        <v>259</v>
      </c>
      <c r="AB478">
        <v>8246</v>
      </c>
      <c r="AC478">
        <v>71647</v>
      </c>
      <c r="AD478" t="s">
        <v>725</v>
      </c>
      <c r="AE478" s="2">
        <v>45706</v>
      </c>
      <c r="AF478">
        <v>8.4166666666666607</v>
      </c>
      <c r="AG478" s="17">
        <v>0.35069444444444398</v>
      </c>
      <c r="AH478" s="2">
        <v>45706</v>
      </c>
    </row>
    <row r="479" spans="1:34" hidden="1" x14ac:dyDescent="0.25">
      <c r="A479" s="12">
        <v>8246</v>
      </c>
      <c r="B479" s="12">
        <v>276</v>
      </c>
      <c r="C479" t="s">
        <v>258</v>
      </c>
      <c r="D479">
        <v>247888</v>
      </c>
      <c r="E479" s="8" t="s">
        <v>184</v>
      </c>
      <c r="F479" s="12">
        <v>30</v>
      </c>
      <c r="G479" s="8" t="s">
        <v>41</v>
      </c>
      <c r="H479" s="12">
        <v>3198</v>
      </c>
      <c r="I479" t="s">
        <v>43</v>
      </c>
      <c r="K479" t="s">
        <v>63</v>
      </c>
      <c r="N479" s="12"/>
      <c r="O479" s="8"/>
      <c r="P479">
        <v>1</v>
      </c>
      <c r="Q479" s="8">
        <v>1</v>
      </c>
      <c r="R479" s="12">
        <v>1</v>
      </c>
      <c r="S479" s="8">
        <v>1</v>
      </c>
      <c r="T479" s="12"/>
      <c r="U479" s="8"/>
      <c r="V479" s="2">
        <v>45658</v>
      </c>
      <c r="W479" s="2">
        <v>1</v>
      </c>
      <c r="X479" s="2">
        <v>45961</v>
      </c>
      <c r="Y479" s="2">
        <v>45960</v>
      </c>
      <c r="Z479" s="2"/>
      <c r="AA479" t="s">
        <v>259</v>
      </c>
      <c r="AB479">
        <v>8246</v>
      </c>
      <c r="AC479">
        <v>71685</v>
      </c>
      <c r="AD479" t="s">
        <v>726</v>
      </c>
      <c r="AE479" s="2">
        <v>45705</v>
      </c>
      <c r="AF479">
        <v>9</v>
      </c>
      <c r="AG479" s="17">
        <v>0.375</v>
      </c>
      <c r="AH479" s="2">
        <v>45707</v>
      </c>
    </row>
    <row r="480" spans="1:34" hidden="1" x14ac:dyDescent="0.25">
      <c r="A480" s="12">
        <v>8246</v>
      </c>
      <c r="B480" s="12">
        <v>276</v>
      </c>
      <c r="C480" t="s">
        <v>258</v>
      </c>
      <c r="D480">
        <v>247888</v>
      </c>
      <c r="E480" s="8" t="s">
        <v>184</v>
      </c>
      <c r="F480" s="12">
        <v>30</v>
      </c>
      <c r="G480" s="8" t="s">
        <v>41</v>
      </c>
      <c r="H480" s="12">
        <v>3198</v>
      </c>
      <c r="I480" t="s">
        <v>43</v>
      </c>
      <c r="K480" t="s">
        <v>63</v>
      </c>
      <c r="N480" s="12"/>
      <c r="O480" s="8"/>
      <c r="P480">
        <v>1</v>
      </c>
      <c r="Q480" s="8">
        <v>1</v>
      </c>
      <c r="R480" s="12">
        <v>1</v>
      </c>
      <c r="S480" s="8">
        <v>1</v>
      </c>
      <c r="T480" s="12"/>
      <c r="U480" s="8"/>
      <c r="V480" s="2">
        <v>45658</v>
      </c>
      <c r="W480" s="2">
        <v>1</v>
      </c>
      <c r="X480" s="2">
        <v>45961</v>
      </c>
      <c r="Y480" s="2">
        <v>45960</v>
      </c>
      <c r="Z480" s="2"/>
      <c r="AA480" t="s">
        <v>259</v>
      </c>
      <c r="AB480">
        <v>8246</v>
      </c>
      <c r="AC480">
        <v>71646</v>
      </c>
      <c r="AD480" t="s">
        <v>727</v>
      </c>
      <c r="AE480" s="2">
        <v>45705</v>
      </c>
      <c r="AF480">
        <v>8</v>
      </c>
      <c r="AG480" s="17">
        <v>0.33333333333333298</v>
      </c>
      <c r="AH480" s="2">
        <v>45706</v>
      </c>
    </row>
    <row r="481" spans="1:34" hidden="1" x14ac:dyDescent="0.25">
      <c r="A481" s="12">
        <v>8246</v>
      </c>
      <c r="B481" s="12">
        <v>276</v>
      </c>
      <c r="C481" t="s">
        <v>258</v>
      </c>
      <c r="D481">
        <v>247888</v>
      </c>
      <c r="E481" s="8" t="s">
        <v>184</v>
      </c>
      <c r="F481" s="12">
        <v>30</v>
      </c>
      <c r="G481" s="8" t="s">
        <v>41</v>
      </c>
      <c r="H481" s="12">
        <v>3198</v>
      </c>
      <c r="I481" t="s">
        <v>43</v>
      </c>
      <c r="K481" t="s">
        <v>63</v>
      </c>
      <c r="N481" s="12"/>
      <c r="O481" s="8"/>
      <c r="P481">
        <v>1</v>
      </c>
      <c r="Q481" s="8">
        <v>1</v>
      </c>
      <c r="R481" s="12">
        <v>1</v>
      </c>
      <c r="S481" s="8">
        <v>1</v>
      </c>
      <c r="T481" s="12"/>
      <c r="U481" s="8"/>
      <c r="V481" s="2">
        <v>45658</v>
      </c>
      <c r="W481" s="2">
        <v>1</v>
      </c>
      <c r="X481" s="2">
        <v>45961</v>
      </c>
      <c r="Y481" s="2">
        <v>45960</v>
      </c>
      <c r="Z481" s="2"/>
      <c r="AA481" t="s">
        <v>259</v>
      </c>
      <c r="AB481">
        <v>8246</v>
      </c>
      <c r="AC481">
        <v>70975</v>
      </c>
      <c r="AD481" t="s">
        <v>728</v>
      </c>
      <c r="AE481" s="2">
        <v>45702</v>
      </c>
      <c r="AF481">
        <v>8</v>
      </c>
      <c r="AG481" s="17">
        <v>0.33333333333333298</v>
      </c>
      <c r="AH481" s="2">
        <v>45703</v>
      </c>
    </row>
    <row r="482" spans="1:34" hidden="1" x14ac:dyDescent="0.25">
      <c r="A482" s="12">
        <v>8246</v>
      </c>
      <c r="B482" s="12">
        <v>276</v>
      </c>
      <c r="C482" t="s">
        <v>258</v>
      </c>
      <c r="D482">
        <v>247888</v>
      </c>
      <c r="E482" s="8" t="s">
        <v>184</v>
      </c>
      <c r="F482" s="12">
        <v>30</v>
      </c>
      <c r="G482" s="8" t="s">
        <v>41</v>
      </c>
      <c r="H482" s="12">
        <v>3198</v>
      </c>
      <c r="I482" t="s">
        <v>43</v>
      </c>
      <c r="K482" t="s">
        <v>63</v>
      </c>
      <c r="N482" s="12"/>
      <c r="O482" s="8"/>
      <c r="P482">
        <v>1</v>
      </c>
      <c r="Q482" s="8">
        <v>1</v>
      </c>
      <c r="R482" s="12">
        <v>1</v>
      </c>
      <c r="S482" s="8">
        <v>1</v>
      </c>
      <c r="T482" s="12"/>
      <c r="U482" s="8"/>
      <c r="V482" s="2">
        <v>45658</v>
      </c>
      <c r="W482" s="2">
        <v>1</v>
      </c>
      <c r="X482" s="2">
        <v>45961</v>
      </c>
      <c r="Y482" s="2">
        <v>45960</v>
      </c>
      <c r="Z482" s="2"/>
      <c r="AA482" t="s">
        <v>259</v>
      </c>
      <c r="AB482">
        <v>8246</v>
      </c>
      <c r="AC482">
        <v>70839</v>
      </c>
      <c r="AD482" t="s">
        <v>729</v>
      </c>
      <c r="AE482" s="2">
        <v>45702</v>
      </c>
      <c r="AF482">
        <v>8</v>
      </c>
      <c r="AG482" s="17">
        <v>0.33333333333333298</v>
      </c>
      <c r="AH482" s="2">
        <v>45702</v>
      </c>
    </row>
    <row r="483" spans="1:34" hidden="1" x14ac:dyDescent="0.25">
      <c r="A483" s="12">
        <v>8246</v>
      </c>
      <c r="B483" s="12">
        <v>276</v>
      </c>
      <c r="C483" t="s">
        <v>258</v>
      </c>
      <c r="D483">
        <v>247888</v>
      </c>
      <c r="E483" s="8" t="s">
        <v>184</v>
      </c>
      <c r="F483" s="12">
        <v>30</v>
      </c>
      <c r="G483" s="8" t="s">
        <v>41</v>
      </c>
      <c r="H483" s="12">
        <v>3198</v>
      </c>
      <c r="I483" t="s">
        <v>43</v>
      </c>
      <c r="K483" t="s">
        <v>63</v>
      </c>
      <c r="N483" s="12"/>
      <c r="O483" s="8"/>
      <c r="P483">
        <v>1</v>
      </c>
      <c r="Q483" s="8">
        <v>1</v>
      </c>
      <c r="R483" s="12">
        <v>1</v>
      </c>
      <c r="S483" s="8">
        <v>1</v>
      </c>
      <c r="T483" s="12"/>
      <c r="U483" s="8"/>
      <c r="V483" s="2">
        <v>45658</v>
      </c>
      <c r="W483" s="2">
        <v>1</v>
      </c>
      <c r="X483" s="2">
        <v>45961</v>
      </c>
      <c r="Y483" s="2">
        <v>45960</v>
      </c>
      <c r="Z483" s="2"/>
      <c r="AA483" t="s">
        <v>259</v>
      </c>
      <c r="AB483">
        <v>8246</v>
      </c>
      <c r="AC483">
        <v>70837</v>
      </c>
      <c r="AD483" t="s">
        <v>730</v>
      </c>
      <c r="AE483" s="2">
        <v>45701</v>
      </c>
      <c r="AF483">
        <v>9</v>
      </c>
      <c r="AG483" s="17">
        <v>0.375</v>
      </c>
      <c r="AH483" s="2">
        <v>45702</v>
      </c>
    </row>
    <row r="484" spans="1:34" hidden="1" x14ac:dyDescent="0.25">
      <c r="A484" s="12">
        <v>8246</v>
      </c>
      <c r="B484" s="12">
        <v>276</v>
      </c>
      <c r="C484" t="s">
        <v>258</v>
      </c>
      <c r="D484">
        <v>247888</v>
      </c>
      <c r="E484" s="8" t="s">
        <v>184</v>
      </c>
      <c r="F484" s="12">
        <v>30</v>
      </c>
      <c r="G484" s="8" t="s">
        <v>41</v>
      </c>
      <c r="H484" s="12">
        <v>3198</v>
      </c>
      <c r="I484" t="s">
        <v>43</v>
      </c>
      <c r="K484" t="s">
        <v>63</v>
      </c>
      <c r="N484" s="12"/>
      <c r="O484" s="8"/>
      <c r="P484">
        <v>1</v>
      </c>
      <c r="Q484" s="8">
        <v>1</v>
      </c>
      <c r="R484" s="12">
        <v>1</v>
      </c>
      <c r="S484" s="8">
        <v>1</v>
      </c>
      <c r="T484" s="12"/>
      <c r="U484" s="8"/>
      <c r="V484" s="2">
        <v>45658</v>
      </c>
      <c r="W484" s="2">
        <v>1</v>
      </c>
      <c r="X484" s="2">
        <v>45961</v>
      </c>
      <c r="Y484" s="2">
        <v>45960</v>
      </c>
      <c r="Z484" s="2"/>
      <c r="AA484" t="s">
        <v>259</v>
      </c>
      <c r="AB484">
        <v>8246</v>
      </c>
      <c r="AC484">
        <v>70215</v>
      </c>
      <c r="AD484" t="s">
        <v>731</v>
      </c>
      <c r="AE484" s="2">
        <v>45701</v>
      </c>
      <c r="AF484">
        <v>8</v>
      </c>
      <c r="AG484" s="17">
        <v>0.33333333333333298</v>
      </c>
      <c r="AH484" s="2">
        <v>45701</v>
      </c>
    </row>
    <row r="485" spans="1:34" hidden="1" x14ac:dyDescent="0.25">
      <c r="A485" s="12">
        <v>8246</v>
      </c>
      <c r="B485" s="12">
        <v>276</v>
      </c>
      <c r="C485" t="s">
        <v>258</v>
      </c>
      <c r="D485">
        <v>247888</v>
      </c>
      <c r="E485" s="8" t="s">
        <v>184</v>
      </c>
      <c r="F485" s="12">
        <v>30</v>
      </c>
      <c r="G485" s="8" t="s">
        <v>41</v>
      </c>
      <c r="H485" s="12">
        <v>3198</v>
      </c>
      <c r="I485" t="s">
        <v>43</v>
      </c>
      <c r="K485" t="s">
        <v>63</v>
      </c>
      <c r="N485" s="12"/>
      <c r="O485" s="8"/>
      <c r="P485">
        <v>1</v>
      </c>
      <c r="Q485" s="8">
        <v>1</v>
      </c>
      <c r="R485" s="12">
        <v>1</v>
      </c>
      <c r="S485" s="8">
        <v>1</v>
      </c>
      <c r="T485" s="12"/>
      <c r="U485" s="8"/>
      <c r="V485" s="2">
        <v>45658</v>
      </c>
      <c r="W485" s="2">
        <v>1</v>
      </c>
      <c r="X485" s="2">
        <v>45961</v>
      </c>
      <c r="Y485" s="2">
        <v>45960</v>
      </c>
      <c r="Z485" s="2"/>
      <c r="AA485" t="s">
        <v>259</v>
      </c>
      <c r="AB485">
        <v>8246</v>
      </c>
      <c r="AC485">
        <v>70003</v>
      </c>
      <c r="AD485" t="s">
        <v>732</v>
      </c>
      <c r="AE485" s="2">
        <v>45700</v>
      </c>
      <c r="AF485">
        <v>8</v>
      </c>
      <c r="AG485" s="17">
        <v>0.33333333333333298</v>
      </c>
      <c r="AH485" s="2">
        <v>45701</v>
      </c>
    </row>
    <row r="486" spans="1:34" hidden="1" x14ac:dyDescent="0.25">
      <c r="A486" s="12">
        <v>8246</v>
      </c>
      <c r="B486" s="12">
        <v>276</v>
      </c>
      <c r="C486" t="s">
        <v>258</v>
      </c>
      <c r="D486">
        <v>247888</v>
      </c>
      <c r="E486" s="8" t="s">
        <v>184</v>
      </c>
      <c r="F486" s="12">
        <v>30</v>
      </c>
      <c r="G486" s="8" t="s">
        <v>41</v>
      </c>
      <c r="H486" s="12">
        <v>3198</v>
      </c>
      <c r="I486" t="s">
        <v>43</v>
      </c>
      <c r="K486" t="s">
        <v>63</v>
      </c>
      <c r="N486" s="12"/>
      <c r="O486" s="8"/>
      <c r="P486">
        <v>1</v>
      </c>
      <c r="Q486" s="8">
        <v>1</v>
      </c>
      <c r="R486" s="12">
        <v>1</v>
      </c>
      <c r="S486" s="8">
        <v>1</v>
      </c>
      <c r="T486" s="12"/>
      <c r="U486" s="8"/>
      <c r="V486" s="2">
        <v>45658</v>
      </c>
      <c r="W486" s="2">
        <v>1</v>
      </c>
      <c r="X486" s="2">
        <v>45961</v>
      </c>
      <c r="Y486" s="2">
        <v>45960</v>
      </c>
      <c r="Z486" s="2"/>
      <c r="AA486" t="s">
        <v>259</v>
      </c>
      <c r="AB486">
        <v>8246</v>
      </c>
      <c r="AC486">
        <v>69994</v>
      </c>
      <c r="AD486" t="s">
        <v>733</v>
      </c>
      <c r="AE486" s="2">
        <v>45700</v>
      </c>
      <c r="AF486">
        <v>9</v>
      </c>
      <c r="AG486" s="17">
        <v>0.375</v>
      </c>
      <c r="AH486" s="2">
        <v>45701</v>
      </c>
    </row>
    <row r="487" spans="1:34" hidden="1" x14ac:dyDescent="0.25">
      <c r="A487" s="12">
        <v>8246</v>
      </c>
      <c r="B487" s="12">
        <v>276</v>
      </c>
      <c r="C487" t="s">
        <v>258</v>
      </c>
      <c r="D487">
        <v>247888</v>
      </c>
      <c r="E487" s="8" t="s">
        <v>184</v>
      </c>
      <c r="F487" s="12">
        <v>30</v>
      </c>
      <c r="G487" s="8" t="s">
        <v>41</v>
      </c>
      <c r="H487" s="12">
        <v>3198</v>
      </c>
      <c r="I487" t="s">
        <v>43</v>
      </c>
      <c r="K487" t="s">
        <v>63</v>
      </c>
      <c r="N487" s="12"/>
      <c r="O487" s="8"/>
      <c r="P487">
        <v>1</v>
      </c>
      <c r="Q487" s="8">
        <v>1</v>
      </c>
      <c r="R487" s="12">
        <v>1</v>
      </c>
      <c r="S487" s="8">
        <v>1</v>
      </c>
      <c r="T487" s="12"/>
      <c r="U487" s="8"/>
      <c r="V487" s="2">
        <v>45658</v>
      </c>
      <c r="W487" s="2">
        <v>1</v>
      </c>
      <c r="X487" s="2">
        <v>45961</v>
      </c>
      <c r="Y487" s="2">
        <v>45960</v>
      </c>
      <c r="Z487" s="2"/>
      <c r="AA487" t="s">
        <v>259</v>
      </c>
      <c r="AB487">
        <v>8246</v>
      </c>
      <c r="AC487">
        <v>70002</v>
      </c>
      <c r="AD487" t="s">
        <v>734</v>
      </c>
      <c r="AE487" s="2">
        <v>45699</v>
      </c>
      <c r="AF487">
        <v>8</v>
      </c>
      <c r="AG487" s="17">
        <v>0.33333333333333298</v>
      </c>
      <c r="AH487" s="2">
        <v>45701</v>
      </c>
    </row>
    <row r="488" spans="1:34" hidden="1" x14ac:dyDescent="0.25">
      <c r="A488" s="12">
        <v>8246</v>
      </c>
      <c r="B488" s="12">
        <v>276</v>
      </c>
      <c r="C488" t="s">
        <v>258</v>
      </c>
      <c r="D488">
        <v>247888</v>
      </c>
      <c r="E488" s="8" t="s">
        <v>184</v>
      </c>
      <c r="F488" s="12">
        <v>30</v>
      </c>
      <c r="G488" s="8" t="s">
        <v>41</v>
      </c>
      <c r="H488" s="12">
        <v>3198</v>
      </c>
      <c r="I488" t="s">
        <v>43</v>
      </c>
      <c r="K488" t="s">
        <v>63</v>
      </c>
      <c r="N488" s="12"/>
      <c r="O488" s="8"/>
      <c r="P488">
        <v>1</v>
      </c>
      <c r="Q488" s="8">
        <v>1</v>
      </c>
      <c r="R488" s="12">
        <v>1</v>
      </c>
      <c r="S488" s="8">
        <v>1</v>
      </c>
      <c r="T488" s="12"/>
      <c r="U488" s="8"/>
      <c r="V488" s="2">
        <v>45658</v>
      </c>
      <c r="W488" s="2">
        <v>1</v>
      </c>
      <c r="X488" s="2">
        <v>45961</v>
      </c>
      <c r="Y488" s="2">
        <v>45960</v>
      </c>
      <c r="Z488" s="2"/>
      <c r="AA488" t="s">
        <v>259</v>
      </c>
      <c r="AB488">
        <v>8246</v>
      </c>
      <c r="AC488">
        <v>69993</v>
      </c>
      <c r="AD488" t="s">
        <v>735</v>
      </c>
      <c r="AE488" s="2">
        <v>45699</v>
      </c>
      <c r="AF488">
        <v>9</v>
      </c>
      <c r="AG488" s="17">
        <v>0.375</v>
      </c>
      <c r="AH488" s="2">
        <v>45701</v>
      </c>
    </row>
    <row r="489" spans="1:34" hidden="1" x14ac:dyDescent="0.25">
      <c r="A489" s="12">
        <v>8246</v>
      </c>
      <c r="B489" s="12">
        <v>276</v>
      </c>
      <c r="C489" t="s">
        <v>258</v>
      </c>
      <c r="D489">
        <v>247888</v>
      </c>
      <c r="E489" s="8" t="s">
        <v>184</v>
      </c>
      <c r="F489" s="12">
        <v>30</v>
      </c>
      <c r="G489" s="8" t="s">
        <v>41</v>
      </c>
      <c r="H489" s="12">
        <v>3198</v>
      </c>
      <c r="I489" t="s">
        <v>43</v>
      </c>
      <c r="K489" t="s">
        <v>63</v>
      </c>
      <c r="N489" s="12"/>
      <c r="O489" s="8"/>
      <c r="P489">
        <v>1</v>
      </c>
      <c r="Q489" s="8">
        <v>1</v>
      </c>
      <c r="R489" s="12">
        <v>1</v>
      </c>
      <c r="S489" s="8">
        <v>1</v>
      </c>
      <c r="T489" s="12"/>
      <c r="U489" s="8"/>
      <c r="V489" s="2">
        <v>45658</v>
      </c>
      <c r="W489" s="2">
        <v>1</v>
      </c>
      <c r="X489" s="2">
        <v>45961</v>
      </c>
      <c r="Y489" s="2">
        <v>45960</v>
      </c>
      <c r="Z489" s="2"/>
      <c r="AA489" t="s">
        <v>259</v>
      </c>
      <c r="AB489">
        <v>8246</v>
      </c>
      <c r="AC489">
        <v>70001</v>
      </c>
      <c r="AD489" t="s">
        <v>736</v>
      </c>
      <c r="AE489" s="2">
        <v>45698</v>
      </c>
      <c r="AF489">
        <v>8</v>
      </c>
      <c r="AG489" s="17">
        <v>0.33333333333333298</v>
      </c>
      <c r="AH489" s="2">
        <v>45701</v>
      </c>
    </row>
    <row r="490" spans="1:34" hidden="1" x14ac:dyDescent="0.25">
      <c r="A490" s="12">
        <v>8246</v>
      </c>
      <c r="B490" s="12">
        <v>276</v>
      </c>
      <c r="C490" t="s">
        <v>258</v>
      </c>
      <c r="D490">
        <v>247888</v>
      </c>
      <c r="E490" s="8" t="s">
        <v>184</v>
      </c>
      <c r="F490" s="12">
        <v>30</v>
      </c>
      <c r="G490" s="8" t="s">
        <v>41</v>
      </c>
      <c r="H490" s="12">
        <v>3198</v>
      </c>
      <c r="I490" t="s">
        <v>43</v>
      </c>
      <c r="K490" t="s">
        <v>63</v>
      </c>
      <c r="N490" s="12"/>
      <c r="O490" s="8"/>
      <c r="P490">
        <v>1</v>
      </c>
      <c r="Q490" s="8">
        <v>1</v>
      </c>
      <c r="R490" s="12">
        <v>1</v>
      </c>
      <c r="S490" s="8">
        <v>1</v>
      </c>
      <c r="T490" s="12"/>
      <c r="U490" s="8"/>
      <c r="V490" s="2">
        <v>45658</v>
      </c>
      <c r="W490" s="2">
        <v>1</v>
      </c>
      <c r="X490" s="2">
        <v>45961</v>
      </c>
      <c r="Y490" s="2">
        <v>45960</v>
      </c>
      <c r="Z490" s="2"/>
      <c r="AA490" t="s">
        <v>259</v>
      </c>
      <c r="AB490">
        <v>8246</v>
      </c>
      <c r="AC490">
        <v>69574</v>
      </c>
      <c r="AD490" t="s">
        <v>737</v>
      </c>
      <c r="AE490" s="2">
        <v>45698</v>
      </c>
      <c r="AF490">
        <v>9</v>
      </c>
      <c r="AG490" s="17">
        <v>0.375</v>
      </c>
      <c r="AH490" s="2">
        <v>45699</v>
      </c>
    </row>
    <row r="491" spans="1:34" hidden="1" x14ac:dyDescent="0.25">
      <c r="A491" s="12">
        <v>8246</v>
      </c>
      <c r="B491" s="12">
        <v>276</v>
      </c>
      <c r="C491" t="s">
        <v>258</v>
      </c>
      <c r="D491">
        <v>247888</v>
      </c>
      <c r="E491" s="8" t="s">
        <v>184</v>
      </c>
      <c r="F491" s="12">
        <v>30</v>
      </c>
      <c r="G491" s="8" t="s">
        <v>41</v>
      </c>
      <c r="H491" s="12">
        <v>3198</v>
      </c>
      <c r="I491" t="s">
        <v>43</v>
      </c>
      <c r="K491" t="s">
        <v>63</v>
      </c>
      <c r="N491" s="12"/>
      <c r="O491" s="8"/>
      <c r="P491">
        <v>1</v>
      </c>
      <c r="Q491" s="8">
        <v>1</v>
      </c>
      <c r="R491" s="12">
        <v>1</v>
      </c>
      <c r="S491" s="8">
        <v>1</v>
      </c>
      <c r="T491" s="12"/>
      <c r="U491" s="8"/>
      <c r="V491" s="2">
        <v>45658</v>
      </c>
      <c r="W491" s="2">
        <v>1</v>
      </c>
      <c r="X491" s="2">
        <v>45961</v>
      </c>
      <c r="Y491" s="2">
        <v>45960</v>
      </c>
      <c r="Z491" s="2"/>
      <c r="AA491" t="s">
        <v>259</v>
      </c>
      <c r="AB491">
        <v>8246</v>
      </c>
      <c r="AC491">
        <v>68903</v>
      </c>
      <c r="AD491" t="s">
        <v>345</v>
      </c>
      <c r="AE491" s="2">
        <v>45695</v>
      </c>
      <c r="AF491">
        <v>0</v>
      </c>
      <c r="AG491" s="17">
        <v>0</v>
      </c>
      <c r="AH491" s="2">
        <v>45695</v>
      </c>
    </row>
    <row r="492" spans="1:34" hidden="1" x14ac:dyDescent="0.25">
      <c r="A492" s="12">
        <v>8246</v>
      </c>
      <c r="B492" s="12">
        <v>276</v>
      </c>
      <c r="C492" t="s">
        <v>258</v>
      </c>
      <c r="D492">
        <v>247888</v>
      </c>
      <c r="E492" s="8" t="s">
        <v>184</v>
      </c>
      <c r="F492" s="12">
        <v>30</v>
      </c>
      <c r="G492" s="8" t="s">
        <v>41</v>
      </c>
      <c r="H492" s="12">
        <v>3198</v>
      </c>
      <c r="I492" t="s">
        <v>43</v>
      </c>
      <c r="K492" t="s">
        <v>63</v>
      </c>
      <c r="N492" s="12"/>
      <c r="O492" s="8"/>
      <c r="P492">
        <v>1</v>
      </c>
      <c r="Q492" s="8">
        <v>1</v>
      </c>
      <c r="R492" s="12">
        <v>1</v>
      </c>
      <c r="S492" s="8">
        <v>1</v>
      </c>
      <c r="T492" s="12"/>
      <c r="U492" s="8"/>
      <c r="V492" s="2">
        <v>45658</v>
      </c>
      <c r="W492" s="2">
        <v>1</v>
      </c>
      <c r="X492" s="2">
        <v>45961</v>
      </c>
      <c r="Y492" s="2">
        <v>45960</v>
      </c>
      <c r="Z492" s="2"/>
      <c r="AA492" t="s">
        <v>259</v>
      </c>
      <c r="AB492">
        <v>8246</v>
      </c>
      <c r="AC492">
        <v>68885</v>
      </c>
      <c r="AD492" t="s">
        <v>738</v>
      </c>
      <c r="AE492" s="2">
        <v>45695</v>
      </c>
      <c r="AF492">
        <v>9</v>
      </c>
      <c r="AG492" s="17">
        <v>0.375</v>
      </c>
      <c r="AH492" s="2">
        <v>45695</v>
      </c>
    </row>
    <row r="493" spans="1:34" hidden="1" x14ac:dyDescent="0.25">
      <c r="A493" s="12">
        <v>8246</v>
      </c>
      <c r="B493" s="12">
        <v>276</v>
      </c>
      <c r="C493" t="s">
        <v>258</v>
      </c>
      <c r="D493">
        <v>247888</v>
      </c>
      <c r="E493" s="8" t="s">
        <v>184</v>
      </c>
      <c r="F493" s="12">
        <v>30</v>
      </c>
      <c r="G493" s="8" t="s">
        <v>41</v>
      </c>
      <c r="H493" s="12">
        <v>3198</v>
      </c>
      <c r="I493" t="s">
        <v>43</v>
      </c>
      <c r="K493" t="s">
        <v>63</v>
      </c>
      <c r="N493" s="12"/>
      <c r="O493" s="8"/>
      <c r="P493">
        <v>1</v>
      </c>
      <c r="Q493" s="8">
        <v>1</v>
      </c>
      <c r="R493" s="12">
        <v>1</v>
      </c>
      <c r="S493" s="8">
        <v>1</v>
      </c>
      <c r="T493" s="12"/>
      <c r="U493" s="8"/>
      <c r="V493" s="2">
        <v>45658</v>
      </c>
      <c r="W493" s="2">
        <v>1</v>
      </c>
      <c r="X493" s="2">
        <v>45961</v>
      </c>
      <c r="Y493" s="2">
        <v>45960</v>
      </c>
      <c r="Z493" s="2"/>
      <c r="AA493" t="s">
        <v>259</v>
      </c>
      <c r="AB493">
        <v>8246</v>
      </c>
      <c r="AC493">
        <v>68837</v>
      </c>
      <c r="AD493" t="s">
        <v>739</v>
      </c>
      <c r="AE493" s="2">
        <v>45695</v>
      </c>
      <c r="AF493">
        <v>9</v>
      </c>
      <c r="AG493" s="17">
        <v>0.375</v>
      </c>
      <c r="AH493" s="2">
        <v>45695</v>
      </c>
    </row>
    <row r="494" spans="1:34" hidden="1" x14ac:dyDescent="0.25">
      <c r="A494" s="12">
        <v>8246</v>
      </c>
      <c r="B494" s="12">
        <v>276</v>
      </c>
      <c r="C494" t="s">
        <v>258</v>
      </c>
      <c r="D494">
        <v>247888</v>
      </c>
      <c r="E494" s="8" t="s">
        <v>184</v>
      </c>
      <c r="F494" s="12">
        <v>30</v>
      </c>
      <c r="G494" s="8" t="s">
        <v>41</v>
      </c>
      <c r="H494" s="12">
        <v>3198</v>
      </c>
      <c r="I494" t="s">
        <v>43</v>
      </c>
      <c r="K494" t="s">
        <v>63</v>
      </c>
      <c r="N494" s="12"/>
      <c r="O494" s="8"/>
      <c r="P494">
        <v>1</v>
      </c>
      <c r="Q494" s="8">
        <v>1</v>
      </c>
      <c r="R494" s="12">
        <v>1</v>
      </c>
      <c r="S494" s="8">
        <v>1</v>
      </c>
      <c r="T494" s="12"/>
      <c r="U494" s="8"/>
      <c r="V494" s="2">
        <v>45658</v>
      </c>
      <c r="W494" s="2">
        <v>1</v>
      </c>
      <c r="X494" s="2">
        <v>45961</v>
      </c>
      <c r="Y494" s="2">
        <v>45960</v>
      </c>
      <c r="Z494" s="2"/>
      <c r="AA494" t="s">
        <v>259</v>
      </c>
      <c r="AB494">
        <v>8246</v>
      </c>
      <c r="AC494">
        <v>68863</v>
      </c>
      <c r="AD494" t="s">
        <v>740</v>
      </c>
      <c r="AE494" s="2">
        <v>45694</v>
      </c>
      <c r="AF494">
        <v>9</v>
      </c>
      <c r="AG494" s="17">
        <v>0.375</v>
      </c>
      <c r="AH494" s="2">
        <v>45695</v>
      </c>
    </row>
    <row r="495" spans="1:34" hidden="1" x14ac:dyDescent="0.25">
      <c r="A495" s="12">
        <v>8246</v>
      </c>
      <c r="B495" s="12">
        <v>276</v>
      </c>
      <c r="C495" t="s">
        <v>258</v>
      </c>
      <c r="D495">
        <v>247888</v>
      </c>
      <c r="E495" s="8" t="s">
        <v>184</v>
      </c>
      <c r="F495" s="12">
        <v>30</v>
      </c>
      <c r="G495" s="8" t="s">
        <v>41</v>
      </c>
      <c r="H495" s="12">
        <v>3198</v>
      </c>
      <c r="I495" t="s">
        <v>43</v>
      </c>
      <c r="K495" t="s">
        <v>63</v>
      </c>
      <c r="N495" s="12"/>
      <c r="O495" s="8"/>
      <c r="P495">
        <v>1</v>
      </c>
      <c r="Q495" s="8">
        <v>1</v>
      </c>
      <c r="R495" s="12">
        <v>1</v>
      </c>
      <c r="S495" s="8">
        <v>1</v>
      </c>
      <c r="T495" s="12"/>
      <c r="U495" s="8"/>
      <c r="V495" s="2">
        <v>45658</v>
      </c>
      <c r="W495" s="2">
        <v>1</v>
      </c>
      <c r="X495" s="2">
        <v>45961</v>
      </c>
      <c r="Y495" s="2">
        <v>45960</v>
      </c>
      <c r="Z495" s="2"/>
      <c r="AA495" t="s">
        <v>259</v>
      </c>
      <c r="AB495">
        <v>8246</v>
      </c>
      <c r="AC495">
        <v>68836</v>
      </c>
      <c r="AD495" t="s">
        <v>741</v>
      </c>
      <c r="AE495" s="2">
        <v>45694</v>
      </c>
      <c r="AF495">
        <v>9</v>
      </c>
      <c r="AG495" s="17">
        <v>0.375</v>
      </c>
      <c r="AH495" s="2">
        <v>45695</v>
      </c>
    </row>
    <row r="496" spans="1:34" hidden="1" x14ac:dyDescent="0.25">
      <c r="A496" s="12">
        <v>8246</v>
      </c>
      <c r="B496" s="12">
        <v>276</v>
      </c>
      <c r="C496" t="s">
        <v>258</v>
      </c>
      <c r="D496">
        <v>247888</v>
      </c>
      <c r="E496" s="8" t="s">
        <v>184</v>
      </c>
      <c r="F496" s="12">
        <v>30</v>
      </c>
      <c r="G496" s="8" t="s">
        <v>41</v>
      </c>
      <c r="H496" s="12">
        <v>3198</v>
      </c>
      <c r="I496" t="s">
        <v>43</v>
      </c>
      <c r="K496" t="s">
        <v>63</v>
      </c>
      <c r="N496" s="12"/>
      <c r="O496" s="8"/>
      <c r="P496">
        <v>1</v>
      </c>
      <c r="Q496" s="8">
        <v>1</v>
      </c>
      <c r="R496" s="12">
        <v>1</v>
      </c>
      <c r="S496" s="8">
        <v>1</v>
      </c>
      <c r="T496" s="12"/>
      <c r="U496" s="8"/>
      <c r="V496" s="2">
        <v>45658</v>
      </c>
      <c r="W496" s="2">
        <v>1</v>
      </c>
      <c r="X496" s="2">
        <v>45961</v>
      </c>
      <c r="Y496" s="2">
        <v>45960</v>
      </c>
      <c r="Z496" s="2"/>
      <c r="AA496" t="s">
        <v>259</v>
      </c>
      <c r="AB496">
        <v>8246</v>
      </c>
      <c r="AC496">
        <v>68414</v>
      </c>
      <c r="AD496" t="s">
        <v>742</v>
      </c>
      <c r="AE496" s="2">
        <v>45693</v>
      </c>
      <c r="AF496">
        <v>9</v>
      </c>
      <c r="AG496" s="17">
        <v>0.375</v>
      </c>
      <c r="AH496" s="2">
        <v>45695</v>
      </c>
    </row>
    <row r="497" spans="1:34" hidden="1" x14ac:dyDescent="0.25">
      <c r="A497" s="12">
        <v>8246</v>
      </c>
      <c r="B497" s="12">
        <v>276</v>
      </c>
      <c r="C497" t="s">
        <v>258</v>
      </c>
      <c r="D497">
        <v>247888</v>
      </c>
      <c r="E497" s="8" t="s">
        <v>184</v>
      </c>
      <c r="F497" s="12">
        <v>30</v>
      </c>
      <c r="G497" s="8" t="s">
        <v>41</v>
      </c>
      <c r="H497" s="12">
        <v>3198</v>
      </c>
      <c r="I497" t="s">
        <v>43</v>
      </c>
      <c r="K497" t="s">
        <v>63</v>
      </c>
      <c r="N497" s="12"/>
      <c r="O497" s="8"/>
      <c r="P497">
        <v>1</v>
      </c>
      <c r="Q497" s="8">
        <v>1</v>
      </c>
      <c r="R497" s="12">
        <v>1</v>
      </c>
      <c r="S497" s="8">
        <v>1</v>
      </c>
      <c r="T497" s="12"/>
      <c r="U497" s="8"/>
      <c r="V497" s="2">
        <v>45658</v>
      </c>
      <c r="W497" s="2">
        <v>1</v>
      </c>
      <c r="X497" s="2">
        <v>45961</v>
      </c>
      <c r="Y497" s="2">
        <v>45960</v>
      </c>
      <c r="Z497" s="2"/>
      <c r="AA497" t="s">
        <v>259</v>
      </c>
      <c r="AB497">
        <v>8246</v>
      </c>
      <c r="AC497">
        <v>68065</v>
      </c>
      <c r="AD497" t="s">
        <v>743</v>
      </c>
      <c r="AE497" s="2">
        <v>45693</v>
      </c>
      <c r="AF497">
        <v>9</v>
      </c>
      <c r="AG497" s="17">
        <v>0.375</v>
      </c>
      <c r="AH497" s="2">
        <v>45693</v>
      </c>
    </row>
    <row r="498" spans="1:34" hidden="1" x14ac:dyDescent="0.25">
      <c r="A498" s="12">
        <v>8246</v>
      </c>
      <c r="B498" s="12">
        <v>276</v>
      </c>
      <c r="C498" t="s">
        <v>258</v>
      </c>
      <c r="D498">
        <v>247888</v>
      </c>
      <c r="E498" s="8" t="s">
        <v>184</v>
      </c>
      <c r="F498" s="12">
        <v>30</v>
      </c>
      <c r="G498" s="8" t="s">
        <v>41</v>
      </c>
      <c r="H498" s="12">
        <v>3198</v>
      </c>
      <c r="I498" t="s">
        <v>43</v>
      </c>
      <c r="K498" t="s">
        <v>63</v>
      </c>
      <c r="N498" s="12"/>
      <c r="O498" s="8"/>
      <c r="P498">
        <v>1</v>
      </c>
      <c r="Q498" s="8">
        <v>1</v>
      </c>
      <c r="R498" s="12">
        <v>1</v>
      </c>
      <c r="S498" s="8">
        <v>1</v>
      </c>
      <c r="T498" s="12"/>
      <c r="U498" s="8"/>
      <c r="V498" s="2">
        <v>45658</v>
      </c>
      <c r="W498" s="2">
        <v>1</v>
      </c>
      <c r="X498" s="2">
        <v>45961</v>
      </c>
      <c r="Y498" s="2">
        <v>45960</v>
      </c>
      <c r="Z498" s="2"/>
      <c r="AA498" t="s">
        <v>259</v>
      </c>
      <c r="AB498">
        <v>8246</v>
      </c>
      <c r="AC498">
        <v>68854</v>
      </c>
      <c r="AD498" t="s">
        <v>744</v>
      </c>
      <c r="AE498" s="2">
        <v>45692</v>
      </c>
      <c r="AF498">
        <v>9</v>
      </c>
      <c r="AG498" s="17">
        <v>0.375</v>
      </c>
      <c r="AH498" s="2">
        <v>45695</v>
      </c>
    </row>
    <row r="499" spans="1:34" hidden="1" x14ac:dyDescent="0.25">
      <c r="A499" s="12">
        <v>8246</v>
      </c>
      <c r="B499" s="12">
        <v>276</v>
      </c>
      <c r="C499" t="s">
        <v>258</v>
      </c>
      <c r="D499">
        <v>247888</v>
      </c>
      <c r="E499" s="8" t="s">
        <v>184</v>
      </c>
      <c r="F499" s="12">
        <v>30</v>
      </c>
      <c r="G499" s="8" t="s">
        <v>41</v>
      </c>
      <c r="H499" s="12">
        <v>3198</v>
      </c>
      <c r="I499" t="s">
        <v>43</v>
      </c>
      <c r="K499" t="s">
        <v>63</v>
      </c>
      <c r="N499" s="12"/>
      <c r="O499" s="8"/>
      <c r="P499">
        <v>1</v>
      </c>
      <c r="Q499" s="8">
        <v>1</v>
      </c>
      <c r="R499" s="12">
        <v>1</v>
      </c>
      <c r="S499" s="8">
        <v>1</v>
      </c>
      <c r="T499" s="12"/>
      <c r="U499" s="8"/>
      <c r="V499" s="2">
        <v>45658</v>
      </c>
      <c r="W499" s="2">
        <v>1</v>
      </c>
      <c r="X499" s="2">
        <v>45961</v>
      </c>
      <c r="Y499" s="2">
        <v>45960</v>
      </c>
      <c r="Z499" s="2"/>
      <c r="AA499" t="s">
        <v>259</v>
      </c>
      <c r="AB499">
        <v>8246</v>
      </c>
      <c r="AC499">
        <v>68829</v>
      </c>
      <c r="AD499" t="s">
        <v>745</v>
      </c>
      <c r="AE499" s="2">
        <v>45692</v>
      </c>
      <c r="AF499">
        <v>9</v>
      </c>
      <c r="AG499" s="17">
        <v>0.375</v>
      </c>
      <c r="AH499" s="2">
        <v>45695</v>
      </c>
    </row>
    <row r="500" spans="1:34" hidden="1" x14ac:dyDescent="0.25">
      <c r="A500" s="12">
        <v>8246</v>
      </c>
      <c r="B500" s="12">
        <v>276</v>
      </c>
      <c r="C500" t="s">
        <v>258</v>
      </c>
      <c r="D500">
        <v>247888</v>
      </c>
      <c r="E500" s="8" t="s">
        <v>184</v>
      </c>
      <c r="F500" s="12">
        <v>30</v>
      </c>
      <c r="G500" s="8" t="s">
        <v>41</v>
      </c>
      <c r="H500" s="12">
        <v>3198</v>
      </c>
      <c r="I500" t="s">
        <v>43</v>
      </c>
      <c r="K500" t="s">
        <v>63</v>
      </c>
      <c r="N500" s="12"/>
      <c r="O500" s="8"/>
      <c r="P500">
        <v>1</v>
      </c>
      <c r="Q500" s="8">
        <v>1</v>
      </c>
      <c r="R500" s="12">
        <v>1</v>
      </c>
      <c r="S500" s="8">
        <v>1</v>
      </c>
      <c r="T500" s="12"/>
      <c r="U500" s="8"/>
      <c r="V500" s="2">
        <v>45658</v>
      </c>
      <c r="W500" s="2">
        <v>1</v>
      </c>
      <c r="X500" s="2">
        <v>45961</v>
      </c>
      <c r="Y500" s="2">
        <v>45960</v>
      </c>
      <c r="Z500" s="2"/>
      <c r="AA500" t="s">
        <v>259</v>
      </c>
      <c r="AB500">
        <v>8246</v>
      </c>
      <c r="AC500">
        <v>68828</v>
      </c>
      <c r="AD500" t="s">
        <v>746</v>
      </c>
      <c r="AE500" s="2">
        <v>45691</v>
      </c>
      <c r="AF500">
        <v>9</v>
      </c>
      <c r="AG500" s="17">
        <v>0.375</v>
      </c>
      <c r="AH500" s="2">
        <v>45695</v>
      </c>
    </row>
    <row r="501" spans="1:34" hidden="1" x14ac:dyDescent="0.25">
      <c r="A501" s="12">
        <v>8246</v>
      </c>
      <c r="B501" s="12">
        <v>276</v>
      </c>
      <c r="C501" t="s">
        <v>258</v>
      </c>
      <c r="D501">
        <v>247888</v>
      </c>
      <c r="E501" s="8" t="s">
        <v>184</v>
      </c>
      <c r="F501" s="12">
        <v>30</v>
      </c>
      <c r="G501" s="8" t="s">
        <v>41</v>
      </c>
      <c r="H501" s="12">
        <v>3198</v>
      </c>
      <c r="I501" t="s">
        <v>43</v>
      </c>
      <c r="K501" t="s">
        <v>63</v>
      </c>
      <c r="N501" s="12"/>
      <c r="O501" s="8"/>
      <c r="P501">
        <v>1</v>
      </c>
      <c r="Q501" s="8">
        <v>1</v>
      </c>
      <c r="R501" s="12">
        <v>1</v>
      </c>
      <c r="S501" s="8">
        <v>1</v>
      </c>
      <c r="T501" s="12"/>
      <c r="U501" s="8"/>
      <c r="V501" s="2">
        <v>45658</v>
      </c>
      <c r="W501" s="2">
        <v>1</v>
      </c>
      <c r="X501" s="2">
        <v>45961</v>
      </c>
      <c r="Y501" s="2">
        <v>45960</v>
      </c>
      <c r="Z501" s="2"/>
      <c r="AA501" t="s">
        <v>259</v>
      </c>
      <c r="AB501">
        <v>8246</v>
      </c>
      <c r="AC501">
        <v>67467</v>
      </c>
      <c r="AD501" t="s">
        <v>345</v>
      </c>
      <c r="AE501" s="2">
        <v>45691</v>
      </c>
      <c r="AF501">
        <v>9</v>
      </c>
      <c r="AG501" s="17">
        <v>0.375</v>
      </c>
      <c r="AH501" s="2">
        <v>45691</v>
      </c>
    </row>
    <row r="502" spans="1:34" hidden="1" x14ac:dyDescent="0.25">
      <c r="A502" s="12">
        <v>8246</v>
      </c>
      <c r="B502" s="12">
        <v>276</v>
      </c>
      <c r="C502" t="s">
        <v>258</v>
      </c>
      <c r="D502">
        <v>247888</v>
      </c>
      <c r="E502" s="8" t="s">
        <v>184</v>
      </c>
      <c r="F502" s="12">
        <v>30</v>
      </c>
      <c r="G502" s="8" t="s">
        <v>41</v>
      </c>
      <c r="H502" s="12">
        <v>3198</v>
      </c>
      <c r="I502" t="s">
        <v>43</v>
      </c>
      <c r="K502" t="s">
        <v>63</v>
      </c>
      <c r="N502" s="12"/>
      <c r="O502" s="8"/>
      <c r="P502">
        <v>1</v>
      </c>
      <c r="Q502" s="8">
        <v>1</v>
      </c>
      <c r="R502" s="12">
        <v>1</v>
      </c>
      <c r="S502" s="8">
        <v>1</v>
      </c>
      <c r="T502" s="12"/>
      <c r="U502" s="8"/>
      <c r="V502" s="2">
        <v>45658</v>
      </c>
      <c r="W502" s="2">
        <v>1</v>
      </c>
      <c r="X502" s="2">
        <v>45961</v>
      </c>
      <c r="Y502" s="2">
        <v>45960</v>
      </c>
      <c r="Z502" s="2"/>
      <c r="AA502" t="s">
        <v>259</v>
      </c>
      <c r="AB502">
        <v>8246</v>
      </c>
      <c r="AC502">
        <v>68826</v>
      </c>
      <c r="AD502" t="s">
        <v>747</v>
      </c>
      <c r="AE502" s="2">
        <v>45688</v>
      </c>
      <c r="AF502">
        <v>9</v>
      </c>
      <c r="AG502" s="17">
        <v>0.375</v>
      </c>
      <c r="AH502" s="2">
        <v>45695</v>
      </c>
    </row>
    <row r="503" spans="1:34" hidden="1" x14ac:dyDescent="0.25">
      <c r="A503" s="12">
        <v>8246</v>
      </c>
      <c r="B503" s="12">
        <v>276</v>
      </c>
      <c r="C503" t="s">
        <v>258</v>
      </c>
      <c r="D503">
        <v>247888</v>
      </c>
      <c r="E503" s="8" t="s">
        <v>184</v>
      </c>
      <c r="F503" s="12">
        <v>30</v>
      </c>
      <c r="G503" s="8" t="s">
        <v>41</v>
      </c>
      <c r="H503" s="12">
        <v>3198</v>
      </c>
      <c r="I503" t="s">
        <v>43</v>
      </c>
      <c r="K503" t="s">
        <v>63</v>
      </c>
      <c r="N503" s="12"/>
      <c r="O503" s="8"/>
      <c r="P503">
        <v>1</v>
      </c>
      <c r="Q503" s="8">
        <v>1</v>
      </c>
      <c r="R503" s="12">
        <v>1</v>
      </c>
      <c r="S503" s="8">
        <v>1</v>
      </c>
      <c r="T503" s="12"/>
      <c r="U503" s="8"/>
      <c r="V503" s="2">
        <v>45658</v>
      </c>
      <c r="W503" s="2">
        <v>1</v>
      </c>
      <c r="X503" s="2">
        <v>45961</v>
      </c>
      <c r="Y503" s="2">
        <v>45960</v>
      </c>
      <c r="Z503" s="2"/>
      <c r="AA503" t="s">
        <v>259</v>
      </c>
      <c r="AB503">
        <v>8246</v>
      </c>
      <c r="AC503">
        <v>67468</v>
      </c>
      <c r="AD503" t="s">
        <v>345</v>
      </c>
      <c r="AE503" s="2">
        <v>45688</v>
      </c>
      <c r="AF503">
        <v>9</v>
      </c>
      <c r="AG503" s="17">
        <v>0.375</v>
      </c>
      <c r="AH503" s="2">
        <v>45691</v>
      </c>
    </row>
    <row r="504" spans="1:34" hidden="1" x14ac:dyDescent="0.25">
      <c r="A504" s="12">
        <v>8246</v>
      </c>
      <c r="B504" s="12">
        <v>276</v>
      </c>
      <c r="C504" t="s">
        <v>258</v>
      </c>
      <c r="D504">
        <v>247888</v>
      </c>
      <c r="E504" s="8" t="s">
        <v>184</v>
      </c>
      <c r="F504" s="12">
        <v>30</v>
      </c>
      <c r="G504" s="8" t="s">
        <v>41</v>
      </c>
      <c r="H504" s="12">
        <v>3198</v>
      </c>
      <c r="I504" t="s">
        <v>43</v>
      </c>
      <c r="K504" t="s">
        <v>63</v>
      </c>
      <c r="N504" s="12"/>
      <c r="O504" s="8"/>
      <c r="P504">
        <v>1</v>
      </c>
      <c r="Q504" s="8">
        <v>1</v>
      </c>
      <c r="R504" s="12">
        <v>1</v>
      </c>
      <c r="S504" s="8">
        <v>1</v>
      </c>
      <c r="T504" s="12"/>
      <c r="U504" s="8"/>
      <c r="V504" s="2">
        <v>45658</v>
      </c>
      <c r="W504" s="2">
        <v>1</v>
      </c>
      <c r="X504" s="2">
        <v>45961</v>
      </c>
      <c r="Y504" s="2">
        <v>45960</v>
      </c>
      <c r="Z504" s="2"/>
      <c r="AA504" t="s">
        <v>259</v>
      </c>
      <c r="AB504">
        <v>8246</v>
      </c>
      <c r="AC504">
        <v>68818</v>
      </c>
      <c r="AD504" t="s">
        <v>748</v>
      </c>
      <c r="AE504" s="2">
        <v>45687</v>
      </c>
      <c r="AF504">
        <v>9</v>
      </c>
      <c r="AG504" s="17">
        <v>0.375</v>
      </c>
      <c r="AH504" s="2">
        <v>45695</v>
      </c>
    </row>
    <row r="505" spans="1:34" hidden="1" x14ac:dyDescent="0.25">
      <c r="A505" s="12">
        <v>8246</v>
      </c>
      <c r="B505" s="12">
        <v>276</v>
      </c>
      <c r="C505" t="s">
        <v>258</v>
      </c>
      <c r="D505">
        <v>247888</v>
      </c>
      <c r="E505" s="8" t="s">
        <v>184</v>
      </c>
      <c r="F505" s="12">
        <v>30</v>
      </c>
      <c r="G505" s="8" t="s">
        <v>41</v>
      </c>
      <c r="H505" s="12">
        <v>3198</v>
      </c>
      <c r="I505" t="s">
        <v>43</v>
      </c>
      <c r="K505" t="s">
        <v>63</v>
      </c>
      <c r="N505" s="12"/>
      <c r="O505" s="8"/>
      <c r="P505">
        <v>1</v>
      </c>
      <c r="Q505" s="8">
        <v>1</v>
      </c>
      <c r="R505" s="12">
        <v>1</v>
      </c>
      <c r="S505" s="8">
        <v>1</v>
      </c>
      <c r="T505" s="12"/>
      <c r="U505" s="8"/>
      <c r="V505" s="2">
        <v>45658</v>
      </c>
      <c r="W505" s="2">
        <v>1</v>
      </c>
      <c r="X505" s="2">
        <v>45961</v>
      </c>
      <c r="Y505" s="2">
        <v>45960</v>
      </c>
      <c r="Z505" s="2"/>
      <c r="AA505" t="s">
        <v>259</v>
      </c>
      <c r="AB505">
        <v>8246</v>
      </c>
      <c r="AC505">
        <v>67469</v>
      </c>
      <c r="AD505" t="s">
        <v>345</v>
      </c>
      <c r="AE505" s="2">
        <v>45687</v>
      </c>
      <c r="AF505">
        <v>9</v>
      </c>
      <c r="AG505" s="17">
        <v>0.375</v>
      </c>
      <c r="AH505" s="2">
        <v>45691</v>
      </c>
    </row>
    <row r="506" spans="1:34" hidden="1" x14ac:dyDescent="0.25">
      <c r="A506" s="12">
        <v>8246</v>
      </c>
      <c r="B506" s="12">
        <v>276</v>
      </c>
      <c r="C506" t="s">
        <v>258</v>
      </c>
      <c r="D506">
        <v>247888</v>
      </c>
      <c r="E506" s="8" t="s">
        <v>184</v>
      </c>
      <c r="F506" s="12">
        <v>30</v>
      </c>
      <c r="G506" s="8" t="s">
        <v>41</v>
      </c>
      <c r="H506" s="12">
        <v>3198</v>
      </c>
      <c r="I506" t="s">
        <v>43</v>
      </c>
      <c r="K506" t="s">
        <v>63</v>
      </c>
      <c r="N506" s="12"/>
      <c r="O506" s="8"/>
      <c r="P506">
        <v>1</v>
      </c>
      <c r="Q506" s="8">
        <v>1</v>
      </c>
      <c r="R506" s="12">
        <v>1</v>
      </c>
      <c r="S506" s="8">
        <v>1</v>
      </c>
      <c r="T506" s="12"/>
      <c r="U506" s="8"/>
      <c r="V506" s="2">
        <v>45658</v>
      </c>
      <c r="W506" s="2">
        <v>1</v>
      </c>
      <c r="X506" s="2">
        <v>45961</v>
      </c>
      <c r="Y506" s="2">
        <v>45960</v>
      </c>
      <c r="Z506" s="2"/>
      <c r="AA506" t="s">
        <v>259</v>
      </c>
      <c r="AB506">
        <v>8246</v>
      </c>
      <c r="AC506">
        <v>68817</v>
      </c>
      <c r="AD506" t="s">
        <v>749</v>
      </c>
      <c r="AE506" s="2">
        <v>45686</v>
      </c>
      <c r="AF506">
        <v>9</v>
      </c>
      <c r="AG506" s="17">
        <v>0.375</v>
      </c>
      <c r="AH506" s="2">
        <v>45695</v>
      </c>
    </row>
    <row r="507" spans="1:34" hidden="1" x14ac:dyDescent="0.25">
      <c r="A507" s="12">
        <v>8246</v>
      </c>
      <c r="B507" s="12">
        <v>276</v>
      </c>
      <c r="C507" t="s">
        <v>258</v>
      </c>
      <c r="D507">
        <v>247888</v>
      </c>
      <c r="E507" s="8" t="s">
        <v>184</v>
      </c>
      <c r="F507" s="12">
        <v>30</v>
      </c>
      <c r="G507" s="8" t="s">
        <v>41</v>
      </c>
      <c r="H507" s="12">
        <v>3198</v>
      </c>
      <c r="I507" t="s">
        <v>43</v>
      </c>
      <c r="K507" t="s">
        <v>63</v>
      </c>
      <c r="N507" s="12"/>
      <c r="O507" s="8"/>
      <c r="P507">
        <v>1</v>
      </c>
      <c r="Q507" s="8">
        <v>1</v>
      </c>
      <c r="R507" s="12">
        <v>1</v>
      </c>
      <c r="S507" s="8">
        <v>1</v>
      </c>
      <c r="T507" s="12"/>
      <c r="U507" s="8"/>
      <c r="V507" s="2">
        <v>45658</v>
      </c>
      <c r="W507" s="2">
        <v>1</v>
      </c>
      <c r="X507" s="2">
        <v>45961</v>
      </c>
      <c r="Y507" s="2">
        <v>45960</v>
      </c>
      <c r="Z507" s="2"/>
      <c r="AA507" t="s">
        <v>259</v>
      </c>
      <c r="AB507">
        <v>8246</v>
      </c>
      <c r="AC507">
        <v>67470</v>
      </c>
      <c r="AD507" t="s">
        <v>345</v>
      </c>
      <c r="AE507" s="2">
        <v>45686</v>
      </c>
      <c r="AF507">
        <v>9</v>
      </c>
      <c r="AG507" s="17">
        <v>0.375</v>
      </c>
      <c r="AH507" s="2">
        <v>45691</v>
      </c>
    </row>
    <row r="508" spans="1:34" hidden="1" x14ac:dyDescent="0.25">
      <c r="A508" s="12">
        <v>8246</v>
      </c>
      <c r="B508" s="12">
        <v>276</v>
      </c>
      <c r="C508" t="s">
        <v>258</v>
      </c>
      <c r="D508">
        <v>247888</v>
      </c>
      <c r="E508" s="8" t="s">
        <v>184</v>
      </c>
      <c r="F508" s="12">
        <v>30</v>
      </c>
      <c r="G508" s="8" t="s">
        <v>41</v>
      </c>
      <c r="H508" s="12">
        <v>3198</v>
      </c>
      <c r="I508" t="s">
        <v>43</v>
      </c>
      <c r="K508" t="s">
        <v>63</v>
      </c>
      <c r="N508" s="12"/>
      <c r="O508" s="8"/>
      <c r="P508">
        <v>1</v>
      </c>
      <c r="Q508" s="8">
        <v>1</v>
      </c>
      <c r="R508" s="12">
        <v>1</v>
      </c>
      <c r="S508" s="8">
        <v>1</v>
      </c>
      <c r="T508" s="12"/>
      <c r="U508" s="8"/>
      <c r="V508" s="2">
        <v>45658</v>
      </c>
      <c r="W508" s="2">
        <v>1</v>
      </c>
      <c r="X508" s="2">
        <v>45961</v>
      </c>
      <c r="Y508" s="2">
        <v>45960</v>
      </c>
      <c r="Z508" s="2"/>
      <c r="AA508" t="s">
        <v>259</v>
      </c>
      <c r="AB508">
        <v>8246</v>
      </c>
      <c r="AC508">
        <v>68816</v>
      </c>
      <c r="AD508" t="s">
        <v>747</v>
      </c>
      <c r="AE508" s="2">
        <v>45685</v>
      </c>
      <c r="AF508">
        <v>9</v>
      </c>
      <c r="AG508" s="17">
        <v>0.375</v>
      </c>
      <c r="AH508" s="2">
        <v>45695</v>
      </c>
    </row>
    <row r="509" spans="1:34" hidden="1" x14ac:dyDescent="0.25">
      <c r="A509" s="12">
        <v>8246</v>
      </c>
      <c r="B509" s="12">
        <v>276</v>
      </c>
      <c r="C509" t="s">
        <v>258</v>
      </c>
      <c r="D509">
        <v>247888</v>
      </c>
      <c r="E509" s="8" t="s">
        <v>184</v>
      </c>
      <c r="F509" s="12">
        <v>30</v>
      </c>
      <c r="G509" s="8" t="s">
        <v>41</v>
      </c>
      <c r="H509" s="12">
        <v>3198</v>
      </c>
      <c r="I509" t="s">
        <v>43</v>
      </c>
      <c r="K509" t="s">
        <v>63</v>
      </c>
      <c r="N509" s="12"/>
      <c r="O509" s="8"/>
      <c r="P509">
        <v>1</v>
      </c>
      <c r="Q509" s="8">
        <v>1</v>
      </c>
      <c r="R509" s="12">
        <v>1</v>
      </c>
      <c r="S509" s="8">
        <v>1</v>
      </c>
      <c r="T509" s="12"/>
      <c r="U509" s="8"/>
      <c r="V509" s="2">
        <v>45658</v>
      </c>
      <c r="W509" s="2">
        <v>1</v>
      </c>
      <c r="X509" s="2">
        <v>45961</v>
      </c>
      <c r="Y509" s="2">
        <v>45960</v>
      </c>
      <c r="Z509" s="2"/>
      <c r="AA509" t="s">
        <v>259</v>
      </c>
      <c r="AB509">
        <v>8246</v>
      </c>
      <c r="AC509">
        <v>65791</v>
      </c>
      <c r="AD509" t="s">
        <v>750</v>
      </c>
      <c r="AE509" s="2">
        <v>45685</v>
      </c>
      <c r="AF509">
        <v>8</v>
      </c>
      <c r="AG509" s="17">
        <v>0.33333333333333298</v>
      </c>
      <c r="AH509" s="2">
        <v>45685</v>
      </c>
    </row>
    <row r="510" spans="1:34" hidden="1" x14ac:dyDescent="0.25">
      <c r="A510" s="12">
        <v>8250</v>
      </c>
      <c r="B510" s="12">
        <v>279</v>
      </c>
      <c r="C510" t="s">
        <v>238</v>
      </c>
      <c r="E510" s="8"/>
      <c r="F510" s="12">
        <v>21</v>
      </c>
      <c r="G510" s="8" t="s">
        <v>44</v>
      </c>
      <c r="H510" s="12">
        <v>3198</v>
      </c>
      <c r="I510" t="s">
        <v>43</v>
      </c>
      <c r="J510" t="s">
        <v>62</v>
      </c>
      <c r="K510" t="s">
        <v>63</v>
      </c>
      <c r="N510" s="12"/>
      <c r="O510" s="8"/>
      <c r="P510">
        <v>1</v>
      </c>
      <c r="Q510" s="8">
        <v>1</v>
      </c>
      <c r="R510" s="12">
        <v>3</v>
      </c>
      <c r="S510" s="8">
        <v>3</v>
      </c>
      <c r="T510" s="12"/>
      <c r="U510" s="8"/>
      <c r="V510" s="2">
        <v>45658</v>
      </c>
      <c r="W510" s="2">
        <v>1</v>
      </c>
      <c r="X510" s="2">
        <v>45716</v>
      </c>
      <c r="Y510" s="2">
        <v>45716</v>
      </c>
      <c r="Z510" s="2"/>
      <c r="AA510" t="s">
        <v>239</v>
      </c>
      <c r="AB510">
        <v>8250</v>
      </c>
      <c r="AC510">
        <v>73390</v>
      </c>
      <c r="AD510" t="s">
        <v>429</v>
      </c>
      <c r="AE510" s="2">
        <v>45713</v>
      </c>
      <c r="AF510">
        <v>4</v>
      </c>
      <c r="AG510" s="17">
        <v>0.16666666666666599</v>
      </c>
      <c r="AH510" s="2">
        <v>45713</v>
      </c>
    </row>
    <row r="511" spans="1:34" hidden="1" x14ac:dyDescent="0.25">
      <c r="A511" s="12">
        <v>8250</v>
      </c>
      <c r="B511" s="12">
        <v>279</v>
      </c>
      <c r="C511" t="s">
        <v>238</v>
      </c>
      <c r="E511" s="8"/>
      <c r="F511" s="12">
        <v>21</v>
      </c>
      <c r="G511" s="8" t="s">
        <v>44</v>
      </c>
      <c r="H511" s="12">
        <v>3198</v>
      </c>
      <c r="I511" t="s">
        <v>43</v>
      </c>
      <c r="K511" t="s">
        <v>63</v>
      </c>
      <c r="N511" s="12"/>
      <c r="O511" s="8"/>
      <c r="P511">
        <v>1</v>
      </c>
      <c r="Q511" s="8">
        <v>1</v>
      </c>
      <c r="R511" s="12">
        <v>3</v>
      </c>
      <c r="S511" s="8">
        <v>3</v>
      </c>
      <c r="T511" s="12"/>
      <c r="U511" s="8"/>
      <c r="V511" s="2">
        <v>45658</v>
      </c>
      <c r="W511" s="2">
        <v>1</v>
      </c>
      <c r="X511" s="2">
        <v>45716</v>
      </c>
      <c r="Y511" s="2">
        <v>45716</v>
      </c>
      <c r="Z511" s="2"/>
      <c r="AA511" t="s">
        <v>239</v>
      </c>
      <c r="AB511">
        <v>8250</v>
      </c>
      <c r="AC511">
        <v>72376</v>
      </c>
      <c r="AD511" t="s">
        <v>751</v>
      </c>
      <c r="AE511" s="2">
        <v>45708</v>
      </c>
      <c r="AF511">
        <v>4</v>
      </c>
      <c r="AG511" s="17">
        <v>0.16666666666666599</v>
      </c>
      <c r="AH511" s="2">
        <v>45709</v>
      </c>
    </row>
    <row r="512" spans="1:34" hidden="1" x14ac:dyDescent="0.25">
      <c r="A512" s="12">
        <v>8298</v>
      </c>
      <c r="B512" s="12">
        <v>295</v>
      </c>
      <c r="C512" t="s">
        <v>99</v>
      </c>
      <c r="D512">
        <v>293171</v>
      </c>
      <c r="E512" s="8" t="s">
        <v>100</v>
      </c>
      <c r="F512" s="12">
        <v>21</v>
      </c>
      <c r="G512" s="8" t="s">
        <v>44</v>
      </c>
      <c r="H512" s="12">
        <v>195</v>
      </c>
      <c r="I512" t="s">
        <v>346</v>
      </c>
      <c r="J512" t="s">
        <v>62</v>
      </c>
      <c r="K512" t="s">
        <v>101</v>
      </c>
      <c r="N512" s="12"/>
      <c r="O512" s="8"/>
      <c r="P512">
        <v>1</v>
      </c>
      <c r="Q512" s="8">
        <v>1</v>
      </c>
      <c r="R512" s="12">
        <v>1</v>
      </c>
      <c r="S512" s="8">
        <v>1</v>
      </c>
      <c r="T512" s="12"/>
      <c r="U512" s="8"/>
      <c r="V512" s="2">
        <v>45658</v>
      </c>
      <c r="W512" s="2">
        <v>1</v>
      </c>
      <c r="X512" s="2">
        <v>45702</v>
      </c>
      <c r="Y512" s="2">
        <v>45702</v>
      </c>
      <c r="Z512" s="2">
        <v>45700</v>
      </c>
      <c r="AA512" t="s">
        <v>102</v>
      </c>
      <c r="AB512">
        <v>8298</v>
      </c>
      <c r="AC512">
        <v>68082</v>
      </c>
      <c r="AD512" t="s">
        <v>430</v>
      </c>
      <c r="AE512" s="2">
        <v>45693</v>
      </c>
      <c r="AF512">
        <v>1.5</v>
      </c>
      <c r="AG512" s="17">
        <v>6.25E-2</v>
      </c>
      <c r="AH512" s="2">
        <v>45693</v>
      </c>
    </row>
    <row r="513" spans="1:34" hidden="1" x14ac:dyDescent="0.25">
      <c r="A513" s="12">
        <v>8258</v>
      </c>
      <c r="B513" s="12">
        <v>307</v>
      </c>
      <c r="C513" t="s">
        <v>264</v>
      </c>
      <c r="D513">
        <v>247722</v>
      </c>
      <c r="E513" s="8" t="s">
        <v>134</v>
      </c>
      <c r="F513" s="12">
        <v>21</v>
      </c>
      <c r="G513" s="8" t="s">
        <v>44</v>
      </c>
      <c r="H513" s="12">
        <v>3202</v>
      </c>
      <c r="I513" t="s">
        <v>49</v>
      </c>
      <c r="J513" t="s">
        <v>62</v>
      </c>
      <c r="K513" t="s">
        <v>101</v>
      </c>
      <c r="N513" s="12"/>
      <c r="O513" s="8"/>
      <c r="P513">
        <v>1</v>
      </c>
      <c r="Q513" s="8">
        <v>1</v>
      </c>
      <c r="R513" s="12">
        <v>2</v>
      </c>
      <c r="S513" s="8">
        <v>2</v>
      </c>
      <c r="T513" s="12"/>
      <c r="U513" s="8"/>
      <c r="V513" s="2">
        <v>45658</v>
      </c>
      <c r="W513" s="2">
        <v>1</v>
      </c>
      <c r="X513" s="2">
        <v>45688</v>
      </c>
      <c r="Y513" s="2">
        <v>45775</v>
      </c>
      <c r="Z513" s="2"/>
      <c r="AA513" t="s">
        <v>265</v>
      </c>
      <c r="AB513">
        <v>8258</v>
      </c>
      <c r="AC513">
        <v>72918</v>
      </c>
      <c r="AD513" t="s">
        <v>431</v>
      </c>
      <c r="AE513" s="2">
        <v>45709</v>
      </c>
      <c r="AF513">
        <v>1.63333333333333</v>
      </c>
      <c r="AG513" s="17">
        <v>6.8055555555555494E-2</v>
      </c>
      <c r="AH513" s="2">
        <v>45710</v>
      </c>
    </row>
    <row r="514" spans="1:34" hidden="1" x14ac:dyDescent="0.25">
      <c r="A514" s="12">
        <v>8258</v>
      </c>
      <c r="B514" s="12">
        <v>307</v>
      </c>
      <c r="C514" t="s">
        <v>264</v>
      </c>
      <c r="D514">
        <v>247722</v>
      </c>
      <c r="E514" s="8" t="s">
        <v>134</v>
      </c>
      <c r="F514" s="12">
        <v>21</v>
      </c>
      <c r="G514" s="8" t="s">
        <v>44</v>
      </c>
      <c r="H514" s="12">
        <v>3202</v>
      </c>
      <c r="I514" t="s">
        <v>49</v>
      </c>
      <c r="K514" t="s">
        <v>101</v>
      </c>
      <c r="N514" s="12"/>
      <c r="O514" s="8"/>
      <c r="P514">
        <v>1</v>
      </c>
      <c r="Q514" s="8">
        <v>1</v>
      </c>
      <c r="R514" s="12">
        <v>2</v>
      </c>
      <c r="S514" s="8">
        <v>2</v>
      </c>
      <c r="T514" s="12"/>
      <c r="U514" s="8"/>
      <c r="V514" s="2">
        <v>45658</v>
      </c>
      <c r="W514" s="2">
        <v>1</v>
      </c>
      <c r="X514" s="2">
        <v>45688</v>
      </c>
      <c r="Y514" s="2">
        <v>45775</v>
      </c>
      <c r="Z514" s="2"/>
      <c r="AA514" t="s">
        <v>265</v>
      </c>
      <c r="AB514">
        <v>8258</v>
      </c>
      <c r="AC514">
        <v>71706</v>
      </c>
      <c r="AD514" t="s">
        <v>752</v>
      </c>
      <c r="AE514" s="2">
        <v>45705</v>
      </c>
      <c r="AF514">
        <v>1.5</v>
      </c>
      <c r="AG514" s="17">
        <v>6.25E-2</v>
      </c>
      <c r="AH514" s="2">
        <v>45707</v>
      </c>
    </row>
    <row r="515" spans="1:34" hidden="1" x14ac:dyDescent="0.25">
      <c r="A515" s="12">
        <v>8258</v>
      </c>
      <c r="B515" s="12">
        <v>307</v>
      </c>
      <c r="C515" t="s">
        <v>264</v>
      </c>
      <c r="D515">
        <v>247722</v>
      </c>
      <c r="E515" s="8" t="s">
        <v>134</v>
      </c>
      <c r="F515" s="12">
        <v>21</v>
      </c>
      <c r="G515" s="8" t="s">
        <v>44</v>
      </c>
      <c r="H515" s="12">
        <v>3202</v>
      </c>
      <c r="I515" t="s">
        <v>49</v>
      </c>
      <c r="K515" t="s">
        <v>101</v>
      </c>
      <c r="N515" s="12"/>
      <c r="O515" s="8"/>
      <c r="P515">
        <v>1</v>
      </c>
      <c r="Q515" s="8">
        <v>1</v>
      </c>
      <c r="R515" s="12">
        <v>2</v>
      </c>
      <c r="S515" s="8">
        <v>2</v>
      </c>
      <c r="T515" s="12"/>
      <c r="U515" s="8"/>
      <c r="V515" s="2">
        <v>45658</v>
      </c>
      <c r="W515" s="2">
        <v>1</v>
      </c>
      <c r="X515" s="2">
        <v>45688</v>
      </c>
      <c r="Y515" s="2">
        <v>45775</v>
      </c>
      <c r="Z515" s="2"/>
      <c r="AA515" t="s">
        <v>265</v>
      </c>
      <c r="AB515">
        <v>8258</v>
      </c>
      <c r="AC515">
        <v>71704</v>
      </c>
      <c r="AD515" t="s">
        <v>753</v>
      </c>
      <c r="AE515" s="2">
        <v>45705</v>
      </c>
      <c r="AF515">
        <v>0.5</v>
      </c>
      <c r="AG515" s="17">
        <v>2.0833333333333301E-2</v>
      </c>
      <c r="AH515" s="2">
        <v>45707</v>
      </c>
    </row>
    <row r="516" spans="1:34" hidden="1" x14ac:dyDescent="0.25">
      <c r="A516" s="12">
        <v>8258</v>
      </c>
      <c r="B516" s="12">
        <v>307</v>
      </c>
      <c r="C516" t="s">
        <v>264</v>
      </c>
      <c r="D516">
        <v>247722</v>
      </c>
      <c r="E516" s="8" t="s">
        <v>134</v>
      </c>
      <c r="F516" s="12">
        <v>21</v>
      </c>
      <c r="G516" s="8" t="s">
        <v>44</v>
      </c>
      <c r="H516" s="12">
        <v>3202</v>
      </c>
      <c r="I516" t="s">
        <v>49</v>
      </c>
      <c r="K516" t="s">
        <v>101</v>
      </c>
      <c r="N516" s="12"/>
      <c r="O516" s="8"/>
      <c r="P516">
        <v>1</v>
      </c>
      <c r="Q516" s="8">
        <v>1</v>
      </c>
      <c r="R516" s="12">
        <v>2</v>
      </c>
      <c r="S516" s="8">
        <v>2</v>
      </c>
      <c r="T516" s="12"/>
      <c r="U516" s="8"/>
      <c r="V516" s="2">
        <v>45658</v>
      </c>
      <c r="W516" s="2">
        <v>1</v>
      </c>
      <c r="X516" s="2">
        <v>45688</v>
      </c>
      <c r="Y516" s="2">
        <v>45775</v>
      </c>
      <c r="Z516" s="2"/>
      <c r="AA516" t="s">
        <v>265</v>
      </c>
      <c r="AB516">
        <v>8258</v>
      </c>
      <c r="AC516">
        <v>71693</v>
      </c>
      <c r="AD516" t="s">
        <v>754</v>
      </c>
      <c r="AE516" s="2">
        <v>45705</v>
      </c>
      <c r="AF516">
        <v>1</v>
      </c>
      <c r="AG516" s="17">
        <v>4.1666666666666602E-2</v>
      </c>
      <c r="AH516" s="2">
        <v>45707</v>
      </c>
    </row>
    <row r="517" spans="1:34" hidden="1" x14ac:dyDescent="0.25">
      <c r="A517" s="12">
        <v>8258</v>
      </c>
      <c r="B517" s="12">
        <v>307</v>
      </c>
      <c r="C517" t="s">
        <v>264</v>
      </c>
      <c r="D517">
        <v>247722</v>
      </c>
      <c r="E517" s="8" t="s">
        <v>134</v>
      </c>
      <c r="F517" s="12">
        <v>21</v>
      </c>
      <c r="G517" s="8" t="s">
        <v>44</v>
      </c>
      <c r="H517" s="12">
        <v>3202</v>
      </c>
      <c r="I517" t="s">
        <v>49</v>
      </c>
      <c r="K517" t="s">
        <v>101</v>
      </c>
      <c r="N517" s="12"/>
      <c r="O517" s="8"/>
      <c r="P517">
        <v>1</v>
      </c>
      <c r="Q517" s="8">
        <v>1</v>
      </c>
      <c r="R517" s="12">
        <v>2</v>
      </c>
      <c r="S517" s="8">
        <v>2</v>
      </c>
      <c r="T517" s="12"/>
      <c r="U517" s="8"/>
      <c r="V517" s="2">
        <v>45658</v>
      </c>
      <c r="W517" s="2">
        <v>1</v>
      </c>
      <c r="X517" s="2">
        <v>45688</v>
      </c>
      <c r="Y517" s="2">
        <v>45775</v>
      </c>
      <c r="Z517" s="2"/>
      <c r="AA517" t="s">
        <v>265</v>
      </c>
      <c r="AB517">
        <v>8258</v>
      </c>
      <c r="AC517">
        <v>70866</v>
      </c>
      <c r="AD517" t="s">
        <v>755</v>
      </c>
      <c r="AE517" s="2">
        <v>45702</v>
      </c>
      <c r="AF517">
        <v>0.5</v>
      </c>
      <c r="AG517" s="17">
        <v>2.0833333333333301E-2</v>
      </c>
      <c r="AH517" s="2">
        <v>45702</v>
      </c>
    </row>
    <row r="518" spans="1:34" hidden="1" x14ac:dyDescent="0.25">
      <c r="A518" s="12">
        <v>8258</v>
      </c>
      <c r="B518" s="12">
        <v>307</v>
      </c>
      <c r="C518" t="s">
        <v>264</v>
      </c>
      <c r="D518">
        <v>247722</v>
      </c>
      <c r="E518" s="8" t="s">
        <v>134</v>
      </c>
      <c r="F518" s="12">
        <v>21</v>
      </c>
      <c r="G518" s="8" t="s">
        <v>44</v>
      </c>
      <c r="H518" s="12">
        <v>3202</v>
      </c>
      <c r="I518" t="s">
        <v>49</v>
      </c>
      <c r="K518" t="s">
        <v>101</v>
      </c>
      <c r="N518" s="12"/>
      <c r="O518" s="8"/>
      <c r="P518">
        <v>1</v>
      </c>
      <c r="Q518" s="8">
        <v>1</v>
      </c>
      <c r="R518" s="12">
        <v>2</v>
      </c>
      <c r="S518" s="8">
        <v>2</v>
      </c>
      <c r="T518" s="12"/>
      <c r="U518" s="8"/>
      <c r="V518" s="2">
        <v>45658</v>
      </c>
      <c r="W518" s="2">
        <v>1</v>
      </c>
      <c r="X518" s="2">
        <v>45688</v>
      </c>
      <c r="Y518" s="2">
        <v>45775</v>
      </c>
      <c r="Z518" s="2"/>
      <c r="AA518" t="s">
        <v>265</v>
      </c>
      <c r="AB518">
        <v>8258</v>
      </c>
      <c r="AC518">
        <v>70790</v>
      </c>
      <c r="AD518" t="s">
        <v>756</v>
      </c>
      <c r="AE518" s="2">
        <v>45702</v>
      </c>
      <c r="AF518">
        <v>0.5</v>
      </c>
      <c r="AG518" s="17">
        <v>2.0833333333333301E-2</v>
      </c>
      <c r="AH518" s="2">
        <v>45702</v>
      </c>
    </row>
    <row r="519" spans="1:34" hidden="1" x14ac:dyDescent="0.25">
      <c r="A519" s="12">
        <v>8258</v>
      </c>
      <c r="B519" s="12">
        <v>307</v>
      </c>
      <c r="C519" t="s">
        <v>264</v>
      </c>
      <c r="D519">
        <v>247722</v>
      </c>
      <c r="E519" s="8" t="s">
        <v>134</v>
      </c>
      <c r="F519" s="12">
        <v>21</v>
      </c>
      <c r="G519" s="8" t="s">
        <v>44</v>
      </c>
      <c r="H519" s="12">
        <v>3202</v>
      </c>
      <c r="I519" t="s">
        <v>49</v>
      </c>
      <c r="K519" t="s">
        <v>101</v>
      </c>
      <c r="N519" s="12"/>
      <c r="O519" s="8"/>
      <c r="P519">
        <v>1</v>
      </c>
      <c r="Q519" s="8">
        <v>1</v>
      </c>
      <c r="R519" s="12">
        <v>2</v>
      </c>
      <c r="S519" s="8">
        <v>2</v>
      </c>
      <c r="T519" s="12"/>
      <c r="U519" s="8"/>
      <c r="V519" s="2">
        <v>45658</v>
      </c>
      <c r="W519" s="2">
        <v>1</v>
      </c>
      <c r="X519" s="2">
        <v>45688</v>
      </c>
      <c r="Y519" s="2">
        <v>45775</v>
      </c>
      <c r="Z519" s="2"/>
      <c r="AA519" t="s">
        <v>265</v>
      </c>
      <c r="AB519">
        <v>8258</v>
      </c>
      <c r="AC519">
        <v>70816</v>
      </c>
      <c r="AD519" t="s">
        <v>757</v>
      </c>
      <c r="AE519" s="2">
        <v>45701</v>
      </c>
      <c r="AF519">
        <v>1</v>
      </c>
      <c r="AG519" s="17">
        <v>4.1666666666666602E-2</v>
      </c>
      <c r="AH519" s="2">
        <v>45702</v>
      </c>
    </row>
    <row r="520" spans="1:34" hidden="1" x14ac:dyDescent="0.25">
      <c r="A520" s="12">
        <v>8258</v>
      </c>
      <c r="B520" s="12">
        <v>307</v>
      </c>
      <c r="C520" t="s">
        <v>264</v>
      </c>
      <c r="D520">
        <v>247722</v>
      </c>
      <c r="E520" s="8" t="s">
        <v>134</v>
      </c>
      <c r="F520" s="12">
        <v>21</v>
      </c>
      <c r="G520" s="8" t="s">
        <v>44</v>
      </c>
      <c r="H520" s="12">
        <v>3202</v>
      </c>
      <c r="I520" t="s">
        <v>49</v>
      </c>
      <c r="K520" t="s">
        <v>101</v>
      </c>
      <c r="N520" s="12"/>
      <c r="O520" s="8"/>
      <c r="P520">
        <v>1</v>
      </c>
      <c r="Q520" s="8">
        <v>1</v>
      </c>
      <c r="R520" s="12">
        <v>2</v>
      </c>
      <c r="S520" s="8">
        <v>2</v>
      </c>
      <c r="T520" s="12"/>
      <c r="U520" s="8"/>
      <c r="V520" s="2">
        <v>45658</v>
      </c>
      <c r="W520" s="2">
        <v>1</v>
      </c>
      <c r="X520" s="2">
        <v>45688</v>
      </c>
      <c r="Y520" s="2">
        <v>45775</v>
      </c>
      <c r="Z520" s="2"/>
      <c r="AA520" t="s">
        <v>265</v>
      </c>
      <c r="AB520">
        <v>8258</v>
      </c>
      <c r="AC520">
        <v>70789</v>
      </c>
      <c r="AD520" t="s">
        <v>758</v>
      </c>
      <c r="AE520" s="2">
        <v>45701</v>
      </c>
      <c r="AF520">
        <v>0.5</v>
      </c>
      <c r="AG520" s="17">
        <v>2.0833333333333301E-2</v>
      </c>
      <c r="AH520" s="2">
        <v>45702</v>
      </c>
    </row>
    <row r="521" spans="1:34" hidden="1" x14ac:dyDescent="0.25">
      <c r="A521" s="12">
        <v>8258</v>
      </c>
      <c r="B521" s="12">
        <v>307</v>
      </c>
      <c r="C521" t="s">
        <v>264</v>
      </c>
      <c r="D521">
        <v>247722</v>
      </c>
      <c r="E521" s="8" t="s">
        <v>134</v>
      </c>
      <c r="F521" s="12">
        <v>21</v>
      </c>
      <c r="G521" s="8" t="s">
        <v>44</v>
      </c>
      <c r="H521" s="12">
        <v>3202</v>
      </c>
      <c r="I521" t="s">
        <v>49</v>
      </c>
      <c r="K521" t="s">
        <v>101</v>
      </c>
      <c r="N521" s="12"/>
      <c r="O521" s="8"/>
      <c r="P521">
        <v>1</v>
      </c>
      <c r="Q521" s="8">
        <v>1</v>
      </c>
      <c r="R521" s="12">
        <v>2</v>
      </c>
      <c r="S521" s="8">
        <v>2</v>
      </c>
      <c r="T521" s="12"/>
      <c r="U521" s="8"/>
      <c r="V521" s="2">
        <v>45658</v>
      </c>
      <c r="W521" s="2">
        <v>1</v>
      </c>
      <c r="X521" s="2">
        <v>45688</v>
      </c>
      <c r="Y521" s="2">
        <v>45775</v>
      </c>
      <c r="Z521" s="2"/>
      <c r="AA521" t="s">
        <v>265</v>
      </c>
      <c r="AB521">
        <v>8258</v>
      </c>
      <c r="AC521">
        <v>70851</v>
      </c>
      <c r="AD521" t="s">
        <v>759</v>
      </c>
      <c r="AE521" s="2">
        <v>45698</v>
      </c>
      <c r="AF521">
        <v>1</v>
      </c>
      <c r="AG521" s="17">
        <v>4.1666666666666602E-2</v>
      </c>
      <c r="AH521" s="2">
        <v>45702</v>
      </c>
    </row>
    <row r="522" spans="1:34" hidden="1" x14ac:dyDescent="0.25">
      <c r="A522" s="12">
        <v>8258</v>
      </c>
      <c r="B522" s="12">
        <v>307</v>
      </c>
      <c r="C522" t="s">
        <v>264</v>
      </c>
      <c r="D522">
        <v>247722</v>
      </c>
      <c r="E522" s="8" t="s">
        <v>134</v>
      </c>
      <c r="F522" s="12">
        <v>21</v>
      </c>
      <c r="G522" s="8" t="s">
        <v>44</v>
      </c>
      <c r="H522" s="12">
        <v>3202</v>
      </c>
      <c r="I522" t="s">
        <v>49</v>
      </c>
      <c r="K522" t="s">
        <v>101</v>
      </c>
      <c r="N522" s="12"/>
      <c r="O522" s="8"/>
      <c r="P522">
        <v>1</v>
      </c>
      <c r="Q522" s="8">
        <v>1</v>
      </c>
      <c r="R522" s="12">
        <v>2</v>
      </c>
      <c r="S522" s="8">
        <v>2</v>
      </c>
      <c r="T522" s="12"/>
      <c r="U522" s="8"/>
      <c r="V522" s="2">
        <v>45658</v>
      </c>
      <c r="W522" s="2">
        <v>1</v>
      </c>
      <c r="X522" s="2">
        <v>45688</v>
      </c>
      <c r="Y522" s="2">
        <v>45775</v>
      </c>
      <c r="Z522" s="2"/>
      <c r="AA522" t="s">
        <v>265</v>
      </c>
      <c r="AB522">
        <v>8258</v>
      </c>
      <c r="AC522">
        <v>70849</v>
      </c>
      <c r="AD522" t="s">
        <v>760</v>
      </c>
      <c r="AE522" s="2">
        <v>45698</v>
      </c>
      <c r="AF522">
        <v>1</v>
      </c>
      <c r="AG522" s="17">
        <v>4.1666666666666602E-2</v>
      </c>
      <c r="AH522" s="2">
        <v>45702</v>
      </c>
    </row>
    <row r="523" spans="1:34" hidden="1" x14ac:dyDescent="0.25">
      <c r="A523" s="12">
        <v>8258</v>
      </c>
      <c r="B523" s="12">
        <v>307</v>
      </c>
      <c r="C523" t="s">
        <v>264</v>
      </c>
      <c r="D523">
        <v>247722</v>
      </c>
      <c r="E523" s="8" t="s">
        <v>134</v>
      </c>
      <c r="F523" s="12">
        <v>21</v>
      </c>
      <c r="G523" s="8" t="s">
        <v>44</v>
      </c>
      <c r="H523" s="12">
        <v>3202</v>
      </c>
      <c r="I523" t="s">
        <v>49</v>
      </c>
      <c r="K523" t="s">
        <v>101</v>
      </c>
      <c r="N523" s="12"/>
      <c r="O523" s="8"/>
      <c r="P523">
        <v>1</v>
      </c>
      <c r="Q523" s="8">
        <v>1</v>
      </c>
      <c r="R523" s="12">
        <v>2</v>
      </c>
      <c r="S523" s="8">
        <v>2</v>
      </c>
      <c r="T523" s="12"/>
      <c r="U523" s="8"/>
      <c r="V523" s="2">
        <v>45658</v>
      </c>
      <c r="W523" s="2">
        <v>1</v>
      </c>
      <c r="X523" s="2">
        <v>45688</v>
      </c>
      <c r="Y523" s="2">
        <v>45775</v>
      </c>
      <c r="Z523" s="2"/>
      <c r="AA523" t="s">
        <v>265</v>
      </c>
      <c r="AB523">
        <v>8258</v>
      </c>
      <c r="AC523">
        <v>70848</v>
      </c>
      <c r="AD523" t="s">
        <v>761</v>
      </c>
      <c r="AE523" s="2">
        <v>45698</v>
      </c>
      <c r="AF523">
        <v>1.3333333333333299</v>
      </c>
      <c r="AG523" s="17">
        <v>5.5555555555555497E-2</v>
      </c>
      <c r="AH523" s="2">
        <v>45702</v>
      </c>
    </row>
    <row r="524" spans="1:34" hidden="1" x14ac:dyDescent="0.25">
      <c r="A524" s="12">
        <v>8258</v>
      </c>
      <c r="B524" s="12">
        <v>307</v>
      </c>
      <c r="C524" t="s">
        <v>264</v>
      </c>
      <c r="D524">
        <v>247722</v>
      </c>
      <c r="E524" s="8" t="s">
        <v>134</v>
      </c>
      <c r="F524" s="12">
        <v>21</v>
      </c>
      <c r="G524" s="8" t="s">
        <v>44</v>
      </c>
      <c r="H524" s="12">
        <v>3202</v>
      </c>
      <c r="I524" t="s">
        <v>49</v>
      </c>
      <c r="K524" t="s">
        <v>101</v>
      </c>
      <c r="N524" s="12"/>
      <c r="O524" s="8"/>
      <c r="P524">
        <v>1</v>
      </c>
      <c r="Q524" s="8">
        <v>1</v>
      </c>
      <c r="R524" s="12">
        <v>2</v>
      </c>
      <c r="S524" s="8">
        <v>2</v>
      </c>
      <c r="T524" s="12"/>
      <c r="U524" s="8"/>
      <c r="V524" s="2">
        <v>45658</v>
      </c>
      <c r="W524" s="2">
        <v>1</v>
      </c>
      <c r="X524" s="2">
        <v>45688</v>
      </c>
      <c r="Y524" s="2">
        <v>45775</v>
      </c>
      <c r="Z524" s="2"/>
      <c r="AA524" t="s">
        <v>265</v>
      </c>
      <c r="AB524">
        <v>8258</v>
      </c>
      <c r="AC524">
        <v>70845</v>
      </c>
      <c r="AD524" t="s">
        <v>762</v>
      </c>
      <c r="AE524" s="2">
        <v>45698</v>
      </c>
      <c r="AF524">
        <v>3</v>
      </c>
      <c r="AG524" s="17">
        <v>0.125</v>
      </c>
      <c r="AH524" s="2">
        <v>45702</v>
      </c>
    </row>
    <row r="525" spans="1:34" hidden="1" x14ac:dyDescent="0.25">
      <c r="A525" s="12">
        <v>8258</v>
      </c>
      <c r="B525" s="12">
        <v>307</v>
      </c>
      <c r="C525" t="s">
        <v>264</v>
      </c>
      <c r="D525">
        <v>247722</v>
      </c>
      <c r="E525" s="8" t="s">
        <v>134</v>
      </c>
      <c r="F525" s="12">
        <v>21</v>
      </c>
      <c r="G525" s="8" t="s">
        <v>44</v>
      </c>
      <c r="H525" s="12">
        <v>3202</v>
      </c>
      <c r="I525" t="s">
        <v>49</v>
      </c>
      <c r="K525" t="s">
        <v>101</v>
      </c>
      <c r="N525" s="12"/>
      <c r="O525" s="8"/>
      <c r="P525">
        <v>1</v>
      </c>
      <c r="Q525" s="8">
        <v>1</v>
      </c>
      <c r="R525" s="12">
        <v>2</v>
      </c>
      <c r="S525" s="8">
        <v>2</v>
      </c>
      <c r="T525" s="12"/>
      <c r="U525" s="8"/>
      <c r="V525" s="2">
        <v>45658</v>
      </c>
      <c r="W525" s="2">
        <v>1</v>
      </c>
      <c r="X525" s="2">
        <v>45688</v>
      </c>
      <c r="Y525" s="2">
        <v>45775</v>
      </c>
      <c r="Z525" s="2"/>
      <c r="AA525" t="s">
        <v>265</v>
      </c>
      <c r="AB525">
        <v>8258</v>
      </c>
      <c r="AC525">
        <v>69942</v>
      </c>
      <c r="AD525" t="s">
        <v>763</v>
      </c>
      <c r="AE525" s="2">
        <v>45698</v>
      </c>
      <c r="AF525">
        <v>2.5</v>
      </c>
      <c r="AG525" s="17">
        <v>0.10416666666666601</v>
      </c>
      <c r="AH525" s="2">
        <v>45700</v>
      </c>
    </row>
    <row r="526" spans="1:34" hidden="1" x14ac:dyDescent="0.25">
      <c r="A526" s="12">
        <v>8258</v>
      </c>
      <c r="B526" s="12">
        <v>307</v>
      </c>
      <c r="C526" t="s">
        <v>264</v>
      </c>
      <c r="D526">
        <v>247722</v>
      </c>
      <c r="E526" s="8" t="s">
        <v>134</v>
      </c>
      <c r="F526" s="12">
        <v>21</v>
      </c>
      <c r="G526" s="8" t="s">
        <v>44</v>
      </c>
      <c r="H526" s="12">
        <v>3202</v>
      </c>
      <c r="I526" t="s">
        <v>49</v>
      </c>
      <c r="K526" t="s">
        <v>101</v>
      </c>
      <c r="N526" s="12"/>
      <c r="O526" s="8"/>
      <c r="P526">
        <v>1</v>
      </c>
      <c r="Q526" s="8">
        <v>1</v>
      </c>
      <c r="R526" s="12">
        <v>2</v>
      </c>
      <c r="S526" s="8">
        <v>2</v>
      </c>
      <c r="T526" s="12"/>
      <c r="U526" s="8"/>
      <c r="V526" s="2">
        <v>45658</v>
      </c>
      <c r="W526" s="2">
        <v>1</v>
      </c>
      <c r="X526" s="2">
        <v>45688</v>
      </c>
      <c r="Y526" s="2">
        <v>45775</v>
      </c>
      <c r="Z526" s="2"/>
      <c r="AA526" t="s">
        <v>265</v>
      </c>
      <c r="AB526">
        <v>8258</v>
      </c>
      <c r="AC526">
        <v>69113</v>
      </c>
      <c r="AD526" t="s">
        <v>764</v>
      </c>
      <c r="AE526" s="2">
        <v>45696</v>
      </c>
      <c r="AF526">
        <v>4</v>
      </c>
      <c r="AG526" s="17">
        <v>0.16666666666666599</v>
      </c>
      <c r="AH526" s="2">
        <v>45696</v>
      </c>
    </row>
    <row r="527" spans="1:34" hidden="1" x14ac:dyDescent="0.25">
      <c r="A527" s="12">
        <v>8258</v>
      </c>
      <c r="B527" s="12">
        <v>307</v>
      </c>
      <c r="C527" t="s">
        <v>264</v>
      </c>
      <c r="D527">
        <v>247722</v>
      </c>
      <c r="E527" s="8" t="s">
        <v>134</v>
      </c>
      <c r="F527" s="12">
        <v>21</v>
      </c>
      <c r="G527" s="8" t="s">
        <v>44</v>
      </c>
      <c r="H527" s="12">
        <v>3202</v>
      </c>
      <c r="I527" t="s">
        <v>49</v>
      </c>
      <c r="K527" t="s">
        <v>101</v>
      </c>
      <c r="N527" s="12"/>
      <c r="O527" s="8"/>
      <c r="P527">
        <v>1</v>
      </c>
      <c r="Q527" s="8">
        <v>1</v>
      </c>
      <c r="R527" s="12">
        <v>2</v>
      </c>
      <c r="S527" s="8">
        <v>2</v>
      </c>
      <c r="T527" s="12"/>
      <c r="U527" s="8"/>
      <c r="V527" s="2">
        <v>45658</v>
      </c>
      <c r="W527" s="2">
        <v>1</v>
      </c>
      <c r="X527" s="2">
        <v>45688</v>
      </c>
      <c r="Y527" s="2">
        <v>45775</v>
      </c>
      <c r="Z527" s="2"/>
      <c r="AA527" t="s">
        <v>265</v>
      </c>
      <c r="AB527">
        <v>8258</v>
      </c>
      <c r="AC527">
        <v>69103</v>
      </c>
      <c r="AD527" t="s">
        <v>765</v>
      </c>
      <c r="AE527" s="2">
        <v>45695</v>
      </c>
      <c r="AF527">
        <v>2</v>
      </c>
      <c r="AG527" s="17">
        <v>8.3333333333333301E-2</v>
      </c>
      <c r="AH527" s="2">
        <v>45696</v>
      </c>
    </row>
    <row r="528" spans="1:34" hidden="1" x14ac:dyDescent="0.25">
      <c r="A528" s="12">
        <v>8258</v>
      </c>
      <c r="B528" s="12">
        <v>307</v>
      </c>
      <c r="C528" t="s">
        <v>264</v>
      </c>
      <c r="D528">
        <v>247722</v>
      </c>
      <c r="E528" s="8" t="s">
        <v>134</v>
      </c>
      <c r="F528" s="12">
        <v>21</v>
      </c>
      <c r="G528" s="8" t="s">
        <v>44</v>
      </c>
      <c r="H528" s="12">
        <v>3202</v>
      </c>
      <c r="I528" t="s">
        <v>49</v>
      </c>
      <c r="K528" t="s">
        <v>101</v>
      </c>
      <c r="N528" s="12"/>
      <c r="O528" s="8"/>
      <c r="P528">
        <v>1</v>
      </c>
      <c r="Q528" s="8">
        <v>1</v>
      </c>
      <c r="R528" s="12">
        <v>2</v>
      </c>
      <c r="S528" s="8">
        <v>2</v>
      </c>
      <c r="T528" s="12"/>
      <c r="U528" s="8"/>
      <c r="V528" s="2">
        <v>45658</v>
      </c>
      <c r="W528" s="2">
        <v>1</v>
      </c>
      <c r="X528" s="2">
        <v>45688</v>
      </c>
      <c r="Y528" s="2">
        <v>45775</v>
      </c>
      <c r="Z528" s="2"/>
      <c r="AA528" t="s">
        <v>265</v>
      </c>
      <c r="AB528">
        <v>8258</v>
      </c>
      <c r="AC528">
        <v>69102</v>
      </c>
      <c r="AD528" t="s">
        <v>766</v>
      </c>
      <c r="AE528" s="2">
        <v>45695</v>
      </c>
      <c r="AF528">
        <v>2</v>
      </c>
      <c r="AG528" s="17">
        <v>8.3333333333333301E-2</v>
      </c>
      <c r="AH528" s="2">
        <v>45696</v>
      </c>
    </row>
    <row r="529" spans="1:34" hidden="1" x14ac:dyDescent="0.25">
      <c r="A529" s="12">
        <v>8258</v>
      </c>
      <c r="B529" s="12">
        <v>307</v>
      </c>
      <c r="C529" t="s">
        <v>264</v>
      </c>
      <c r="D529">
        <v>247722</v>
      </c>
      <c r="E529" s="8" t="s">
        <v>134</v>
      </c>
      <c r="F529" s="12">
        <v>21</v>
      </c>
      <c r="G529" s="8" t="s">
        <v>44</v>
      </c>
      <c r="H529" s="12">
        <v>3202</v>
      </c>
      <c r="I529" t="s">
        <v>49</v>
      </c>
      <c r="K529" t="s">
        <v>101</v>
      </c>
      <c r="N529" s="12"/>
      <c r="O529" s="8"/>
      <c r="P529">
        <v>1</v>
      </c>
      <c r="Q529" s="8">
        <v>1</v>
      </c>
      <c r="R529" s="12">
        <v>2</v>
      </c>
      <c r="S529" s="8">
        <v>2</v>
      </c>
      <c r="T529" s="12"/>
      <c r="U529" s="8"/>
      <c r="V529" s="2">
        <v>45658</v>
      </c>
      <c r="W529" s="2">
        <v>1</v>
      </c>
      <c r="X529" s="2">
        <v>45688</v>
      </c>
      <c r="Y529" s="2">
        <v>45775</v>
      </c>
      <c r="Z529" s="2"/>
      <c r="AA529" t="s">
        <v>265</v>
      </c>
      <c r="AB529">
        <v>8258</v>
      </c>
      <c r="AC529">
        <v>69101</v>
      </c>
      <c r="AD529" t="s">
        <v>767</v>
      </c>
      <c r="AE529" s="2">
        <v>45695</v>
      </c>
      <c r="AF529">
        <v>4</v>
      </c>
      <c r="AG529" s="17">
        <v>0.16666666666666599</v>
      </c>
      <c r="AH529" s="2">
        <v>45696</v>
      </c>
    </row>
    <row r="530" spans="1:34" hidden="1" x14ac:dyDescent="0.25">
      <c r="A530" s="12">
        <v>8258</v>
      </c>
      <c r="B530" s="12">
        <v>307</v>
      </c>
      <c r="C530" t="s">
        <v>264</v>
      </c>
      <c r="D530">
        <v>247722</v>
      </c>
      <c r="E530" s="8" t="s">
        <v>134</v>
      </c>
      <c r="F530" s="12">
        <v>21</v>
      </c>
      <c r="G530" s="8" t="s">
        <v>44</v>
      </c>
      <c r="H530" s="12">
        <v>3202</v>
      </c>
      <c r="I530" t="s">
        <v>49</v>
      </c>
      <c r="K530" t="s">
        <v>101</v>
      </c>
      <c r="N530" s="12"/>
      <c r="O530" s="8"/>
      <c r="P530">
        <v>1</v>
      </c>
      <c r="Q530" s="8">
        <v>1</v>
      </c>
      <c r="R530" s="12">
        <v>2</v>
      </c>
      <c r="S530" s="8">
        <v>2</v>
      </c>
      <c r="T530" s="12"/>
      <c r="U530" s="8"/>
      <c r="V530" s="2">
        <v>45658</v>
      </c>
      <c r="W530" s="2">
        <v>1</v>
      </c>
      <c r="X530" s="2">
        <v>45688</v>
      </c>
      <c r="Y530" s="2">
        <v>45775</v>
      </c>
      <c r="Z530" s="2"/>
      <c r="AA530" t="s">
        <v>265</v>
      </c>
      <c r="AB530">
        <v>8258</v>
      </c>
      <c r="AC530">
        <v>69100</v>
      </c>
      <c r="AD530" t="s">
        <v>768</v>
      </c>
      <c r="AE530" s="2">
        <v>45694</v>
      </c>
      <c r="AF530">
        <v>2</v>
      </c>
      <c r="AG530" s="17">
        <v>8.3333333333333301E-2</v>
      </c>
      <c r="AH530" s="2">
        <v>45696</v>
      </c>
    </row>
    <row r="531" spans="1:34" hidden="1" x14ac:dyDescent="0.25">
      <c r="A531" s="12">
        <v>8258</v>
      </c>
      <c r="B531" s="12">
        <v>307</v>
      </c>
      <c r="C531" t="s">
        <v>264</v>
      </c>
      <c r="D531">
        <v>247722</v>
      </c>
      <c r="E531" s="8" t="s">
        <v>134</v>
      </c>
      <c r="F531" s="12">
        <v>21</v>
      </c>
      <c r="G531" s="8" t="s">
        <v>44</v>
      </c>
      <c r="H531" s="12">
        <v>3202</v>
      </c>
      <c r="I531" t="s">
        <v>49</v>
      </c>
      <c r="K531" t="s">
        <v>101</v>
      </c>
      <c r="N531" s="12"/>
      <c r="O531" s="8"/>
      <c r="P531">
        <v>1</v>
      </c>
      <c r="Q531" s="8">
        <v>1</v>
      </c>
      <c r="R531" s="12">
        <v>2</v>
      </c>
      <c r="S531" s="8">
        <v>2</v>
      </c>
      <c r="T531" s="12"/>
      <c r="U531" s="8"/>
      <c r="V531" s="2">
        <v>45658</v>
      </c>
      <c r="W531" s="2">
        <v>1</v>
      </c>
      <c r="X531" s="2">
        <v>45688</v>
      </c>
      <c r="Y531" s="2">
        <v>45775</v>
      </c>
      <c r="Z531" s="2"/>
      <c r="AA531" t="s">
        <v>265</v>
      </c>
      <c r="AB531">
        <v>8258</v>
      </c>
      <c r="AC531">
        <v>69099</v>
      </c>
      <c r="AD531" t="s">
        <v>769</v>
      </c>
      <c r="AE531" s="2">
        <v>45694</v>
      </c>
      <c r="AF531">
        <v>3</v>
      </c>
      <c r="AG531" s="17">
        <v>0.125</v>
      </c>
      <c r="AH531" s="2">
        <v>45696</v>
      </c>
    </row>
    <row r="532" spans="1:34" hidden="1" x14ac:dyDescent="0.25">
      <c r="A532" s="12">
        <v>8258</v>
      </c>
      <c r="B532" s="12">
        <v>307</v>
      </c>
      <c r="C532" t="s">
        <v>264</v>
      </c>
      <c r="D532">
        <v>247722</v>
      </c>
      <c r="E532" s="8" t="s">
        <v>134</v>
      </c>
      <c r="F532" s="12">
        <v>21</v>
      </c>
      <c r="G532" s="8" t="s">
        <v>44</v>
      </c>
      <c r="H532" s="12">
        <v>3202</v>
      </c>
      <c r="I532" t="s">
        <v>49</v>
      </c>
      <c r="K532" t="s">
        <v>101</v>
      </c>
      <c r="N532" s="12"/>
      <c r="O532" s="8"/>
      <c r="P532">
        <v>1</v>
      </c>
      <c r="Q532" s="8">
        <v>1</v>
      </c>
      <c r="R532" s="12">
        <v>2</v>
      </c>
      <c r="S532" s="8">
        <v>2</v>
      </c>
      <c r="T532" s="12"/>
      <c r="U532" s="8"/>
      <c r="V532" s="2">
        <v>45658</v>
      </c>
      <c r="W532" s="2">
        <v>1</v>
      </c>
      <c r="X532" s="2">
        <v>45688</v>
      </c>
      <c r="Y532" s="2">
        <v>45775</v>
      </c>
      <c r="Z532" s="2"/>
      <c r="AA532" t="s">
        <v>265</v>
      </c>
      <c r="AB532">
        <v>8258</v>
      </c>
      <c r="AC532">
        <v>68024</v>
      </c>
      <c r="AD532" t="s">
        <v>770</v>
      </c>
      <c r="AE532" s="2">
        <v>45692</v>
      </c>
      <c r="AF532">
        <v>5</v>
      </c>
      <c r="AG532" s="17">
        <v>0.20833333333333301</v>
      </c>
      <c r="AH532" s="2">
        <v>45693</v>
      </c>
    </row>
    <row r="533" spans="1:34" hidden="1" x14ac:dyDescent="0.25">
      <c r="A533" s="12">
        <v>8258</v>
      </c>
      <c r="B533" s="12">
        <v>307</v>
      </c>
      <c r="C533" t="s">
        <v>264</v>
      </c>
      <c r="D533">
        <v>247722</v>
      </c>
      <c r="E533" s="8" t="s">
        <v>134</v>
      </c>
      <c r="F533" s="12">
        <v>21</v>
      </c>
      <c r="G533" s="8" t="s">
        <v>44</v>
      </c>
      <c r="H533" s="12">
        <v>3202</v>
      </c>
      <c r="I533" t="s">
        <v>49</v>
      </c>
      <c r="K533" t="s">
        <v>101</v>
      </c>
      <c r="N533" s="12"/>
      <c r="O533" s="8"/>
      <c r="P533">
        <v>1</v>
      </c>
      <c r="Q533" s="8">
        <v>1</v>
      </c>
      <c r="R533" s="12">
        <v>2</v>
      </c>
      <c r="S533" s="8">
        <v>2</v>
      </c>
      <c r="T533" s="12"/>
      <c r="U533" s="8"/>
      <c r="V533" s="2">
        <v>45658</v>
      </c>
      <c r="W533" s="2">
        <v>1</v>
      </c>
      <c r="X533" s="2">
        <v>45688</v>
      </c>
      <c r="Y533" s="2">
        <v>45775</v>
      </c>
      <c r="Z533" s="2"/>
      <c r="AA533" t="s">
        <v>265</v>
      </c>
      <c r="AB533">
        <v>8258</v>
      </c>
      <c r="AC533">
        <v>68023</v>
      </c>
      <c r="AD533" t="s">
        <v>771</v>
      </c>
      <c r="AE533" s="2">
        <v>45691</v>
      </c>
      <c r="AF533">
        <v>8</v>
      </c>
      <c r="AG533" s="17">
        <v>0.33333333333333298</v>
      </c>
      <c r="AH533" s="2">
        <v>45693</v>
      </c>
    </row>
    <row r="534" spans="1:34" hidden="1" x14ac:dyDescent="0.25">
      <c r="A534" s="12">
        <v>8258</v>
      </c>
      <c r="B534" s="12">
        <v>307</v>
      </c>
      <c r="C534" t="s">
        <v>264</v>
      </c>
      <c r="D534">
        <v>247722</v>
      </c>
      <c r="E534" s="8" t="s">
        <v>134</v>
      </c>
      <c r="F534" s="12">
        <v>21</v>
      </c>
      <c r="G534" s="8" t="s">
        <v>44</v>
      </c>
      <c r="H534" s="12">
        <v>3202</v>
      </c>
      <c r="I534" t="s">
        <v>49</v>
      </c>
      <c r="K534" t="s">
        <v>101</v>
      </c>
      <c r="N534" s="12"/>
      <c r="O534" s="8"/>
      <c r="P534">
        <v>1</v>
      </c>
      <c r="Q534" s="8">
        <v>1</v>
      </c>
      <c r="R534" s="12">
        <v>2</v>
      </c>
      <c r="S534" s="8">
        <v>2</v>
      </c>
      <c r="T534" s="12"/>
      <c r="U534" s="8"/>
      <c r="V534" s="2">
        <v>45658</v>
      </c>
      <c r="W534" s="2">
        <v>1</v>
      </c>
      <c r="X534" s="2">
        <v>45688</v>
      </c>
      <c r="Y534" s="2">
        <v>45775</v>
      </c>
      <c r="Z534" s="2"/>
      <c r="AA534" t="s">
        <v>265</v>
      </c>
      <c r="AB534">
        <v>8258</v>
      </c>
      <c r="AC534">
        <v>68022</v>
      </c>
      <c r="AD534" t="s">
        <v>772</v>
      </c>
      <c r="AE534" s="2">
        <v>45689</v>
      </c>
      <c r="AF534">
        <v>4</v>
      </c>
      <c r="AG534" s="17">
        <v>0.16666666666666599</v>
      </c>
      <c r="AH534" s="2">
        <v>45693</v>
      </c>
    </row>
    <row r="535" spans="1:34" hidden="1" x14ac:dyDescent="0.25">
      <c r="A535" s="12">
        <v>8258</v>
      </c>
      <c r="B535" s="12">
        <v>307</v>
      </c>
      <c r="C535" t="s">
        <v>264</v>
      </c>
      <c r="D535">
        <v>247722</v>
      </c>
      <c r="E535" s="8" t="s">
        <v>134</v>
      </c>
      <c r="F535" s="12">
        <v>21</v>
      </c>
      <c r="G535" s="8" t="s">
        <v>44</v>
      </c>
      <c r="H535" s="12">
        <v>3202</v>
      </c>
      <c r="I535" t="s">
        <v>49</v>
      </c>
      <c r="K535" t="s">
        <v>101</v>
      </c>
      <c r="N535" s="12"/>
      <c r="O535" s="8"/>
      <c r="P535">
        <v>1</v>
      </c>
      <c r="Q535" s="8">
        <v>1</v>
      </c>
      <c r="R535" s="12">
        <v>2</v>
      </c>
      <c r="S535" s="8">
        <v>2</v>
      </c>
      <c r="T535" s="12"/>
      <c r="U535" s="8"/>
      <c r="V535" s="2">
        <v>45658</v>
      </c>
      <c r="W535" s="2">
        <v>1</v>
      </c>
      <c r="X535" s="2">
        <v>45688</v>
      </c>
      <c r="Y535" s="2">
        <v>45775</v>
      </c>
      <c r="Z535" s="2"/>
      <c r="AA535" t="s">
        <v>265</v>
      </c>
      <c r="AB535">
        <v>8258</v>
      </c>
      <c r="AC535">
        <v>68021</v>
      </c>
      <c r="AD535" t="s">
        <v>773</v>
      </c>
      <c r="AE535" s="2">
        <v>45688</v>
      </c>
      <c r="AF535">
        <v>3</v>
      </c>
      <c r="AG535" s="17">
        <v>0.125</v>
      </c>
      <c r="AH535" s="2">
        <v>45693</v>
      </c>
    </row>
    <row r="536" spans="1:34" hidden="1" x14ac:dyDescent="0.25">
      <c r="A536" s="12">
        <v>8258</v>
      </c>
      <c r="B536" s="12">
        <v>307</v>
      </c>
      <c r="C536" t="s">
        <v>264</v>
      </c>
      <c r="D536">
        <v>247722</v>
      </c>
      <c r="E536" s="8" t="s">
        <v>134</v>
      </c>
      <c r="F536" s="12">
        <v>21</v>
      </c>
      <c r="G536" s="8" t="s">
        <v>44</v>
      </c>
      <c r="H536" s="12">
        <v>3202</v>
      </c>
      <c r="I536" t="s">
        <v>49</v>
      </c>
      <c r="K536" t="s">
        <v>101</v>
      </c>
      <c r="N536" s="12"/>
      <c r="O536" s="8"/>
      <c r="P536">
        <v>1</v>
      </c>
      <c r="Q536" s="8">
        <v>1</v>
      </c>
      <c r="R536" s="12">
        <v>2</v>
      </c>
      <c r="S536" s="8">
        <v>2</v>
      </c>
      <c r="T536" s="12"/>
      <c r="U536" s="8"/>
      <c r="V536" s="2">
        <v>45658</v>
      </c>
      <c r="W536" s="2">
        <v>1</v>
      </c>
      <c r="X536" s="2">
        <v>45688</v>
      </c>
      <c r="Y536" s="2">
        <v>45775</v>
      </c>
      <c r="Z536" s="2"/>
      <c r="AA536" t="s">
        <v>265</v>
      </c>
      <c r="AB536">
        <v>8258</v>
      </c>
      <c r="AC536">
        <v>68020</v>
      </c>
      <c r="AD536" t="s">
        <v>774</v>
      </c>
      <c r="AE536" s="2">
        <v>45688</v>
      </c>
      <c r="AF536">
        <v>3</v>
      </c>
      <c r="AG536" s="17">
        <v>0.125</v>
      </c>
      <c r="AH536" s="2">
        <v>45693</v>
      </c>
    </row>
    <row r="537" spans="1:34" hidden="1" x14ac:dyDescent="0.25">
      <c r="A537" s="12">
        <v>8258</v>
      </c>
      <c r="B537" s="12">
        <v>307</v>
      </c>
      <c r="C537" t="s">
        <v>264</v>
      </c>
      <c r="D537">
        <v>247722</v>
      </c>
      <c r="E537" s="8" t="s">
        <v>134</v>
      </c>
      <c r="F537" s="12">
        <v>21</v>
      </c>
      <c r="G537" s="8" t="s">
        <v>44</v>
      </c>
      <c r="H537" s="12">
        <v>3202</v>
      </c>
      <c r="I537" t="s">
        <v>49</v>
      </c>
      <c r="K537" t="s">
        <v>101</v>
      </c>
      <c r="N537" s="12"/>
      <c r="O537" s="8"/>
      <c r="P537">
        <v>1</v>
      </c>
      <c r="Q537" s="8">
        <v>1</v>
      </c>
      <c r="R537" s="12">
        <v>2</v>
      </c>
      <c r="S537" s="8">
        <v>2</v>
      </c>
      <c r="T537" s="12"/>
      <c r="U537" s="8"/>
      <c r="V537" s="2">
        <v>45658</v>
      </c>
      <c r="W537" s="2">
        <v>1</v>
      </c>
      <c r="X537" s="2">
        <v>45688</v>
      </c>
      <c r="Y537" s="2">
        <v>45775</v>
      </c>
      <c r="Z537" s="2"/>
      <c r="AA537" t="s">
        <v>265</v>
      </c>
      <c r="AB537">
        <v>8258</v>
      </c>
      <c r="AC537">
        <v>68019</v>
      </c>
      <c r="AD537" t="s">
        <v>775</v>
      </c>
      <c r="AE537" s="2">
        <v>45688</v>
      </c>
      <c r="AF537">
        <v>2</v>
      </c>
      <c r="AG537" s="17">
        <v>8.3333333333333301E-2</v>
      </c>
      <c r="AH537" s="2">
        <v>45693</v>
      </c>
    </row>
    <row r="538" spans="1:34" hidden="1" x14ac:dyDescent="0.25">
      <c r="A538" s="12">
        <v>8258</v>
      </c>
      <c r="B538" s="12">
        <v>307</v>
      </c>
      <c r="C538" t="s">
        <v>264</v>
      </c>
      <c r="D538">
        <v>247722</v>
      </c>
      <c r="E538" s="8" t="s">
        <v>134</v>
      </c>
      <c r="F538" s="12">
        <v>21</v>
      </c>
      <c r="G538" s="8" t="s">
        <v>44</v>
      </c>
      <c r="H538" s="12">
        <v>3202</v>
      </c>
      <c r="I538" t="s">
        <v>49</v>
      </c>
      <c r="K538" t="s">
        <v>101</v>
      </c>
      <c r="N538" s="12"/>
      <c r="O538" s="8"/>
      <c r="P538">
        <v>1</v>
      </c>
      <c r="Q538" s="8">
        <v>1</v>
      </c>
      <c r="R538" s="12">
        <v>2</v>
      </c>
      <c r="S538" s="8">
        <v>2</v>
      </c>
      <c r="T538" s="12"/>
      <c r="U538" s="8"/>
      <c r="V538" s="2">
        <v>45658</v>
      </c>
      <c r="W538" s="2">
        <v>1</v>
      </c>
      <c r="X538" s="2">
        <v>45688</v>
      </c>
      <c r="Y538" s="2">
        <v>45775</v>
      </c>
      <c r="Z538" s="2"/>
      <c r="AA538" t="s">
        <v>265</v>
      </c>
      <c r="AB538">
        <v>8258</v>
      </c>
      <c r="AC538">
        <v>68018</v>
      </c>
      <c r="AD538" t="s">
        <v>776</v>
      </c>
      <c r="AE538" s="2">
        <v>45687</v>
      </c>
      <c r="AF538">
        <v>3</v>
      </c>
      <c r="AG538" s="17">
        <v>0.125</v>
      </c>
      <c r="AH538" s="2">
        <v>45693</v>
      </c>
    </row>
    <row r="539" spans="1:34" hidden="1" x14ac:dyDescent="0.25">
      <c r="A539" s="12">
        <v>8258</v>
      </c>
      <c r="B539" s="12">
        <v>307</v>
      </c>
      <c r="C539" t="s">
        <v>264</v>
      </c>
      <c r="D539">
        <v>247722</v>
      </c>
      <c r="E539" s="8" t="s">
        <v>134</v>
      </c>
      <c r="F539" s="12">
        <v>21</v>
      </c>
      <c r="G539" s="8" t="s">
        <v>44</v>
      </c>
      <c r="H539" s="12">
        <v>3202</v>
      </c>
      <c r="I539" t="s">
        <v>49</v>
      </c>
      <c r="K539" t="s">
        <v>101</v>
      </c>
      <c r="N539" s="12"/>
      <c r="O539" s="8"/>
      <c r="P539">
        <v>1</v>
      </c>
      <c r="Q539" s="8">
        <v>1</v>
      </c>
      <c r="R539" s="12">
        <v>2</v>
      </c>
      <c r="S539" s="8">
        <v>2</v>
      </c>
      <c r="T539" s="12"/>
      <c r="U539" s="8"/>
      <c r="V539" s="2">
        <v>45658</v>
      </c>
      <c r="W539" s="2">
        <v>1</v>
      </c>
      <c r="X539" s="2">
        <v>45688</v>
      </c>
      <c r="Y539" s="2">
        <v>45775</v>
      </c>
      <c r="Z539" s="2"/>
      <c r="AA539" t="s">
        <v>265</v>
      </c>
      <c r="AB539">
        <v>8258</v>
      </c>
      <c r="AC539">
        <v>68017</v>
      </c>
      <c r="AD539" t="s">
        <v>777</v>
      </c>
      <c r="AE539" s="2">
        <v>45687</v>
      </c>
      <c r="AF539">
        <v>2</v>
      </c>
      <c r="AG539" s="17">
        <v>8.3333333333333301E-2</v>
      </c>
      <c r="AH539" s="2">
        <v>45693</v>
      </c>
    </row>
    <row r="540" spans="1:34" hidden="1" x14ac:dyDescent="0.25">
      <c r="A540" s="12">
        <v>8258</v>
      </c>
      <c r="B540" s="12">
        <v>307</v>
      </c>
      <c r="C540" t="s">
        <v>264</v>
      </c>
      <c r="D540">
        <v>247722</v>
      </c>
      <c r="E540" s="8" t="s">
        <v>134</v>
      </c>
      <c r="F540" s="12">
        <v>21</v>
      </c>
      <c r="G540" s="8" t="s">
        <v>44</v>
      </c>
      <c r="H540" s="12">
        <v>3202</v>
      </c>
      <c r="I540" t="s">
        <v>49</v>
      </c>
      <c r="K540" t="s">
        <v>101</v>
      </c>
      <c r="N540" s="12"/>
      <c r="O540" s="8"/>
      <c r="P540">
        <v>1</v>
      </c>
      <c r="Q540" s="8">
        <v>1</v>
      </c>
      <c r="R540" s="12">
        <v>2</v>
      </c>
      <c r="S540" s="8">
        <v>2</v>
      </c>
      <c r="T540" s="12"/>
      <c r="U540" s="8"/>
      <c r="V540" s="2">
        <v>45658</v>
      </c>
      <c r="W540" s="2">
        <v>1</v>
      </c>
      <c r="X540" s="2">
        <v>45688</v>
      </c>
      <c r="Y540" s="2">
        <v>45775</v>
      </c>
      <c r="Z540" s="2"/>
      <c r="AA540" t="s">
        <v>265</v>
      </c>
      <c r="AB540">
        <v>8258</v>
      </c>
      <c r="AC540">
        <v>67238</v>
      </c>
      <c r="AD540" t="s">
        <v>778</v>
      </c>
      <c r="AE540" s="2">
        <v>45684</v>
      </c>
      <c r="AF540">
        <v>4</v>
      </c>
      <c r="AG540" s="17">
        <v>0.16666666666666599</v>
      </c>
      <c r="AH540" s="2">
        <v>45689</v>
      </c>
    </row>
    <row r="541" spans="1:34" hidden="1" x14ac:dyDescent="0.25">
      <c r="A541" s="12">
        <v>8258</v>
      </c>
      <c r="B541" s="12">
        <v>307</v>
      </c>
      <c r="C541" t="s">
        <v>264</v>
      </c>
      <c r="D541">
        <v>247722</v>
      </c>
      <c r="E541" s="8" t="s">
        <v>134</v>
      </c>
      <c r="F541" s="12">
        <v>21</v>
      </c>
      <c r="G541" s="8" t="s">
        <v>44</v>
      </c>
      <c r="H541" s="12">
        <v>3202</v>
      </c>
      <c r="I541" t="s">
        <v>49</v>
      </c>
      <c r="K541" t="s">
        <v>101</v>
      </c>
      <c r="N541" s="12"/>
      <c r="O541" s="8"/>
      <c r="P541">
        <v>1</v>
      </c>
      <c r="Q541" s="8">
        <v>1</v>
      </c>
      <c r="R541" s="12">
        <v>2</v>
      </c>
      <c r="S541" s="8">
        <v>2</v>
      </c>
      <c r="T541" s="12"/>
      <c r="U541" s="8"/>
      <c r="V541" s="2">
        <v>45658</v>
      </c>
      <c r="W541" s="2">
        <v>1</v>
      </c>
      <c r="X541" s="2">
        <v>45688</v>
      </c>
      <c r="Y541" s="2">
        <v>45775</v>
      </c>
      <c r="Z541" s="2"/>
      <c r="AA541" t="s">
        <v>265</v>
      </c>
      <c r="AB541">
        <v>8258</v>
      </c>
      <c r="AC541">
        <v>67237</v>
      </c>
      <c r="AD541" t="s">
        <v>779</v>
      </c>
      <c r="AE541" s="2">
        <v>45684</v>
      </c>
      <c r="AF541">
        <v>2</v>
      </c>
      <c r="AG541" s="17">
        <v>8.3333333333333301E-2</v>
      </c>
      <c r="AH541" s="2">
        <v>45689</v>
      </c>
    </row>
    <row r="542" spans="1:34" hidden="1" x14ac:dyDescent="0.25">
      <c r="A542" s="12">
        <v>8258</v>
      </c>
      <c r="B542" s="12">
        <v>307</v>
      </c>
      <c r="C542" t="s">
        <v>264</v>
      </c>
      <c r="D542">
        <v>247722</v>
      </c>
      <c r="E542" s="8" t="s">
        <v>134</v>
      </c>
      <c r="F542" s="12">
        <v>21</v>
      </c>
      <c r="G542" s="8" t="s">
        <v>44</v>
      </c>
      <c r="H542" s="12">
        <v>3202</v>
      </c>
      <c r="I542" t="s">
        <v>49</v>
      </c>
      <c r="K542" t="s">
        <v>101</v>
      </c>
      <c r="N542" s="12"/>
      <c r="O542" s="8"/>
      <c r="P542">
        <v>1</v>
      </c>
      <c r="Q542" s="8">
        <v>1</v>
      </c>
      <c r="R542" s="12">
        <v>2</v>
      </c>
      <c r="S542" s="8">
        <v>2</v>
      </c>
      <c r="T542" s="12"/>
      <c r="U542" s="8"/>
      <c r="V542" s="2">
        <v>45658</v>
      </c>
      <c r="W542" s="2">
        <v>1</v>
      </c>
      <c r="X542" s="2">
        <v>45688</v>
      </c>
      <c r="Y542" s="2">
        <v>45775</v>
      </c>
      <c r="Z542" s="2"/>
      <c r="AA542" t="s">
        <v>265</v>
      </c>
      <c r="AB542">
        <v>8258</v>
      </c>
      <c r="AC542">
        <v>67236</v>
      </c>
      <c r="AD542" t="s">
        <v>779</v>
      </c>
      <c r="AE542" s="2">
        <v>45682</v>
      </c>
      <c r="AF542">
        <v>4</v>
      </c>
      <c r="AG542" s="17">
        <v>0.16666666666666599</v>
      </c>
      <c r="AH542" s="2">
        <v>45689</v>
      </c>
    </row>
    <row r="543" spans="1:34" hidden="1" x14ac:dyDescent="0.25">
      <c r="A543" s="12">
        <v>8258</v>
      </c>
      <c r="B543" s="12">
        <v>307</v>
      </c>
      <c r="C543" t="s">
        <v>264</v>
      </c>
      <c r="D543">
        <v>247722</v>
      </c>
      <c r="E543" s="8" t="s">
        <v>134</v>
      </c>
      <c r="F543" s="12">
        <v>21</v>
      </c>
      <c r="G543" s="8" t="s">
        <v>44</v>
      </c>
      <c r="H543" s="12">
        <v>3202</v>
      </c>
      <c r="I543" t="s">
        <v>49</v>
      </c>
      <c r="K543" t="s">
        <v>101</v>
      </c>
      <c r="N543" s="12"/>
      <c r="O543" s="8"/>
      <c r="P543">
        <v>1</v>
      </c>
      <c r="Q543" s="8">
        <v>1</v>
      </c>
      <c r="R543" s="12">
        <v>2</v>
      </c>
      <c r="S543" s="8">
        <v>2</v>
      </c>
      <c r="T543" s="12"/>
      <c r="U543" s="8"/>
      <c r="V543" s="2">
        <v>45658</v>
      </c>
      <c r="W543" s="2">
        <v>1</v>
      </c>
      <c r="X543" s="2">
        <v>45688</v>
      </c>
      <c r="Y543" s="2">
        <v>45775</v>
      </c>
      <c r="Z543" s="2"/>
      <c r="AA543" t="s">
        <v>265</v>
      </c>
      <c r="AB543">
        <v>8258</v>
      </c>
      <c r="AC543">
        <v>67235</v>
      </c>
      <c r="AD543" t="s">
        <v>780</v>
      </c>
      <c r="AE543" s="2">
        <v>45681</v>
      </c>
      <c r="AF543">
        <v>4</v>
      </c>
      <c r="AG543" s="17">
        <v>0.16666666666666599</v>
      </c>
      <c r="AH543" s="2">
        <v>45689</v>
      </c>
    </row>
    <row r="544" spans="1:34" hidden="1" x14ac:dyDescent="0.25">
      <c r="A544" s="12">
        <v>8258</v>
      </c>
      <c r="B544" s="12">
        <v>307</v>
      </c>
      <c r="C544" t="s">
        <v>264</v>
      </c>
      <c r="D544">
        <v>247722</v>
      </c>
      <c r="E544" s="8" t="s">
        <v>134</v>
      </c>
      <c r="F544" s="12">
        <v>21</v>
      </c>
      <c r="G544" s="8" t="s">
        <v>44</v>
      </c>
      <c r="H544" s="12">
        <v>3202</v>
      </c>
      <c r="I544" t="s">
        <v>49</v>
      </c>
      <c r="K544" t="s">
        <v>101</v>
      </c>
      <c r="N544" s="12"/>
      <c r="O544" s="8"/>
      <c r="P544">
        <v>1</v>
      </c>
      <c r="Q544" s="8">
        <v>1</v>
      </c>
      <c r="R544" s="12">
        <v>2</v>
      </c>
      <c r="S544" s="8">
        <v>2</v>
      </c>
      <c r="T544" s="12"/>
      <c r="U544" s="8"/>
      <c r="V544" s="2">
        <v>45658</v>
      </c>
      <c r="W544" s="2">
        <v>1</v>
      </c>
      <c r="X544" s="2">
        <v>45688</v>
      </c>
      <c r="Y544" s="2">
        <v>45775</v>
      </c>
      <c r="Z544" s="2"/>
      <c r="AA544" t="s">
        <v>265</v>
      </c>
      <c r="AB544">
        <v>8258</v>
      </c>
      <c r="AC544">
        <v>67233</v>
      </c>
      <c r="AD544" t="s">
        <v>781</v>
      </c>
      <c r="AE544" s="2">
        <v>45681</v>
      </c>
      <c r="AF544">
        <v>4</v>
      </c>
      <c r="AG544" s="17">
        <v>0.16666666666666599</v>
      </c>
      <c r="AH544" s="2">
        <v>45689</v>
      </c>
    </row>
    <row r="545" spans="1:34" hidden="1" x14ac:dyDescent="0.25">
      <c r="A545" s="12">
        <v>8258</v>
      </c>
      <c r="B545" s="12">
        <v>307</v>
      </c>
      <c r="C545" t="s">
        <v>264</v>
      </c>
      <c r="D545">
        <v>247722</v>
      </c>
      <c r="E545" s="8" t="s">
        <v>134</v>
      </c>
      <c r="F545" s="12">
        <v>21</v>
      </c>
      <c r="G545" s="8" t="s">
        <v>44</v>
      </c>
      <c r="H545" s="12">
        <v>3202</v>
      </c>
      <c r="I545" t="s">
        <v>49</v>
      </c>
      <c r="K545" t="s">
        <v>101</v>
      </c>
      <c r="N545" s="12"/>
      <c r="O545" s="8"/>
      <c r="P545">
        <v>1</v>
      </c>
      <c r="Q545" s="8">
        <v>1</v>
      </c>
      <c r="R545" s="12">
        <v>2</v>
      </c>
      <c r="S545" s="8">
        <v>2</v>
      </c>
      <c r="T545" s="12"/>
      <c r="U545" s="8"/>
      <c r="V545" s="2">
        <v>45658</v>
      </c>
      <c r="W545" s="2">
        <v>1</v>
      </c>
      <c r="X545" s="2">
        <v>45688</v>
      </c>
      <c r="Y545" s="2">
        <v>45775</v>
      </c>
      <c r="Z545" s="2"/>
      <c r="AA545" t="s">
        <v>265</v>
      </c>
      <c r="AB545">
        <v>8258</v>
      </c>
      <c r="AC545">
        <v>67232</v>
      </c>
      <c r="AD545" t="s">
        <v>782</v>
      </c>
      <c r="AE545" s="2">
        <v>45680</v>
      </c>
      <c r="AF545">
        <v>6</v>
      </c>
      <c r="AG545" s="17">
        <v>0.25</v>
      </c>
      <c r="AH545" s="2">
        <v>45689</v>
      </c>
    </row>
    <row r="546" spans="1:34" hidden="1" x14ac:dyDescent="0.25">
      <c r="A546" s="12">
        <v>8258</v>
      </c>
      <c r="B546" s="12">
        <v>307</v>
      </c>
      <c r="C546" t="s">
        <v>264</v>
      </c>
      <c r="D546">
        <v>247722</v>
      </c>
      <c r="E546" s="8" t="s">
        <v>134</v>
      </c>
      <c r="F546" s="12">
        <v>21</v>
      </c>
      <c r="G546" s="8" t="s">
        <v>44</v>
      </c>
      <c r="H546" s="12">
        <v>3202</v>
      </c>
      <c r="I546" t="s">
        <v>49</v>
      </c>
      <c r="K546" t="s">
        <v>101</v>
      </c>
      <c r="N546" s="12"/>
      <c r="O546" s="8"/>
      <c r="P546">
        <v>1</v>
      </c>
      <c r="Q546" s="8">
        <v>1</v>
      </c>
      <c r="R546" s="12">
        <v>2</v>
      </c>
      <c r="S546" s="8">
        <v>2</v>
      </c>
      <c r="T546" s="12"/>
      <c r="U546" s="8"/>
      <c r="V546" s="2">
        <v>45658</v>
      </c>
      <c r="W546" s="2">
        <v>1</v>
      </c>
      <c r="X546" s="2">
        <v>45688</v>
      </c>
      <c r="Y546" s="2">
        <v>45775</v>
      </c>
      <c r="Z546" s="2"/>
      <c r="AA546" t="s">
        <v>265</v>
      </c>
      <c r="AB546">
        <v>8258</v>
      </c>
      <c r="AC546">
        <v>67231</v>
      </c>
      <c r="AD546" t="s">
        <v>781</v>
      </c>
      <c r="AE546" s="2">
        <v>45680</v>
      </c>
      <c r="AF546">
        <v>2</v>
      </c>
      <c r="AG546" s="17">
        <v>8.3333333333333301E-2</v>
      </c>
      <c r="AH546" s="2">
        <v>45689</v>
      </c>
    </row>
    <row r="547" spans="1:34" hidden="1" x14ac:dyDescent="0.25">
      <c r="A547" s="12">
        <v>8258</v>
      </c>
      <c r="B547" s="12">
        <v>307</v>
      </c>
      <c r="C547" t="s">
        <v>264</v>
      </c>
      <c r="D547">
        <v>247722</v>
      </c>
      <c r="E547" s="8" t="s">
        <v>134</v>
      </c>
      <c r="F547" s="12">
        <v>21</v>
      </c>
      <c r="G547" s="8" t="s">
        <v>44</v>
      </c>
      <c r="H547" s="12">
        <v>3202</v>
      </c>
      <c r="I547" t="s">
        <v>49</v>
      </c>
      <c r="K547" t="s">
        <v>101</v>
      </c>
      <c r="N547" s="12"/>
      <c r="O547" s="8"/>
      <c r="P547">
        <v>1</v>
      </c>
      <c r="Q547" s="8">
        <v>1</v>
      </c>
      <c r="R547" s="12">
        <v>2</v>
      </c>
      <c r="S547" s="8">
        <v>2</v>
      </c>
      <c r="T547" s="12"/>
      <c r="U547" s="8"/>
      <c r="V547" s="2">
        <v>45658</v>
      </c>
      <c r="W547" s="2">
        <v>1</v>
      </c>
      <c r="X547" s="2">
        <v>45688</v>
      </c>
      <c r="Y547" s="2">
        <v>45775</v>
      </c>
      <c r="Z547" s="2"/>
      <c r="AA547" t="s">
        <v>265</v>
      </c>
      <c r="AB547">
        <v>8258</v>
      </c>
      <c r="AC547">
        <v>67230</v>
      </c>
      <c r="AD547" t="s">
        <v>783</v>
      </c>
      <c r="AE547" s="2">
        <v>45679</v>
      </c>
      <c r="AF547">
        <v>4</v>
      </c>
      <c r="AG547" s="17">
        <v>0.16666666666666599</v>
      </c>
      <c r="AH547" s="2">
        <v>45689</v>
      </c>
    </row>
    <row r="548" spans="1:34" hidden="1" x14ac:dyDescent="0.25">
      <c r="A548" s="12">
        <v>8265</v>
      </c>
      <c r="B548" s="12">
        <v>333</v>
      </c>
      <c r="C548" t="s">
        <v>266</v>
      </c>
      <c r="E548" s="8"/>
      <c r="F548" s="12">
        <v>21</v>
      </c>
      <c r="G548" s="8" t="s">
        <v>44</v>
      </c>
      <c r="H548" s="12">
        <v>3203</v>
      </c>
      <c r="I548" t="s">
        <v>47</v>
      </c>
      <c r="J548" t="s">
        <v>62</v>
      </c>
      <c r="K548" t="s">
        <v>63</v>
      </c>
      <c r="N548" s="12"/>
      <c r="O548" s="8"/>
      <c r="P548">
        <v>1</v>
      </c>
      <c r="Q548" s="8">
        <v>1</v>
      </c>
      <c r="R548" s="12">
        <v>2</v>
      </c>
      <c r="S548" s="8">
        <v>2</v>
      </c>
      <c r="T548" s="12"/>
      <c r="U548" s="8"/>
      <c r="V548" s="2">
        <v>45658</v>
      </c>
      <c r="W548" s="2">
        <v>1</v>
      </c>
      <c r="X548" s="2">
        <v>45688</v>
      </c>
      <c r="Y548" s="2">
        <v>45688</v>
      </c>
      <c r="Z548" s="2"/>
      <c r="AE548" s="2"/>
      <c r="AG548" s="17"/>
      <c r="AH548" s="2"/>
    </row>
    <row r="549" spans="1:34" hidden="1" x14ac:dyDescent="0.25">
      <c r="A549" s="12">
        <v>8293</v>
      </c>
      <c r="B549" s="12">
        <v>354</v>
      </c>
      <c r="C549" t="s">
        <v>174</v>
      </c>
      <c r="D549">
        <v>247791</v>
      </c>
      <c r="E549" s="8" t="s">
        <v>175</v>
      </c>
      <c r="F549" s="12">
        <v>27</v>
      </c>
      <c r="G549" s="8" t="s">
        <v>168</v>
      </c>
      <c r="H549" s="12">
        <v>3201</v>
      </c>
      <c r="I549" t="s">
        <v>51</v>
      </c>
      <c r="J549" t="s">
        <v>62</v>
      </c>
      <c r="K549" t="s">
        <v>63</v>
      </c>
      <c r="N549" s="12"/>
      <c r="O549" s="8"/>
      <c r="P549">
        <v>1</v>
      </c>
      <c r="Q549" s="8">
        <v>1</v>
      </c>
      <c r="R549" s="12">
        <v>1</v>
      </c>
      <c r="S549" s="8">
        <v>1</v>
      </c>
      <c r="T549" s="12"/>
      <c r="U549" s="8"/>
      <c r="V549" s="2">
        <v>45658</v>
      </c>
      <c r="W549" s="2">
        <v>1</v>
      </c>
      <c r="X549" s="2">
        <v>45777</v>
      </c>
      <c r="Y549" s="2">
        <v>45777</v>
      </c>
      <c r="Z549" s="2"/>
      <c r="AB549">
        <v>8293</v>
      </c>
      <c r="AC549">
        <v>71265</v>
      </c>
      <c r="AD549" t="s">
        <v>419</v>
      </c>
      <c r="AE549" s="2">
        <v>45705</v>
      </c>
      <c r="AF549">
        <v>4</v>
      </c>
      <c r="AG549" s="17">
        <v>0.16666666666666599</v>
      </c>
      <c r="AH549" s="2">
        <v>45705</v>
      </c>
    </row>
    <row r="550" spans="1:34" hidden="1" x14ac:dyDescent="0.25">
      <c r="A550" s="12">
        <v>8293</v>
      </c>
      <c r="B550" s="12">
        <v>354</v>
      </c>
      <c r="C550" t="s">
        <v>174</v>
      </c>
      <c r="D550">
        <v>247791</v>
      </c>
      <c r="E550" s="8" t="s">
        <v>175</v>
      </c>
      <c r="F550" s="12">
        <v>27</v>
      </c>
      <c r="G550" s="8" t="s">
        <v>168</v>
      </c>
      <c r="H550" s="12">
        <v>3201</v>
      </c>
      <c r="I550" t="s">
        <v>51</v>
      </c>
      <c r="K550" t="s">
        <v>63</v>
      </c>
      <c r="N550" s="12"/>
      <c r="O550" s="8"/>
      <c r="P550">
        <v>1</v>
      </c>
      <c r="Q550" s="8">
        <v>1</v>
      </c>
      <c r="R550" s="12">
        <v>1</v>
      </c>
      <c r="S550" s="8">
        <v>1</v>
      </c>
      <c r="T550" s="12"/>
      <c r="U550" s="8"/>
      <c r="V550" s="2">
        <v>45658</v>
      </c>
      <c r="W550" s="2">
        <v>1</v>
      </c>
      <c r="X550" s="2">
        <v>45777</v>
      </c>
      <c r="Y550" s="2">
        <v>45777</v>
      </c>
      <c r="Z550" s="2"/>
      <c r="AB550">
        <v>8293</v>
      </c>
      <c r="AC550">
        <v>70240</v>
      </c>
      <c r="AD550" t="s">
        <v>694</v>
      </c>
      <c r="AE550" s="2">
        <v>45701</v>
      </c>
      <c r="AF550">
        <v>4</v>
      </c>
      <c r="AG550" s="17">
        <v>0.16666666666666599</v>
      </c>
      <c r="AH550" s="2">
        <v>45701</v>
      </c>
    </row>
    <row r="551" spans="1:34" hidden="1" x14ac:dyDescent="0.25">
      <c r="A551" s="12">
        <v>8293</v>
      </c>
      <c r="B551" s="12">
        <v>354</v>
      </c>
      <c r="C551" t="s">
        <v>174</v>
      </c>
      <c r="D551">
        <v>247791</v>
      </c>
      <c r="E551" s="8" t="s">
        <v>175</v>
      </c>
      <c r="F551" s="12">
        <v>27</v>
      </c>
      <c r="G551" s="8" t="s">
        <v>168</v>
      </c>
      <c r="H551" s="12">
        <v>3201</v>
      </c>
      <c r="I551" t="s">
        <v>51</v>
      </c>
      <c r="K551" t="s">
        <v>63</v>
      </c>
      <c r="N551" s="12"/>
      <c r="O551" s="8"/>
      <c r="P551">
        <v>1</v>
      </c>
      <c r="Q551" s="8">
        <v>1</v>
      </c>
      <c r="R551" s="12">
        <v>1</v>
      </c>
      <c r="S551" s="8">
        <v>1</v>
      </c>
      <c r="T551" s="12"/>
      <c r="U551" s="8"/>
      <c r="V551" s="2">
        <v>45658</v>
      </c>
      <c r="W551" s="2">
        <v>1</v>
      </c>
      <c r="X551" s="2">
        <v>45777</v>
      </c>
      <c r="Y551" s="2">
        <v>45777</v>
      </c>
      <c r="Z551" s="2"/>
      <c r="AB551">
        <v>8293</v>
      </c>
      <c r="AC551">
        <v>70118</v>
      </c>
      <c r="AD551" t="s">
        <v>345</v>
      </c>
      <c r="AE551" s="2">
        <v>45700</v>
      </c>
      <c r="AF551">
        <v>3.75</v>
      </c>
      <c r="AG551" s="17">
        <v>0.15625</v>
      </c>
      <c r="AH551" s="2">
        <v>45701</v>
      </c>
    </row>
    <row r="552" spans="1:34" hidden="1" x14ac:dyDescent="0.25">
      <c r="A552" s="12">
        <v>8293</v>
      </c>
      <c r="B552" s="12">
        <v>354</v>
      </c>
      <c r="C552" t="s">
        <v>174</v>
      </c>
      <c r="D552">
        <v>247791</v>
      </c>
      <c r="E552" s="8" t="s">
        <v>175</v>
      </c>
      <c r="F552" s="12">
        <v>27</v>
      </c>
      <c r="G552" s="8" t="s">
        <v>168</v>
      </c>
      <c r="H552" s="12">
        <v>3201</v>
      </c>
      <c r="I552" t="s">
        <v>51</v>
      </c>
      <c r="K552" t="s">
        <v>63</v>
      </c>
      <c r="N552" s="12"/>
      <c r="O552" s="8"/>
      <c r="P552">
        <v>1</v>
      </c>
      <c r="Q552" s="8">
        <v>1</v>
      </c>
      <c r="R552" s="12">
        <v>1</v>
      </c>
      <c r="S552" s="8">
        <v>1</v>
      </c>
      <c r="T552" s="12"/>
      <c r="U552" s="8"/>
      <c r="V552" s="2">
        <v>45658</v>
      </c>
      <c r="W552" s="2">
        <v>1</v>
      </c>
      <c r="X552" s="2">
        <v>45777</v>
      </c>
      <c r="Y552" s="2">
        <v>45777</v>
      </c>
      <c r="Z552" s="2"/>
      <c r="AB552">
        <v>8293</v>
      </c>
      <c r="AC552">
        <v>69905</v>
      </c>
      <c r="AD552" t="s">
        <v>695</v>
      </c>
      <c r="AE552" s="2">
        <v>45699</v>
      </c>
      <c r="AF552">
        <v>3</v>
      </c>
      <c r="AG552" s="17">
        <v>0.125</v>
      </c>
      <c r="AH552" s="2">
        <v>45700</v>
      </c>
    </row>
    <row r="553" spans="1:34" hidden="1" x14ac:dyDescent="0.25">
      <c r="A553" s="12">
        <v>8293</v>
      </c>
      <c r="B553" s="12">
        <v>354</v>
      </c>
      <c r="C553" t="s">
        <v>174</v>
      </c>
      <c r="D553">
        <v>247791</v>
      </c>
      <c r="E553" s="8" t="s">
        <v>175</v>
      </c>
      <c r="F553" s="12">
        <v>27</v>
      </c>
      <c r="G553" s="8" t="s">
        <v>168</v>
      </c>
      <c r="H553" s="12">
        <v>3201</v>
      </c>
      <c r="I553" t="s">
        <v>51</v>
      </c>
      <c r="K553" t="s">
        <v>63</v>
      </c>
      <c r="N553" s="12"/>
      <c r="O553" s="8"/>
      <c r="P553">
        <v>1</v>
      </c>
      <c r="Q553" s="8">
        <v>1</v>
      </c>
      <c r="R553" s="12">
        <v>1</v>
      </c>
      <c r="S553" s="8">
        <v>1</v>
      </c>
      <c r="T553" s="12"/>
      <c r="U553" s="8"/>
      <c r="V553" s="2">
        <v>45658</v>
      </c>
      <c r="W553" s="2">
        <v>1</v>
      </c>
      <c r="X553" s="2">
        <v>45777</v>
      </c>
      <c r="Y553" s="2">
        <v>45777</v>
      </c>
      <c r="Z553" s="2"/>
      <c r="AB553">
        <v>8293</v>
      </c>
      <c r="AC553">
        <v>69904</v>
      </c>
      <c r="AD553" t="s">
        <v>696</v>
      </c>
      <c r="AE553" s="2">
        <v>45698</v>
      </c>
      <c r="AF553">
        <v>5</v>
      </c>
      <c r="AG553" s="17">
        <v>0.20833333333333301</v>
      </c>
      <c r="AH553" s="2">
        <v>45700</v>
      </c>
    </row>
    <row r="554" spans="1:34" hidden="1" x14ac:dyDescent="0.25">
      <c r="A554" s="12">
        <v>8293</v>
      </c>
      <c r="B554" s="12">
        <v>354</v>
      </c>
      <c r="C554" t="s">
        <v>174</v>
      </c>
      <c r="D554">
        <v>247791</v>
      </c>
      <c r="E554" s="8" t="s">
        <v>175</v>
      </c>
      <c r="F554" s="12">
        <v>27</v>
      </c>
      <c r="G554" s="8" t="s">
        <v>168</v>
      </c>
      <c r="H554" s="12">
        <v>3201</v>
      </c>
      <c r="I554" t="s">
        <v>51</v>
      </c>
      <c r="K554" t="s">
        <v>63</v>
      </c>
      <c r="N554" s="12"/>
      <c r="O554" s="8"/>
      <c r="P554">
        <v>1</v>
      </c>
      <c r="Q554" s="8">
        <v>1</v>
      </c>
      <c r="R554" s="12">
        <v>1</v>
      </c>
      <c r="S554" s="8">
        <v>1</v>
      </c>
      <c r="T554" s="12"/>
      <c r="U554" s="8"/>
      <c r="V554" s="2">
        <v>45658</v>
      </c>
      <c r="W554" s="2">
        <v>1</v>
      </c>
      <c r="X554" s="2">
        <v>45777</v>
      </c>
      <c r="Y554" s="2">
        <v>45777</v>
      </c>
      <c r="Z554" s="2"/>
      <c r="AB554">
        <v>8293</v>
      </c>
      <c r="AC554">
        <v>68288</v>
      </c>
      <c r="AD554" t="s">
        <v>697</v>
      </c>
      <c r="AE554" s="2">
        <v>45694</v>
      </c>
      <c r="AF554">
        <v>4</v>
      </c>
      <c r="AG554" s="17">
        <v>0.16666666666666599</v>
      </c>
      <c r="AH554" s="2">
        <v>45694</v>
      </c>
    </row>
    <row r="555" spans="1:34" hidden="1" x14ac:dyDescent="0.25">
      <c r="A555" s="12">
        <v>8293</v>
      </c>
      <c r="B555" s="12">
        <v>354</v>
      </c>
      <c r="C555" t="s">
        <v>174</v>
      </c>
      <c r="D555">
        <v>247791</v>
      </c>
      <c r="E555" s="8" t="s">
        <v>175</v>
      </c>
      <c r="F555" s="12">
        <v>27</v>
      </c>
      <c r="G555" s="8" t="s">
        <v>168</v>
      </c>
      <c r="H555" s="12">
        <v>3201</v>
      </c>
      <c r="I555" t="s">
        <v>51</v>
      </c>
      <c r="K555" t="s">
        <v>63</v>
      </c>
      <c r="N555" s="12"/>
      <c r="O555" s="8"/>
      <c r="P555">
        <v>1</v>
      </c>
      <c r="Q555" s="8">
        <v>1</v>
      </c>
      <c r="R555" s="12">
        <v>1</v>
      </c>
      <c r="S555" s="8">
        <v>1</v>
      </c>
      <c r="T555" s="12"/>
      <c r="U555" s="8"/>
      <c r="V555" s="2">
        <v>45658</v>
      </c>
      <c r="W555" s="2">
        <v>1</v>
      </c>
      <c r="X555" s="2">
        <v>45777</v>
      </c>
      <c r="Y555" s="2">
        <v>45777</v>
      </c>
      <c r="Z555" s="2"/>
      <c r="AB555">
        <v>8293</v>
      </c>
      <c r="AC555">
        <v>68279</v>
      </c>
      <c r="AD555" t="s">
        <v>697</v>
      </c>
      <c r="AE555" s="2">
        <v>45693</v>
      </c>
      <c r="AF555">
        <v>6</v>
      </c>
      <c r="AG555" s="17">
        <v>0.25</v>
      </c>
      <c r="AH555" s="2">
        <v>45694</v>
      </c>
    </row>
    <row r="556" spans="1:34" hidden="1" x14ac:dyDescent="0.25">
      <c r="A556" s="12">
        <v>8293</v>
      </c>
      <c r="B556" s="12">
        <v>354</v>
      </c>
      <c r="C556" t="s">
        <v>174</v>
      </c>
      <c r="D556">
        <v>247791</v>
      </c>
      <c r="E556" s="8" t="s">
        <v>175</v>
      </c>
      <c r="F556" s="12">
        <v>27</v>
      </c>
      <c r="G556" s="8" t="s">
        <v>168</v>
      </c>
      <c r="H556" s="12">
        <v>3201</v>
      </c>
      <c r="I556" t="s">
        <v>51</v>
      </c>
      <c r="K556" t="s">
        <v>63</v>
      </c>
      <c r="N556" s="12"/>
      <c r="O556" s="8"/>
      <c r="P556">
        <v>1</v>
      </c>
      <c r="Q556" s="8">
        <v>1</v>
      </c>
      <c r="R556" s="12">
        <v>1</v>
      </c>
      <c r="S556" s="8">
        <v>1</v>
      </c>
      <c r="T556" s="12"/>
      <c r="U556" s="8"/>
      <c r="V556" s="2">
        <v>45658</v>
      </c>
      <c r="W556" s="2">
        <v>1</v>
      </c>
      <c r="X556" s="2">
        <v>45777</v>
      </c>
      <c r="Y556" s="2">
        <v>45777</v>
      </c>
      <c r="Z556" s="2"/>
      <c r="AB556">
        <v>8293</v>
      </c>
      <c r="AC556">
        <v>68278</v>
      </c>
      <c r="AD556" t="s">
        <v>698</v>
      </c>
      <c r="AE556" s="2">
        <v>45691</v>
      </c>
      <c r="AF556">
        <v>3</v>
      </c>
      <c r="AG556" s="17">
        <v>0.125</v>
      </c>
      <c r="AH556" s="2">
        <v>45694</v>
      </c>
    </row>
    <row r="557" spans="1:34" hidden="1" x14ac:dyDescent="0.25">
      <c r="A557" s="12">
        <v>8292</v>
      </c>
      <c r="B557" s="12">
        <v>360</v>
      </c>
      <c r="C557" t="s">
        <v>177</v>
      </c>
      <c r="D557">
        <v>246895</v>
      </c>
      <c r="E557" s="8" t="s">
        <v>178</v>
      </c>
      <c r="F557" s="12">
        <v>28</v>
      </c>
      <c r="G557" s="8" t="s">
        <v>42</v>
      </c>
      <c r="H557" s="12">
        <v>3201</v>
      </c>
      <c r="I557" t="s">
        <v>51</v>
      </c>
      <c r="J557" t="s">
        <v>62</v>
      </c>
      <c r="K557" t="s">
        <v>63</v>
      </c>
      <c r="N557" s="12"/>
      <c r="O557" s="8"/>
      <c r="P557">
        <v>1</v>
      </c>
      <c r="Q557" s="8">
        <v>1</v>
      </c>
      <c r="R557" s="12">
        <v>2</v>
      </c>
      <c r="S557" s="8">
        <v>2</v>
      </c>
      <c r="T557" s="12"/>
      <c r="U557" s="8"/>
      <c r="V557" s="2">
        <v>45698</v>
      </c>
      <c r="W557" s="2">
        <v>1</v>
      </c>
      <c r="X557" s="2">
        <v>45747</v>
      </c>
      <c r="Y557" s="2">
        <v>45747</v>
      </c>
      <c r="Z557" s="2"/>
      <c r="AE557" s="2"/>
      <c r="AG557" s="17"/>
      <c r="AH557" s="2"/>
    </row>
    <row r="558" spans="1:34" hidden="1" x14ac:dyDescent="0.25">
      <c r="A558" s="12">
        <v>8291</v>
      </c>
      <c r="B558" s="12">
        <v>374</v>
      </c>
      <c r="C558" t="s">
        <v>267</v>
      </c>
      <c r="D558">
        <v>247807</v>
      </c>
      <c r="E558" s="8" t="s">
        <v>112</v>
      </c>
      <c r="F558" s="12">
        <v>21</v>
      </c>
      <c r="G558" s="8" t="s">
        <v>44</v>
      </c>
      <c r="H558" s="12">
        <v>3201</v>
      </c>
      <c r="I558" t="s">
        <v>51</v>
      </c>
      <c r="J558" t="s">
        <v>62</v>
      </c>
      <c r="K558" t="s">
        <v>63</v>
      </c>
      <c r="N558" s="12"/>
      <c r="O558" s="8"/>
      <c r="P558">
        <v>3</v>
      </c>
      <c r="Q558" s="8">
        <v>3</v>
      </c>
      <c r="R558" s="12">
        <v>2</v>
      </c>
      <c r="S558" s="8">
        <v>2</v>
      </c>
      <c r="T558" s="12"/>
      <c r="U558" s="8"/>
      <c r="V558" s="2">
        <v>45688</v>
      </c>
      <c r="W558" s="2">
        <v>1</v>
      </c>
      <c r="X558" s="2">
        <v>45716</v>
      </c>
      <c r="Y558" s="2">
        <v>45716</v>
      </c>
      <c r="Z558" s="2"/>
      <c r="AA558" t="s">
        <v>268</v>
      </c>
      <c r="AB558">
        <v>8291</v>
      </c>
      <c r="AC558">
        <v>76710</v>
      </c>
      <c r="AD558" t="s">
        <v>432</v>
      </c>
      <c r="AE558" s="2">
        <v>45719</v>
      </c>
      <c r="AF558">
        <v>4.25</v>
      </c>
      <c r="AG558" s="17">
        <v>0.17708333333333301</v>
      </c>
      <c r="AH558" s="2">
        <v>45726</v>
      </c>
    </row>
    <row r="559" spans="1:34" hidden="1" x14ac:dyDescent="0.25">
      <c r="A559" s="12">
        <v>8291</v>
      </c>
      <c r="B559" s="12">
        <v>374</v>
      </c>
      <c r="C559" t="s">
        <v>267</v>
      </c>
      <c r="D559">
        <v>247807</v>
      </c>
      <c r="E559" s="8" t="s">
        <v>112</v>
      </c>
      <c r="F559" s="12">
        <v>21</v>
      </c>
      <c r="G559" s="8" t="s">
        <v>44</v>
      </c>
      <c r="H559" s="12">
        <v>3201</v>
      </c>
      <c r="I559" t="s">
        <v>51</v>
      </c>
      <c r="K559" t="s">
        <v>63</v>
      </c>
      <c r="N559" s="12"/>
      <c r="O559" s="8"/>
      <c r="P559">
        <v>3</v>
      </c>
      <c r="Q559" s="8">
        <v>3</v>
      </c>
      <c r="R559" s="12">
        <v>2</v>
      </c>
      <c r="S559" s="8">
        <v>2</v>
      </c>
      <c r="T559" s="12"/>
      <c r="U559" s="8"/>
      <c r="V559" s="2">
        <v>45688</v>
      </c>
      <c r="W559" s="2">
        <v>1</v>
      </c>
      <c r="X559" s="2">
        <v>45716</v>
      </c>
      <c r="Y559" s="2">
        <v>45716</v>
      </c>
      <c r="Z559" s="2"/>
      <c r="AA559" t="s">
        <v>268</v>
      </c>
      <c r="AB559">
        <v>8291</v>
      </c>
      <c r="AC559">
        <v>75009</v>
      </c>
      <c r="AD559" t="s">
        <v>791</v>
      </c>
      <c r="AE559" s="2">
        <v>45719</v>
      </c>
      <c r="AF559">
        <v>4</v>
      </c>
      <c r="AG559" s="17">
        <v>0.16666666666666599</v>
      </c>
      <c r="AH559" s="2">
        <v>45719</v>
      </c>
    </row>
    <row r="560" spans="1:34" hidden="1" x14ac:dyDescent="0.25">
      <c r="A560" s="12">
        <v>8291</v>
      </c>
      <c r="B560" s="12">
        <v>374</v>
      </c>
      <c r="C560" t="s">
        <v>267</v>
      </c>
      <c r="D560">
        <v>247807</v>
      </c>
      <c r="E560" s="8" t="s">
        <v>112</v>
      </c>
      <c r="F560" s="12">
        <v>21</v>
      </c>
      <c r="G560" s="8" t="s">
        <v>44</v>
      </c>
      <c r="H560" s="12">
        <v>3201</v>
      </c>
      <c r="I560" t="s">
        <v>51</v>
      </c>
      <c r="K560" t="s">
        <v>63</v>
      </c>
      <c r="N560" s="12"/>
      <c r="O560" s="8"/>
      <c r="P560">
        <v>3</v>
      </c>
      <c r="Q560" s="8">
        <v>3</v>
      </c>
      <c r="R560" s="12">
        <v>2</v>
      </c>
      <c r="S560" s="8">
        <v>2</v>
      </c>
      <c r="T560" s="12"/>
      <c r="U560" s="8"/>
      <c r="V560" s="2">
        <v>45688</v>
      </c>
      <c r="W560" s="2">
        <v>1</v>
      </c>
      <c r="X560" s="2">
        <v>45716</v>
      </c>
      <c r="Y560" s="2">
        <v>45716</v>
      </c>
      <c r="Z560" s="2"/>
      <c r="AA560" t="s">
        <v>268</v>
      </c>
      <c r="AB560">
        <v>8291</v>
      </c>
      <c r="AC560">
        <v>74894</v>
      </c>
      <c r="AD560" t="s">
        <v>792</v>
      </c>
      <c r="AE560" s="2">
        <v>45716</v>
      </c>
      <c r="AF560">
        <v>4</v>
      </c>
      <c r="AG560" s="17">
        <v>0.16666666666666599</v>
      </c>
      <c r="AH560" s="2">
        <v>45719</v>
      </c>
    </row>
    <row r="561" spans="1:34" hidden="1" x14ac:dyDescent="0.25">
      <c r="A561" s="12">
        <v>8291</v>
      </c>
      <c r="B561" s="12">
        <v>374</v>
      </c>
      <c r="C561" t="s">
        <v>267</v>
      </c>
      <c r="D561">
        <v>247807</v>
      </c>
      <c r="E561" s="8" t="s">
        <v>112</v>
      </c>
      <c r="F561" s="12">
        <v>21</v>
      </c>
      <c r="G561" s="8" t="s">
        <v>44</v>
      </c>
      <c r="H561" s="12">
        <v>3201</v>
      </c>
      <c r="I561" t="s">
        <v>51</v>
      </c>
      <c r="K561" t="s">
        <v>63</v>
      </c>
      <c r="N561" s="12"/>
      <c r="O561" s="8"/>
      <c r="P561">
        <v>3</v>
      </c>
      <c r="Q561" s="8">
        <v>3</v>
      </c>
      <c r="R561" s="12">
        <v>2</v>
      </c>
      <c r="S561" s="8">
        <v>2</v>
      </c>
      <c r="T561" s="12"/>
      <c r="U561" s="8"/>
      <c r="V561" s="2">
        <v>45688</v>
      </c>
      <c r="W561" s="2">
        <v>1</v>
      </c>
      <c r="X561" s="2">
        <v>45716</v>
      </c>
      <c r="Y561" s="2">
        <v>45716</v>
      </c>
      <c r="Z561" s="2"/>
      <c r="AA561" t="s">
        <v>268</v>
      </c>
      <c r="AB561">
        <v>8291</v>
      </c>
      <c r="AC561">
        <v>74892</v>
      </c>
      <c r="AD561" t="s">
        <v>793</v>
      </c>
      <c r="AE561" s="2">
        <v>45716</v>
      </c>
      <c r="AF561">
        <v>4</v>
      </c>
      <c r="AG561" s="17">
        <v>0.16666666666666599</v>
      </c>
      <c r="AH561" s="2">
        <v>45719</v>
      </c>
    </row>
    <row r="562" spans="1:34" hidden="1" x14ac:dyDescent="0.25">
      <c r="A562" s="12">
        <v>8291</v>
      </c>
      <c r="B562" s="12">
        <v>374</v>
      </c>
      <c r="C562" t="s">
        <v>267</v>
      </c>
      <c r="D562">
        <v>247807</v>
      </c>
      <c r="E562" s="8" t="s">
        <v>112</v>
      </c>
      <c r="F562" s="12">
        <v>21</v>
      </c>
      <c r="G562" s="8" t="s">
        <v>44</v>
      </c>
      <c r="H562" s="12">
        <v>3201</v>
      </c>
      <c r="I562" t="s">
        <v>51</v>
      </c>
      <c r="K562" t="s">
        <v>63</v>
      </c>
      <c r="N562" s="12"/>
      <c r="O562" s="8"/>
      <c r="P562">
        <v>3</v>
      </c>
      <c r="Q562" s="8">
        <v>3</v>
      </c>
      <c r="R562" s="12">
        <v>2</v>
      </c>
      <c r="S562" s="8">
        <v>2</v>
      </c>
      <c r="T562" s="12"/>
      <c r="U562" s="8"/>
      <c r="V562" s="2">
        <v>45688</v>
      </c>
      <c r="W562" s="2">
        <v>1</v>
      </c>
      <c r="X562" s="2">
        <v>45716</v>
      </c>
      <c r="Y562" s="2">
        <v>45716</v>
      </c>
      <c r="Z562" s="2"/>
      <c r="AA562" t="s">
        <v>268</v>
      </c>
      <c r="AB562">
        <v>8291</v>
      </c>
      <c r="AC562">
        <v>74891</v>
      </c>
      <c r="AD562" t="s">
        <v>794</v>
      </c>
      <c r="AE562" s="2">
        <v>45715</v>
      </c>
      <c r="AF562">
        <v>0.75</v>
      </c>
      <c r="AG562" s="17">
        <v>3.125E-2</v>
      </c>
      <c r="AH562" s="2">
        <v>45719</v>
      </c>
    </row>
    <row r="563" spans="1:34" hidden="1" x14ac:dyDescent="0.25">
      <c r="A563" s="12">
        <v>8291</v>
      </c>
      <c r="B563" s="12">
        <v>374</v>
      </c>
      <c r="C563" t="s">
        <v>267</v>
      </c>
      <c r="D563">
        <v>247807</v>
      </c>
      <c r="E563" s="8" t="s">
        <v>112</v>
      </c>
      <c r="F563" s="12">
        <v>21</v>
      </c>
      <c r="G563" s="8" t="s">
        <v>44</v>
      </c>
      <c r="H563" s="12">
        <v>3201</v>
      </c>
      <c r="I563" t="s">
        <v>51</v>
      </c>
      <c r="K563" t="s">
        <v>63</v>
      </c>
      <c r="N563" s="12"/>
      <c r="O563" s="8"/>
      <c r="P563">
        <v>3</v>
      </c>
      <c r="Q563" s="8">
        <v>3</v>
      </c>
      <c r="R563" s="12">
        <v>2</v>
      </c>
      <c r="S563" s="8">
        <v>2</v>
      </c>
      <c r="T563" s="12"/>
      <c r="U563" s="8"/>
      <c r="V563" s="2">
        <v>45688</v>
      </c>
      <c r="W563" s="2">
        <v>1</v>
      </c>
      <c r="X563" s="2">
        <v>45716</v>
      </c>
      <c r="Y563" s="2">
        <v>45716</v>
      </c>
      <c r="Z563" s="2"/>
      <c r="AA563" t="s">
        <v>268</v>
      </c>
      <c r="AB563">
        <v>8291</v>
      </c>
      <c r="AC563">
        <v>74889</v>
      </c>
      <c r="AD563" t="s">
        <v>360</v>
      </c>
      <c r="AE563" s="2">
        <v>45715</v>
      </c>
      <c r="AF563">
        <v>4</v>
      </c>
      <c r="AG563" s="17">
        <v>0.16666666666666599</v>
      </c>
      <c r="AH563" s="2">
        <v>45719</v>
      </c>
    </row>
    <row r="564" spans="1:34" hidden="1" x14ac:dyDescent="0.25">
      <c r="A564" s="12">
        <v>8291</v>
      </c>
      <c r="B564" s="12">
        <v>374</v>
      </c>
      <c r="C564" t="s">
        <v>267</v>
      </c>
      <c r="D564">
        <v>247807</v>
      </c>
      <c r="E564" s="8" t="s">
        <v>112</v>
      </c>
      <c r="F564" s="12">
        <v>21</v>
      </c>
      <c r="G564" s="8" t="s">
        <v>44</v>
      </c>
      <c r="H564" s="12">
        <v>3201</v>
      </c>
      <c r="I564" t="s">
        <v>51</v>
      </c>
      <c r="K564" t="s">
        <v>63</v>
      </c>
      <c r="N564" s="12"/>
      <c r="O564" s="8"/>
      <c r="P564">
        <v>3</v>
      </c>
      <c r="Q564" s="8">
        <v>3</v>
      </c>
      <c r="R564" s="12">
        <v>2</v>
      </c>
      <c r="S564" s="8">
        <v>2</v>
      </c>
      <c r="T564" s="12"/>
      <c r="U564" s="8"/>
      <c r="V564" s="2">
        <v>45688</v>
      </c>
      <c r="W564" s="2">
        <v>1</v>
      </c>
      <c r="X564" s="2">
        <v>45716</v>
      </c>
      <c r="Y564" s="2">
        <v>45716</v>
      </c>
      <c r="Z564" s="2"/>
      <c r="AA564" t="s">
        <v>268</v>
      </c>
      <c r="AB564">
        <v>8291</v>
      </c>
      <c r="AC564">
        <v>74884</v>
      </c>
      <c r="AD564" t="s">
        <v>795</v>
      </c>
      <c r="AE564" s="2">
        <v>45715</v>
      </c>
      <c r="AF564">
        <v>2.75</v>
      </c>
      <c r="AG564" s="17">
        <v>0.114583333333333</v>
      </c>
      <c r="AH564" s="2">
        <v>45719</v>
      </c>
    </row>
    <row r="565" spans="1:34" hidden="1" x14ac:dyDescent="0.25">
      <c r="A565" s="12">
        <v>8291</v>
      </c>
      <c r="B565" s="12">
        <v>374</v>
      </c>
      <c r="C565" t="s">
        <v>267</v>
      </c>
      <c r="D565">
        <v>247807</v>
      </c>
      <c r="E565" s="8" t="s">
        <v>112</v>
      </c>
      <c r="F565" s="12">
        <v>21</v>
      </c>
      <c r="G565" s="8" t="s">
        <v>44</v>
      </c>
      <c r="H565" s="12">
        <v>3201</v>
      </c>
      <c r="I565" t="s">
        <v>51</v>
      </c>
      <c r="K565" t="s">
        <v>63</v>
      </c>
      <c r="N565" s="12"/>
      <c r="O565" s="8"/>
      <c r="P565">
        <v>3</v>
      </c>
      <c r="Q565" s="8">
        <v>3</v>
      </c>
      <c r="R565" s="12">
        <v>2</v>
      </c>
      <c r="S565" s="8">
        <v>2</v>
      </c>
      <c r="T565" s="12"/>
      <c r="U565" s="8"/>
      <c r="V565" s="2">
        <v>45688</v>
      </c>
      <c r="W565" s="2">
        <v>1</v>
      </c>
      <c r="X565" s="2">
        <v>45716</v>
      </c>
      <c r="Y565" s="2">
        <v>45716</v>
      </c>
      <c r="Z565" s="2"/>
      <c r="AA565" t="s">
        <v>268</v>
      </c>
      <c r="AB565">
        <v>8291</v>
      </c>
      <c r="AC565">
        <v>74888</v>
      </c>
      <c r="AD565" t="s">
        <v>360</v>
      </c>
      <c r="AE565" s="2">
        <v>45714</v>
      </c>
      <c r="AF565">
        <v>3</v>
      </c>
      <c r="AG565" s="17">
        <v>0.125</v>
      </c>
      <c r="AH565" s="2">
        <v>45719</v>
      </c>
    </row>
    <row r="566" spans="1:34" hidden="1" x14ac:dyDescent="0.25">
      <c r="A566" s="12">
        <v>8291</v>
      </c>
      <c r="B566" s="12">
        <v>374</v>
      </c>
      <c r="C566" t="s">
        <v>267</v>
      </c>
      <c r="D566">
        <v>247807</v>
      </c>
      <c r="E566" s="8" t="s">
        <v>112</v>
      </c>
      <c r="F566" s="12">
        <v>21</v>
      </c>
      <c r="G566" s="8" t="s">
        <v>44</v>
      </c>
      <c r="H566" s="12">
        <v>3201</v>
      </c>
      <c r="I566" t="s">
        <v>51</v>
      </c>
      <c r="K566" t="s">
        <v>63</v>
      </c>
      <c r="N566" s="12"/>
      <c r="O566" s="8"/>
      <c r="P566">
        <v>3</v>
      </c>
      <c r="Q566" s="8">
        <v>3</v>
      </c>
      <c r="R566" s="12">
        <v>2</v>
      </c>
      <c r="S566" s="8">
        <v>2</v>
      </c>
      <c r="T566" s="12"/>
      <c r="U566" s="8"/>
      <c r="V566" s="2">
        <v>45688</v>
      </c>
      <c r="W566" s="2">
        <v>1</v>
      </c>
      <c r="X566" s="2">
        <v>45716</v>
      </c>
      <c r="Y566" s="2">
        <v>45716</v>
      </c>
      <c r="Z566" s="2"/>
      <c r="AA566" t="s">
        <v>268</v>
      </c>
      <c r="AB566">
        <v>8291</v>
      </c>
      <c r="AC566">
        <v>74886</v>
      </c>
      <c r="AD566" t="s">
        <v>796</v>
      </c>
      <c r="AE566" s="2">
        <v>45714</v>
      </c>
      <c r="AF566">
        <v>6</v>
      </c>
      <c r="AG566" s="17">
        <v>0.25</v>
      </c>
      <c r="AH566" s="2">
        <v>45719</v>
      </c>
    </row>
    <row r="567" spans="1:34" hidden="1" x14ac:dyDescent="0.25">
      <c r="A567" s="12">
        <v>8291</v>
      </c>
      <c r="B567" s="12">
        <v>374</v>
      </c>
      <c r="C567" t="s">
        <v>267</v>
      </c>
      <c r="D567">
        <v>247807</v>
      </c>
      <c r="E567" s="8" t="s">
        <v>112</v>
      </c>
      <c r="F567" s="12">
        <v>21</v>
      </c>
      <c r="G567" s="8" t="s">
        <v>44</v>
      </c>
      <c r="H567" s="12">
        <v>3201</v>
      </c>
      <c r="I567" t="s">
        <v>51</v>
      </c>
      <c r="K567" t="s">
        <v>63</v>
      </c>
      <c r="N567" s="12"/>
      <c r="O567" s="8"/>
      <c r="P567">
        <v>3</v>
      </c>
      <c r="Q567" s="8">
        <v>3</v>
      </c>
      <c r="R567" s="12">
        <v>2</v>
      </c>
      <c r="S567" s="8">
        <v>2</v>
      </c>
      <c r="T567" s="12"/>
      <c r="U567" s="8"/>
      <c r="V567" s="2">
        <v>45688</v>
      </c>
      <c r="W567" s="2">
        <v>1</v>
      </c>
      <c r="X567" s="2">
        <v>45716</v>
      </c>
      <c r="Y567" s="2">
        <v>45716</v>
      </c>
      <c r="Z567" s="2"/>
      <c r="AA567" t="s">
        <v>268</v>
      </c>
      <c r="AB567">
        <v>8291</v>
      </c>
      <c r="AC567">
        <v>73483</v>
      </c>
      <c r="AD567" t="s">
        <v>797</v>
      </c>
      <c r="AE567" s="2">
        <v>45713</v>
      </c>
      <c r="AF567">
        <v>1.1666666666666601</v>
      </c>
      <c r="AG567" s="17">
        <v>4.8611111111111098E-2</v>
      </c>
      <c r="AH567" s="2">
        <v>45713</v>
      </c>
    </row>
    <row r="568" spans="1:34" hidden="1" x14ac:dyDescent="0.25">
      <c r="A568" s="12">
        <v>8291</v>
      </c>
      <c r="B568" s="12">
        <v>374</v>
      </c>
      <c r="C568" t="s">
        <v>267</v>
      </c>
      <c r="D568">
        <v>247807</v>
      </c>
      <c r="E568" s="8" t="s">
        <v>112</v>
      </c>
      <c r="F568" s="12">
        <v>21</v>
      </c>
      <c r="G568" s="8" t="s">
        <v>44</v>
      </c>
      <c r="H568" s="12">
        <v>3201</v>
      </c>
      <c r="I568" t="s">
        <v>51</v>
      </c>
      <c r="K568" t="s">
        <v>63</v>
      </c>
      <c r="N568" s="12"/>
      <c r="O568" s="8"/>
      <c r="P568">
        <v>3</v>
      </c>
      <c r="Q568" s="8">
        <v>3</v>
      </c>
      <c r="R568" s="12">
        <v>2</v>
      </c>
      <c r="S568" s="8">
        <v>2</v>
      </c>
      <c r="T568" s="12"/>
      <c r="U568" s="8"/>
      <c r="V568" s="2">
        <v>45688</v>
      </c>
      <c r="W568" s="2">
        <v>1</v>
      </c>
      <c r="X568" s="2">
        <v>45716</v>
      </c>
      <c r="Y568" s="2">
        <v>45716</v>
      </c>
      <c r="Z568" s="2"/>
      <c r="AA568" t="s">
        <v>268</v>
      </c>
      <c r="AB568">
        <v>8291</v>
      </c>
      <c r="AC568">
        <v>73442</v>
      </c>
      <c r="AD568" t="s">
        <v>798</v>
      </c>
      <c r="AE568" s="2">
        <v>45713</v>
      </c>
      <c r="AF568">
        <v>1</v>
      </c>
      <c r="AG568" s="17">
        <v>4.1666666666666602E-2</v>
      </c>
      <c r="AH568" s="2">
        <v>45713</v>
      </c>
    </row>
    <row r="569" spans="1:34" hidden="1" x14ac:dyDescent="0.25">
      <c r="A569" s="12">
        <v>8291</v>
      </c>
      <c r="B569" s="12">
        <v>374</v>
      </c>
      <c r="C569" t="s">
        <v>267</v>
      </c>
      <c r="D569">
        <v>247807</v>
      </c>
      <c r="E569" s="8" t="s">
        <v>112</v>
      </c>
      <c r="F569" s="12">
        <v>21</v>
      </c>
      <c r="G569" s="8" t="s">
        <v>44</v>
      </c>
      <c r="H569" s="12">
        <v>3201</v>
      </c>
      <c r="I569" t="s">
        <v>51</v>
      </c>
      <c r="K569" t="s">
        <v>63</v>
      </c>
      <c r="N569" s="12"/>
      <c r="O569" s="8"/>
      <c r="P569">
        <v>3</v>
      </c>
      <c r="Q569" s="8">
        <v>3</v>
      </c>
      <c r="R569" s="12">
        <v>2</v>
      </c>
      <c r="S569" s="8">
        <v>2</v>
      </c>
      <c r="T569" s="12"/>
      <c r="U569" s="8"/>
      <c r="V569" s="2">
        <v>45688</v>
      </c>
      <c r="W569" s="2">
        <v>1</v>
      </c>
      <c r="X569" s="2">
        <v>45716</v>
      </c>
      <c r="Y569" s="2">
        <v>45716</v>
      </c>
      <c r="Z569" s="2"/>
      <c r="AA569" t="s">
        <v>268</v>
      </c>
      <c r="AB569">
        <v>8291</v>
      </c>
      <c r="AC569">
        <v>73438</v>
      </c>
      <c r="AD569" t="s">
        <v>799</v>
      </c>
      <c r="AE569" s="2">
        <v>45713</v>
      </c>
      <c r="AF569">
        <v>0.33333333333333298</v>
      </c>
      <c r="AG569" s="17">
        <v>1.38888888888888E-2</v>
      </c>
      <c r="AH569" s="2">
        <v>45713</v>
      </c>
    </row>
    <row r="570" spans="1:34" hidden="1" x14ac:dyDescent="0.25">
      <c r="A570" s="12">
        <v>8291</v>
      </c>
      <c r="B570" s="12">
        <v>374</v>
      </c>
      <c r="C570" t="s">
        <v>267</v>
      </c>
      <c r="D570">
        <v>247807</v>
      </c>
      <c r="E570" s="8" t="s">
        <v>112</v>
      </c>
      <c r="F570" s="12">
        <v>21</v>
      </c>
      <c r="G570" s="8" t="s">
        <v>44</v>
      </c>
      <c r="H570" s="12">
        <v>3201</v>
      </c>
      <c r="I570" t="s">
        <v>51</v>
      </c>
      <c r="K570" t="s">
        <v>63</v>
      </c>
      <c r="N570" s="12"/>
      <c r="O570" s="8"/>
      <c r="P570">
        <v>3</v>
      </c>
      <c r="Q570" s="8">
        <v>3</v>
      </c>
      <c r="R570" s="12">
        <v>2</v>
      </c>
      <c r="S570" s="8">
        <v>2</v>
      </c>
      <c r="T570" s="12"/>
      <c r="U570" s="8"/>
      <c r="V570" s="2">
        <v>45688</v>
      </c>
      <c r="W570" s="2">
        <v>1</v>
      </c>
      <c r="X570" s="2">
        <v>45716</v>
      </c>
      <c r="Y570" s="2">
        <v>45716</v>
      </c>
      <c r="Z570" s="2"/>
      <c r="AA570" t="s">
        <v>268</v>
      </c>
      <c r="AB570">
        <v>8291</v>
      </c>
      <c r="AC570">
        <v>73437</v>
      </c>
      <c r="AD570" t="s">
        <v>800</v>
      </c>
      <c r="AE570" s="2">
        <v>45713</v>
      </c>
      <c r="AF570">
        <v>4</v>
      </c>
      <c r="AG570" s="17">
        <v>0.16666666666666599</v>
      </c>
      <c r="AH570" s="2">
        <v>45713</v>
      </c>
    </row>
    <row r="571" spans="1:34" hidden="1" x14ac:dyDescent="0.25">
      <c r="A571" s="12">
        <v>8291</v>
      </c>
      <c r="B571" s="12">
        <v>374</v>
      </c>
      <c r="C571" t="s">
        <v>267</v>
      </c>
      <c r="D571">
        <v>247807</v>
      </c>
      <c r="E571" s="8" t="s">
        <v>112</v>
      </c>
      <c r="F571" s="12">
        <v>21</v>
      </c>
      <c r="G571" s="8" t="s">
        <v>44</v>
      </c>
      <c r="H571" s="12">
        <v>3201</v>
      </c>
      <c r="I571" t="s">
        <v>51</v>
      </c>
      <c r="K571" t="s">
        <v>63</v>
      </c>
      <c r="N571" s="12"/>
      <c r="O571" s="8"/>
      <c r="P571">
        <v>3</v>
      </c>
      <c r="Q571" s="8">
        <v>3</v>
      </c>
      <c r="R571" s="12">
        <v>2</v>
      </c>
      <c r="S571" s="8">
        <v>2</v>
      </c>
      <c r="T571" s="12"/>
      <c r="U571" s="8"/>
      <c r="V571" s="2">
        <v>45688</v>
      </c>
      <c r="W571" s="2">
        <v>1</v>
      </c>
      <c r="X571" s="2">
        <v>45716</v>
      </c>
      <c r="Y571" s="2">
        <v>45716</v>
      </c>
      <c r="Z571" s="2"/>
      <c r="AA571" t="s">
        <v>268</v>
      </c>
      <c r="AB571">
        <v>8291</v>
      </c>
      <c r="AC571">
        <v>73423</v>
      </c>
      <c r="AD571" t="s">
        <v>801</v>
      </c>
      <c r="AE571" s="2">
        <v>45712</v>
      </c>
      <c r="AF571">
        <v>3</v>
      </c>
      <c r="AG571" s="17">
        <v>0.125</v>
      </c>
      <c r="AH571" s="2">
        <v>45713</v>
      </c>
    </row>
    <row r="572" spans="1:34" hidden="1" x14ac:dyDescent="0.25">
      <c r="A572" s="12">
        <v>8291</v>
      </c>
      <c r="B572" s="12">
        <v>374</v>
      </c>
      <c r="C572" t="s">
        <v>267</v>
      </c>
      <c r="D572">
        <v>247807</v>
      </c>
      <c r="E572" s="8" t="s">
        <v>112</v>
      </c>
      <c r="F572" s="12">
        <v>21</v>
      </c>
      <c r="G572" s="8" t="s">
        <v>44</v>
      </c>
      <c r="H572" s="12">
        <v>3201</v>
      </c>
      <c r="I572" t="s">
        <v>51</v>
      </c>
      <c r="K572" t="s">
        <v>63</v>
      </c>
      <c r="N572" s="12"/>
      <c r="O572" s="8"/>
      <c r="P572">
        <v>3</v>
      </c>
      <c r="Q572" s="8">
        <v>3</v>
      </c>
      <c r="R572" s="12">
        <v>2</v>
      </c>
      <c r="S572" s="8">
        <v>2</v>
      </c>
      <c r="T572" s="12"/>
      <c r="U572" s="8"/>
      <c r="V572" s="2">
        <v>45688</v>
      </c>
      <c r="W572" s="2">
        <v>1</v>
      </c>
      <c r="X572" s="2">
        <v>45716</v>
      </c>
      <c r="Y572" s="2">
        <v>45716</v>
      </c>
      <c r="Z572" s="2"/>
      <c r="AA572" t="s">
        <v>268</v>
      </c>
      <c r="AB572">
        <v>8291</v>
      </c>
      <c r="AC572">
        <v>73422</v>
      </c>
      <c r="AD572" t="s">
        <v>802</v>
      </c>
      <c r="AE572" s="2">
        <v>45712</v>
      </c>
      <c r="AF572">
        <v>2</v>
      </c>
      <c r="AG572" s="17">
        <v>8.3333333333333301E-2</v>
      </c>
      <c r="AH572" s="2">
        <v>45713</v>
      </c>
    </row>
    <row r="573" spans="1:34" hidden="1" x14ac:dyDescent="0.25">
      <c r="A573" s="12">
        <v>8291</v>
      </c>
      <c r="B573" s="12">
        <v>374</v>
      </c>
      <c r="C573" t="s">
        <v>267</v>
      </c>
      <c r="D573">
        <v>247807</v>
      </c>
      <c r="E573" s="8" t="s">
        <v>112</v>
      </c>
      <c r="F573" s="12">
        <v>21</v>
      </c>
      <c r="G573" s="8" t="s">
        <v>44</v>
      </c>
      <c r="H573" s="12">
        <v>3201</v>
      </c>
      <c r="I573" t="s">
        <v>51</v>
      </c>
      <c r="K573" t="s">
        <v>63</v>
      </c>
      <c r="N573" s="12"/>
      <c r="O573" s="8"/>
      <c r="P573">
        <v>3</v>
      </c>
      <c r="Q573" s="8">
        <v>3</v>
      </c>
      <c r="R573" s="12">
        <v>2</v>
      </c>
      <c r="S573" s="8">
        <v>2</v>
      </c>
      <c r="T573" s="12"/>
      <c r="U573" s="8"/>
      <c r="V573" s="2">
        <v>45688</v>
      </c>
      <c r="W573" s="2">
        <v>1</v>
      </c>
      <c r="X573" s="2">
        <v>45716</v>
      </c>
      <c r="Y573" s="2">
        <v>45716</v>
      </c>
      <c r="Z573" s="2"/>
      <c r="AA573" t="s">
        <v>268</v>
      </c>
      <c r="AB573">
        <v>8291</v>
      </c>
      <c r="AC573">
        <v>73141</v>
      </c>
      <c r="AD573" t="s">
        <v>803</v>
      </c>
      <c r="AE573" s="2">
        <v>45712</v>
      </c>
      <c r="AF573">
        <v>4</v>
      </c>
      <c r="AG573" s="17">
        <v>0.16666666666666599</v>
      </c>
      <c r="AH573" s="2">
        <v>45712</v>
      </c>
    </row>
    <row r="574" spans="1:34" hidden="1" x14ac:dyDescent="0.25">
      <c r="A574" s="12">
        <v>8291</v>
      </c>
      <c r="B574" s="12">
        <v>374</v>
      </c>
      <c r="C574" t="s">
        <v>267</v>
      </c>
      <c r="D574">
        <v>247807</v>
      </c>
      <c r="E574" s="8" t="s">
        <v>112</v>
      </c>
      <c r="F574" s="12">
        <v>21</v>
      </c>
      <c r="G574" s="8" t="s">
        <v>44</v>
      </c>
      <c r="H574" s="12">
        <v>3201</v>
      </c>
      <c r="I574" t="s">
        <v>51</v>
      </c>
      <c r="K574" t="s">
        <v>63</v>
      </c>
      <c r="N574" s="12"/>
      <c r="O574" s="8"/>
      <c r="P574">
        <v>3</v>
      </c>
      <c r="Q574" s="8">
        <v>3</v>
      </c>
      <c r="R574" s="12">
        <v>2</v>
      </c>
      <c r="S574" s="8">
        <v>2</v>
      </c>
      <c r="T574" s="12"/>
      <c r="U574" s="8"/>
      <c r="V574" s="2">
        <v>45688</v>
      </c>
      <c r="W574" s="2">
        <v>1</v>
      </c>
      <c r="X574" s="2">
        <v>45716</v>
      </c>
      <c r="Y574" s="2">
        <v>45716</v>
      </c>
      <c r="Z574" s="2"/>
      <c r="AA574" t="s">
        <v>268</v>
      </c>
      <c r="AB574">
        <v>8291</v>
      </c>
      <c r="AC574">
        <v>73138</v>
      </c>
      <c r="AD574" t="s">
        <v>804</v>
      </c>
      <c r="AE574" s="2">
        <v>45709</v>
      </c>
      <c r="AF574">
        <v>6</v>
      </c>
      <c r="AG574" s="17">
        <v>0.25</v>
      </c>
      <c r="AH574" s="2">
        <v>45712</v>
      </c>
    </row>
    <row r="575" spans="1:34" hidden="1" x14ac:dyDescent="0.25">
      <c r="A575" s="12">
        <v>8291</v>
      </c>
      <c r="B575" s="12">
        <v>374</v>
      </c>
      <c r="C575" t="s">
        <v>267</v>
      </c>
      <c r="D575">
        <v>247807</v>
      </c>
      <c r="E575" s="8" t="s">
        <v>112</v>
      </c>
      <c r="F575" s="12">
        <v>21</v>
      </c>
      <c r="G575" s="8" t="s">
        <v>44</v>
      </c>
      <c r="H575" s="12">
        <v>3201</v>
      </c>
      <c r="I575" t="s">
        <v>51</v>
      </c>
      <c r="K575" t="s">
        <v>63</v>
      </c>
      <c r="N575" s="12"/>
      <c r="O575" s="8"/>
      <c r="P575">
        <v>3</v>
      </c>
      <c r="Q575" s="8">
        <v>3</v>
      </c>
      <c r="R575" s="12">
        <v>2</v>
      </c>
      <c r="S575" s="8">
        <v>2</v>
      </c>
      <c r="T575" s="12"/>
      <c r="U575" s="8"/>
      <c r="V575" s="2">
        <v>45688</v>
      </c>
      <c r="W575" s="2">
        <v>1</v>
      </c>
      <c r="X575" s="2">
        <v>45716</v>
      </c>
      <c r="Y575" s="2">
        <v>45716</v>
      </c>
      <c r="Z575" s="2"/>
      <c r="AA575" t="s">
        <v>268</v>
      </c>
      <c r="AB575">
        <v>8291</v>
      </c>
      <c r="AC575">
        <v>72190</v>
      </c>
      <c r="AD575" t="s">
        <v>805</v>
      </c>
      <c r="AE575" s="2">
        <v>45708</v>
      </c>
      <c r="AF575">
        <v>4</v>
      </c>
      <c r="AG575" s="17">
        <v>0.16666666666666599</v>
      </c>
      <c r="AH575" s="2">
        <v>45708</v>
      </c>
    </row>
    <row r="576" spans="1:34" hidden="1" x14ac:dyDescent="0.25">
      <c r="A576" s="12">
        <v>8291</v>
      </c>
      <c r="B576" s="12">
        <v>374</v>
      </c>
      <c r="C576" t="s">
        <v>267</v>
      </c>
      <c r="D576">
        <v>247807</v>
      </c>
      <c r="E576" s="8" t="s">
        <v>112</v>
      </c>
      <c r="F576" s="12">
        <v>21</v>
      </c>
      <c r="G576" s="8" t="s">
        <v>44</v>
      </c>
      <c r="H576" s="12">
        <v>3201</v>
      </c>
      <c r="I576" t="s">
        <v>51</v>
      </c>
      <c r="K576" t="s">
        <v>63</v>
      </c>
      <c r="N576" s="12"/>
      <c r="O576" s="8"/>
      <c r="P576">
        <v>3</v>
      </c>
      <c r="Q576" s="8">
        <v>3</v>
      </c>
      <c r="R576" s="12">
        <v>2</v>
      </c>
      <c r="S576" s="8">
        <v>2</v>
      </c>
      <c r="T576" s="12"/>
      <c r="U576" s="8"/>
      <c r="V576" s="2">
        <v>45688</v>
      </c>
      <c r="W576" s="2">
        <v>1</v>
      </c>
      <c r="X576" s="2">
        <v>45716</v>
      </c>
      <c r="Y576" s="2">
        <v>45716</v>
      </c>
      <c r="Z576" s="2"/>
      <c r="AA576" t="s">
        <v>268</v>
      </c>
      <c r="AB576">
        <v>8291</v>
      </c>
      <c r="AC576">
        <v>71921</v>
      </c>
      <c r="AD576" t="s">
        <v>806</v>
      </c>
      <c r="AE576" s="2">
        <v>45707</v>
      </c>
      <c r="AF576">
        <v>2</v>
      </c>
      <c r="AG576" s="17">
        <v>8.3333333333333301E-2</v>
      </c>
      <c r="AH576" s="2">
        <v>45707</v>
      </c>
    </row>
    <row r="577" spans="1:34" hidden="1" x14ac:dyDescent="0.25">
      <c r="A577" s="12">
        <v>8291</v>
      </c>
      <c r="B577" s="12">
        <v>374</v>
      </c>
      <c r="C577" t="s">
        <v>267</v>
      </c>
      <c r="D577">
        <v>247807</v>
      </c>
      <c r="E577" s="8" t="s">
        <v>112</v>
      </c>
      <c r="F577" s="12">
        <v>21</v>
      </c>
      <c r="G577" s="8" t="s">
        <v>44</v>
      </c>
      <c r="H577" s="12">
        <v>3201</v>
      </c>
      <c r="I577" t="s">
        <v>51</v>
      </c>
      <c r="K577" t="s">
        <v>63</v>
      </c>
      <c r="N577" s="12"/>
      <c r="O577" s="8"/>
      <c r="P577">
        <v>3</v>
      </c>
      <c r="Q577" s="8">
        <v>3</v>
      </c>
      <c r="R577" s="12">
        <v>2</v>
      </c>
      <c r="S577" s="8">
        <v>2</v>
      </c>
      <c r="T577" s="12"/>
      <c r="U577" s="8"/>
      <c r="V577" s="2">
        <v>45688</v>
      </c>
      <c r="W577" s="2">
        <v>1</v>
      </c>
      <c r="X577" s="2">
        <v>45716</v>
      </c>
      <c r="Y577" s="2">
        <v>45716</v>
      </c>
      <c r="Z577" s="2"/>
      <c r="AA577" t="s">
        <v>268</v>
      </c>
      <c r="AB577">
        <v>8291</v>
      </c>
      <c r="AC577">
        <v>71920</v>
      </c>
      <c r="AD577" t="s">
        <v>807</v>
      </c>
      <c r="AE577" s="2">
        <v>45707</v>
      </c>
      <c r="AF577">
        <v>4</v>
      </c>
      <c r="AG577" s="17">
        <v>0.16666666666666599</v>
      </c>
      <c r="AH577" s="2">
        <v>45707</v>
      </c>
    </row>
    <row r="578" spans="1:34" hidden="1" x14ac:dyDescent="0.25">
      <c r="A578" s="12">
        <v>8291</v>
      </c>
      <c r="B578" s="12">
        <v>374</v>
      </c>
      <c r="C578" t="s">
        <v>267</v>
      </c>
      <c r="D578">
        <v>247807</v>
      </c>
      <c r="E578" s="8" t="s">
        <v>112</v>
      </c>
      <c r="F578" s="12">
        <v>21</v>
      </c>
      <c r="G578" s="8" t="s">
        <v>44</v>
      </c>
      <c r="H578" s="12">
        <v>3201</v>
      </c>
      <c r="I578" t="s">
        <v>51</v>
      </c>
      <c r="K578" t="s">
        <v>63</v>
      </c>
      <c r="N578" s="12"/>
      <c r="O578" s="8"/>
      <c r="P578">
        <v>3</v>
      </c>
      <c r="Q578" s="8">
        <v>3</v>
      </c>
      <c r="R578" s="12">
        <v>2</v>
      </c>
      <c r="S578" s="8">
        <v>2</v>
      </c>
      <c r="T578" s="12"/>
      <c r="U578" s="8"/>
      <c r="V578" s="2">
        <v>45688</v>
      </c>
      <c r="W578" s="2">
        <v>1</v>
      </c>
      <c r="X578" s="2">
        <v>45716</v>
      </c>
      <c r="Y578" s="2">
        <v>45716</v>
      </c>
      <c r="Z578" s="2"/>
      <c r="AA578" t="s">
        <v>268</v>
      </c>
      <c r="AB578">
        <v>8291</v>
      </c>
      <c r="AC578">
        <v>71919</v>
      </c>
      <c r="AD578" t="s">
        <v>808</v>
      </c>
      <c r="AE578" s="2">
        <v>45707</v>
      </c>
      <c r="AF578">
        <v>2</v>
      </c>
      <c r="AG578" s="17">
        <v>8.3333333333333301E-2</v>
      </c>
      <c r="AH578" s="2">
        <v>45707</v>
      </c>
    </row>
    <row r="579" spans="1:34" hidden="1" x14ac:dyDescent="0.25">
      <c r="A579" s="12">
        <v>8291</v>
      </c>
      <c r="B579" s="12">
        <v>374</v>
      </c>
      <c r="C579" t="s">
        <v>267</v>
      </c>
      <c r="D579">
        <v>247807</v>
      </c>
      <c r="E579" s="8" t="s">
        <v>112</v>
      </c>
      <c r="F579" s="12">
        <v>21</v>
      </c>
      <c r="G579" s="8" t="s">
        <v>44</v>
      </c>
      <c r="H579" s="12">
        <v>3201</v>
      </c>
      <c r="I579" t="s">
        <v>51</v>
      </c>
      <c r="K579" t="s">
        <v>63</v>
      </c>
      <c r="N579" s="12"/>
      <c r="O579" s="8"/>
      <c r="P579">
        <v>3</v>
      </c>
      <c r="Q579" s="8">
        <v>3</v>
      </c>
      <c r="R579" s="12">
        <v>2</v>
      </c>
      <c r="S579" s="8">
        <v>2</v>
      </c>
      <c r="T579" s="12"/>
      <c r="U579" s="8"/>
      <c r="V579" s="2">
        <v>45688</v>
      </c>
      <c r="W579" s="2">
        <v>1</v>
      </c>
      <c r="X579" s="2">
        <v>45716</v>
      </c>
      <c r="Y579" s="2">
        <v>45716</v>
      </c>
      <c r="Z579" s="2"/>
      <c r="AA579" t="s">
        <v>268</v>
      </c>
      <c r="AB579">
        <v>8291</v>
      </c>
      <c r="AC579">
        <v>71811</v>
      </c>
      <c r="AD579" t="s">
        <v>573</v>
      </c>
      <c r="AE579" s="2">
        <v>45706</v>
      </c>
      <c r="AF579">
        <v>1</v>
      </c>
      <c r="AG579" s="17">
        <v>4.1666666666666602E-2</v>
      </c>
      <c r="AH579" s="2">
        <v>45707</v>
      </c>
    </row>
    <row r="580" spans="1:34" hidden="1" x14ac:dyDescent="0.25">
      <c r="A580" s="12">
        <v>8291</v>
      </c>
      <c r="B580" s="12">
        <v>374</v>
      </c>
      <c r="C580" t="s">
        <v>267</v>
      </c>
      <c r="D580">
        <v>247807</v>
      </c>
      <c r="E580" s="8" t="s">
        <v>112</v>
      </c>
      <c r="F580" s="12">
        <v>21</v>
      </c>
      <c r="G580" s="8" t="s">
        <v>44</v>
      </c>
      <c r="H580" s="12">
        <v>3201</v>
      </c>
      <c r="I580" t="s">
        <v>51</v>
      </c>
      <c r="K580" t="s">
        <v>63</v>
      </c>
      <c r="N580" s="12"/>
      <c r="O580" s="8"/>
      <c r="P580">
        <v>3</v>
      </c>
      <c r="Q580" s="8">
        <v>3</v>
      </c>
      <c r="R580" s="12">
        <v>2</v>
      </c>
      <c r="S580" s="8">
        <v>2</v>
      </c>
      <c r="T580" s="12"/>
      <c r="U580" s="8"/>
      <c r="V580" s="2">
        <v>45688</v>
      </c>
      <c r="W580" s="2">
        <v>1</v>
      </c>
      <c r="X580" s="2">
        <v>45716</v>
      </c>
      <c r="Y580" s="2">
        <v>45716</v>
      </c>
      <c r="Z580" s="2"/>
      <c r="AA580" t="s">
        <v>268</v>
      </c>
      <c r="AB580">
        <v>8291</v>
      </c>
      <c r="AC580">
        <v>71810</v>
      </c>
      <c r="AD580" t="s">
        <v>809</v>
      </c>
      <c r="AE580" s="2">
        <v>45706</v>
      </c>
      <c r="AF580">
        <v>2</v>
      </c>
      <c r="AG580" s="17">
        <v>8.3333333333333301E-2</v>
      </c>
      <c r="AH580" s="2">
        <v>45707</v>
      </c>
    </row>
    <row r="581" spans="1:34" hidden="1" x14ac:dyDescent="0.25">
      <c r="A581" s="12">
        <v>8291</v>
      </c>
      <c r="B581" s="12">
        <v>374</v>
      </c>
      <c r="C581" t="s">
        <v>267</v>
      </c>
      <c r="D581">
        <v>247807</v>
      </c>
      <c r="E581" s="8" t="s">
        <v>112</v>
      </c>
      <c r="F581" s="12">
        <v>21</v>
      </c>
      <c r="G581" s="8" t="s">
        <v>44</v>
      </c>
      <c r="H581" s="12">
        <v>3201</v>
      </c>
      <c r="I581" t="s">
        <v>51</v>
      </c>
      <c r="K581" t="s">
        <v>63</v>
      </c>
      <c r="N581" s="12"/>
      <c r="O581" s="8"/>
      <c r="P581">
        <v>3</v>
      </c>
      <c r="Q581" s="8">
        <v>3</v>
      </c>
      <c r="R581" s="12">
        <v>2</v>
      </c>
      <c r="S581" s="8">
        <v>2</v>
      </c>
      <c r="T581" s="12"/>
      <c r="U581" s="8"/>
      <c r="V581" s="2">
        <v>45688</v>
      </c>
      <c r="W581" s="2">
        <v>1</v>
      </c>
      <c r="X581" s="2">
        <v>45716</v>
      </c>
      <c r="Y581" s="2">
        <v>45716</v>
      </c>
      <c r="Z581" s="2"/>
      <c r="AA581" t="s">
        <v>268</v>
      </c>
      <c r="AB581">
        <v>8291</v>
      </c>
      <c r="AC581">
        <v>71809</v>
      </c>
      <c r="AD581" t="s">
        <v>810</v>
      </c>
      <c r="AE581" s="2">
        <v>45706</v>
      </c>
      <c r="AF581">
        <v>2</v>
      </c>
      <c r="AG581" s="17">
        <v>8.3333333333333301E-2</v>
      </c>
      <c r="AH581" s="2">
        <v>45707</v>
      </c>
    </row>
    <row r="582" spans="1:34" hidden="1" x14ac:dyDescent="0.25">
      <c r="A582" s="12">
        <v>8291</v>
      </c>
      <c r="B582" s="12">
        <v>374</v>
      </c>
      <c r="C582" t="s">
        <v>267</v>
      </c>
      <c r="D582">
        <v>247807</v>
      </c>
      <c r="E582" s="8" t="s">
        <v>112</v>
      </c>
      <c r="F582" s="12">
        <v>21</v>
      </c>
      <c r="G582" s="8" t="s">
        <v>44</v>
      </c>
      <c r="H582" s="12">
        <v>3201</v>
      </c>
      <c r="I582" t="s">
        <v>51</v>
      </c>
      <c r="K582" t="s">
        <v>63</v>
      </c>
      <c r="N582" s="12"/>
      <c r="O582" s="8"/>
      <c r="P582">
        <v>3</v>
      </c>
      <c r="Q582" s="8">
        <v>3</v>
      </c>
      <c r="R582" s="12">
        <v>2</v>
      </c>
      <c r="S582" s="8">
        <v>2</v>
      </c>
      <c r="T582" s="12"/>
      <c r="U582" s="8"/>
      <c r="V582" s="2">
        <v>45688</v>
      </c>
      <c r="W582" s="2">
        <v>1</v>
      </c>
      <c r="X582" s="2">
        <v>45716</v>
      </c>
      <c r="Y582" s="2">
        <v>45716</v>
      </c>
      <c r="Z582" s="2"/>
      <c r="AA582" t="s">
        <v>268</v>
      </c>
      <c r="AB582">
        <v>8291</v>
      </c>
      <c r="AC582">
        <v>68291</v>
      </c>
      <c r="AD582" t="s">
        <v>811</v>
      </c>
      <c r="AE582" s="2">
        <v>45694</v>
      </c>
      <c r="AF582">
        <v>2.5</v>
      </c>
      <c r="AG582" s="17">
        <v>0.10416666666666601</v>
      </c>
      <c r="AH582" s="2">
        <v>45694</v>
      </c>
    </row>
    <row r="583" spans="1:34" hidden="1" x14ac:dyDescent="0.25">
      <c r="A583" s="12">
        <v>8291</v>
      </c>
      <c r="B583" s="12">
        <v>374</v>
      </c>
      <c r="C583" t="s">
        <v>267</v>
      </c>
      <c r="D583">
        <v>247807</v>
      </c>
      <c r="E583" s="8" t="s">
        <v>112</v>
      </c>
      <c r="F583" s="12">
        <v>21</v>
      </c>
      <c r="G583" s="8" t="s">
        <v>44</v>
      </c>
      <c r="H583" s="12">
        <v>3201</v>
      </c>
      <c r="I583" t="s">
        <v>51</v>
      </c>
      <c r="K583" t="s">
        <v>63</v>
      </c>
      <c r="N583" s="12"/>
      <c r="O583" s="8"/>
      <c r="P583">
        <v>3</v>
      </c>
      <c r="Q583" s="8">
        <v>3</v>
      </c>
      <c r="R583" s="12">
        <v>2</v>
      </c>
      <c r="S583" s="8">
        <v>2</v>
      </c>
      <c r="T583" s="12"/>
      <c r="U583" s="8"/>
      <c r="V583" s="2">
        <v>45688</v>
      </c>
      <c r="W583" s="2">
        <v>1</v>
      </c>
      <c r="X583" s="2">
        <v>45716</v>
      </c>
      <c r="Y583" s="2">
        <v>45716</v>
      </c>
      <c r="Z583" s="2"/>
      <c r="AA583" t="s">
        <v>268</v>
      </c>
      <c r="AB583">
        <v>8291</v>
      </c>
      <c r="AC583">
        <v>68285</v>
      </c>
      <c r="AD583" t="s">
        <v>811</v>
      </c>
      <c r="AE583" s="2">
        <v>45692</v>
      </c>
      <c r="AF583">
        <v>5</v>
      </c>
      <c r="AG583" s="17">
        <v>0.20833333333333301</v>
      </c>
      <c r="AH583" s="2">
        <v>45694</v>
      </c>
    </row>
    <row r="584" spans="1:34" hidden="1" x14ac:dyDescent="0.25">
      <c r="A584" s="12">
        <v>8291</v>
      </c>
      <c r="B584" s="12">
        <v>374</v>
      </c>
      <c r="C584" t="s">
        <v>267</v>
      </c>
      <c r="D584">
        <v>247807</v>
      </c>
      <c r="E584" s="8" t="s">
        <v>112</v>
      </c>
      <c r="F584" s="12">
        <v>21</v>
      </c>
      <c r="G584" s="8" t="s">
        <v>44</v>
      </c>
      <c r="H584" s="12">
        <v>3201</v>
      </c>
      <c r="I584" t="s">
        <v>51</v>
      </c>
      <c r="K584" t="s">
        <v>63</v>
      </c>
      <c r="N584" s="12"/>
      <c r="O584" s="8"/>
      <c r="P584">
        <v>3</v>
      </c>
      <c r="Q584" s="8">
        <v>3</v>
      </c>
      <c r="R584" s="12">
        <v>2</v>
      </c>
      <c r="S584" s="8">
        <v>2</v>
      </c>
      <c r="T584" s="12"/>
      <c r="U584" s="8"/>
      <c r="V584" s="2">
        <v>45688</v>
      </c>
      <c r="W584" s="2">
        <v>1</v>
      </c>
      <c r="X584" s="2">
        <v>45716</v>
      </c>
      <c r="Y584" s="2">
        <v>45716</v>
      </c>
      <c r="Z584" s="2"/>
      <c r="AA584" t="s">
        <v>268</v>
      </c>
      <c r="AB584">
        <v>8291</v>
      </c>
      <c r="AC584">
        <v>68284</v>
      </c>
      <c r="AD584" t="s">
        <v>812</v>
      </c>
      <c r="AE584" s="2">
        <v>45691</v>
      </c>
      <c r="AF584">
        <v>2</v>
      </c>
      <c r="AG584" s="17">
        <v>8.3333333333333301E-2</v>
      </c>
      <c r="AH584" s="2">
        <v>45694</v>
      </c>
    </row>
    <row r="585" spans="1:34" hidden="1" x14ac:dyDescent="0.25">
      <c r="A585" s="12">
        <v>8291</v>
      </c>
      <c r="B585" s="12">
        <v>374</v>
      </c>
      <c r="C585" t="s">
        <v>267</v>
      </c>
      <c r="D585">
        <v>247807</v>
      </c>
      <c r="E585" s="8" t="s">
        <v>112</v>
      </c>
      <c r="F585" s="12">
        <v>21</v>
      </c>
      <c r="G585" s="8" t="s">
        <v>44</v>
      </c>
      <c r="H585" s="12">
        <v>3201</v>
      </c>
      <c r="I585" t="s">
        <v>51</v>
      </c>
      <c r="K585" t="s">
        <v>63</v>
      </c>
      <c r="N585" s="12"/>
      <c r="O585" s="8"/>
      <c r="P585">
        <v>3</v>
      </c>
      <c r="Q585" s="8">
        <v>3</v>
      </c>
      <c r="R585" s="12">
        <v>2</v>
      </c>
      <c r="S585" s="8">
        <v>2</v>
      </c>
      <c r="T585" s="12"/>
      <c r="U585" s="8"/>
      <c r="V585" s="2">
        <v>45688</v>
      </c>
      <c r="W585" s="2">
        <v>1</v>
      </c>
      <c r="X585" s="2">
        <v>45716</v>
      </c>
      <c r="Y585" s="2">
        <v>45716</v>
      </c>
      <c r="Z585" s="2"/>
      <c r="AA585" t="s">
        <v>268</v>
      </c>
      <c r="AB585">
        <v>8291</v>
      </c>
      <c r="AC585">
        <v>68283</v>
      </c>
      <c r="AD585" t="s">
        <v>813</v>
      </c>
      <c r="AE585" s="2">
        <v>45691</v>
      </c>
      <c r="AF585">
        <v>1.5</v>
      </c>
      <c r="AG585" s="17">
        <v>6.25E-2</v>
      </c>
      <c r="AH585" s="2">
        <v>45694</v>
      </c>
    </row>
    <row r="586" spans="1:34" hidden="1" x14ac:dyDescent="0.25">
      <c r="A586" s="12">
        <v>8523</v>
      </c>
      <c r="B586" s="12">
        <v>0</v>
      </c>
      <c r="C586" t="s">
        <v>381</v>
      </c>
      <c r="D586">
        <v>247884</v>
      </c>
      <c r="E586" s="8" t="s">
        <v>316</v>
      </c>
      <c r="F586" s="12">
        <v>21</v>
      </c>
      <c r="G586" s="8" t="s">
        <v>44</v>
      </c>
      <c r="H586" s="12">
        <v>3204</v>
      </c>
      <c r="I586" t="s">
        <v>52</v>
      </c>
      <c r="J586" t="s">
        <v>62</v>
      </c>
      <c r="K586" t="s">
        <v>63</v>
      </c>
      <c r="N586" s="12"/>
      <c r="O586" s="8"/>
      <c r="Q586" s="8"/>
      <c r="R586" s="12"/>
      <c r="S586" s="8"/>
      <c r="T586" s="12"/>
      <c r="U586" s="8"/>
      <c r="V586" s="2">
        <v>45720</v>
      </c>
      <c r="W586" s="2">
        <v>45720</v>
      </c>
      <c r="X586" s="2">
        <v>45720</v>
      </c>
      <c r="Y586" s="2">
        <v>45720</v>
      </c>
      <c r="Z586" s="2">
        <v>45720</v>
      </c>
      <c r="AE586" s="2"/>
      <c r="AG586" s="17"/>
      <c r="AH586" s="2"/>
    </row>
    <row r="587" spans="1:34" hidden="1" x14ac:dyDescent="0.25">
      <c r="A587" s="12">
        <v>8317</v>
      </c>
      <c r="B587" s="12">
        <v>0</v>
      </c>
      <c r="C587" t="s">
        <v>271</v>
      </c>
      <c r="E587" s="8"/>
      <c r="F587" s="12">
        <v>21</v>
      </c>
      <c r="G587" s="8" t="s">
        <v>44</v>
      </c>
      <c r="H587" s="12">
        <v>2767</v>
      </c>
      <c r="I587" t="s">
        <v>348</v>
      </c>
      <c r="J587" t="s">
        <v>62</v>
      </c>
      <c r="K587" t="s">
        <v>101</v>
      </c>
      <c r="N587" s="12"/>
      <c r="O587" s="8"/>
      <c r="Q587" s="8"/>
      <c r="R587" s="12"/>
      <c r="S587" s="8"/>
      <c r="T587" s="12"/>
      <c r="U587" s="8"/>
      <c r="V587" s="2">
        <v>45694</v>
      </c>
      <c r="W587" s="2"/>
      <c r="X587" s="2">
        <v>45716</v>
      </c>
      <c r="Y587" s="2">
        <v>45716</v>
      </c>
      <c r="Z587" s="2"/>
      <c r="AA587" t="s">
        <v>272</v>
      </c>
      <c r="AB587">
        <v>8317</v>
      </c>
      <c r="AC587">
        <v>74816</v>
      </c>
      <c r="AD587" t="s">
        <v>435</v>
      </c>
      <c r="AE587" s="2">
        <v>45717</v>
      </c>
      <c r="AF587">
        <v>2</v>
      </c>
      <c r="AG587" s="17">
        <v>8.3333333333333301E-2</v>
      </c>
      <c r="AH587" s="2">
        <v>45717</v>
      </c>
    </row>
    <row r="588" spans="1:34" hidden="1" x14ac:dyDescent="0.25">
      <c r="A588" s="12">
        <v>8317</v>
      </c>
      <c r="B588" s="12">
        <v>0</v>
      </c>
      <c r="C588" t="s">
        <v>271</v>
      </c>
      <c r="E588" s="8"/>
      <c r="F588" s="12">
        <v>21</v>
      </c>
      <c r="G588" s="8" t="s">
        <v>44</v>
      </c>
      <c r="H588" s="12">
        <v>2767</v>
      </c>
      <c r="I588" t="s">
        <v>348</v>
      </c>
      <c r="K588" t="s">
        <v>101</v>
      </c>
      <c r="N588" s="12"/>
      <c r="O588" s="8"/>
      <c r="Q588" s="8"/>
      <c r="R588" s="12"/>
      <c r="S588" s="8"/>
      <c r="T588" s="12"/>
      <c r="U588" s="8"/>
      <c r="V588" s="2">
        <v>45694</v>
      </c>
      <c r="W588" s="2"/>
      <c r="X588" s="2">
        <v>45716</v>
      </c>
      <c r="Y588" s="2">
        <v>45716</v>
      </c>
      <c r="Z588" s="2"/>
      <c r="AA588" t="s">
        <v>272</v>
      </c>
      <c r="AB588">
        <v>8317</v>
      </c>
      <c r="AC588">
        <v>73322</v>
      </c>
      <c r="AD588" t="s">
        <v>435</v>
      </c>
      <c r="AE588" s="2">
        <v>45713</v>
      </c>
      <c r="AF588">
        <v>2</v>
      </c>
      <c r="AG588" s="17">
        <v>8.3333333333333301E-2</v>
      </c>
      <c r="AH588" s="2">
        <v>45713</v>
      </c>
    </row>
    <row r="589" spans="1:34" hidden="1" x14ac:dyDescent="0.25">
      <c r="A589" s="12">
        <v>8317</v>
      </c>
      <c r="B589" s="12">
        <v>0</v>
      </c>
      <c r="C589" t="s">
        <v>271</v>
      </c>
      <c r="E589" s="8"/>
      <c r="F589" s="12">
        <v>21</v>
      </c>
      <c r="G589" s="8" t="s">
        <v>44</v>
      </c>
      <c r="H589" s="12">
        <v>2767</v>
      </c>
      <c r="I589" t="s">
        <v>348</v>
      </c>
      <c r="K589" t="s">
        <v>101</v>
      </c>
      <c r="N589" s="12"/>
      <c r="O589" s="8"/>
      <c r="Q589" s="8"/>
      <c r="R589" s="12"/>
      <c r="S589" s="8"/>
      <c r="T589" s="12"/>
      <c r="U589" s="8"/>
      <c r="V589" s="2">
        <v>45694</v>
      </c>
      <c r="W589" s="2"/>
      <c r="X589" s="2">
        <v>45716</v>
      </c>
      <c r="Y589" s="2">
        <v>45716</v>
      </c>
      <c r="Z589" s="2"/>
      <c r="AA589" t="s">
        <v>272</v>
      </c>
      <c r="AB589">
        <v>8317</v>
      </c>
      <c r="AC589">
        <v>72909</v>
      </c>
      <c r="AD589" t="s">
        <v>814</v>
      </c>
      <c r="AE589" s="2">
        <v>45710</v>
      </c>
      <c r="AF589">
        <v>3</v>
      </c>
      <c r="AG589" s="17">
        <v>0.125</v>
      </c>
      <c r="AH589" s="2">
        <v>45710</v>
      </c>
    </row>
    <row r="590" spans="1:34" hidden="1" x14ac:dyDescent="0.25">
      <c r="A590" s="12">
        <v>8317</v>
      </c>
      <c r="B590" s="12">
        <v>0</v>
      </c>
      <c r="C590" t="s">
        <v>271</v>
      </c>
      <c r="E590" s="8"/>
      <c r="F590" s="12">
        <v>21</v>
      </c>
      <c r="G590" s="8" t="s">
        <v>44</v>
      </c>
      <c r="H590" s="12">
        <v>2767</v>
      </c>
      <c r="I590" t="s">
        <v>348</v>
      </c>
      <c r="K590" t="s">
        <v>101</v>
      </c>
      <c r="N590" s="12"/>
      <c r="O590" s="8"/>
      <c r="Q590" s="8"/>
      <c r="R590" s="12"/>
      <c r="S590" s="8"/>
      <c r="T590" s="12"/>
      <c r="U590" s="8"/>
      <c r="V590" s="2">
        <v>45694</v>
      </c>
      <c r="W590" s="2"/>
      <c r="X590" s="2">
        <v>45716</v>
      </c>
      <c r="Y590" s="2">
        <v>45716</v>
      </c>
      <c r="Z590" s="2"/>
      <c r="AA590" t="s">
        <v>272</v>
      </c>
      <c r="AB590">
        <v>8317</v>
      </c>
      <c r="AC590">
        <v>71441</v>
      </c>
      <c r="AD590" t="s">
        <v>815</v>
      </c>
      <c r="AE590" s="2">
        <v>45705</v>
      </c>
      <c r="AF590">
        <v>2</v>
      </c>
      <c r="AG590" s="17">
        <v>8.3333333333333301E-2</v>
      </c>
      <c r="AH590" s="2">
        <v>45706</v>
      </c>
    </row>
    <row r="591" spans="1:34" hidden="1" x14ac:dyDescent="0.25">
      <c r="A591" s="12">
        <v>8317</v>
      </c>
      <c r="B591" s="12">
        <v>0</v>
      </c>
      <c r="C591" t="s">
        <v>271</v>
      </c>
      <c r="E591" s="8"/>
      <c r="F591" s="12">
        <v>21</v>
      </c>
      <c r="G591" s="8" t="s">
        <v>44</v>
      </c>
      <c r="H591" s="12">
        <v>2767</v>
      </c>
      <c r="I591" t="s">
        <v>348</v>
      </c>
      <c r="K591" t="s">
        <v>101</v>
      </c>
      <c r="N591" s="12"/>
      <c r="O591" s="8"/>
      <c r="Q591" s="8"/>
      <c r="R591" s="12"/>
      <c r="S591" s="8"/>
      <c r="T591" s="12"/>
      <c r="U591" s="8"/>
      <c r="V591" s="2">
        <v>45694</v>
      </c>
      <c r="W591" s="2"/>
      <c r="X591" s="2">
        <v>45716</v>
      </c>
      <c r="Y591" s="2">
        <v>45716</v>
      </c>
      <c r="Z591" s="2"/>
      <c r="AA591" t="s">
        <v>272</v>
      </c>
      <c r="AB591">
        <v>8317</v>
      </c>
      <c r="AC591">
        <v>71440</v>
      </c>
      <c r="AD591" t="s">
        <v>816</v>
      </c>
      <c r="AE591" s="2">
        <v>45705</v>
      </c>
      <c r="AF591">
        <v>2</v>
      </c>
      <c r="AG591" s="17">
        <v>8.3333333333333301E-2</v>
      </c>
      <c r="AH591" s="2">
        <v>45706</v>
      </c>
    </row>
    <row r="592" spans="1:34" hidden="1" x14ac:dyDescent="0.25">
      <c r="A592" s="12">
        <v>8317</v>
      </c>
      <c r="B592" s="12">
        <v>0</v>
      </c>
      <c r="C592" t="s">
        <v>271</v>
      </c>
      <c r="E592" s="8"/>
      <c r="F592" s="12">
        <v>21</v>
      </c>
      <c r="G592" s="8" t="s">
        <v>44</v>
      </c>
      <c r="H592" s="12">
        <v>2767</v>
      </c>
      <c r="I592" t="s">
        <v>348</v>
      </c>
      <c r="K592" t="s">
        <v>101</v>
      </c>
      <c r="N592" s="12"/>
      <c r="O592" s="8"/>
      <c r="Q592" s="8"/>
      <c r="R592" s="12"/>
      <c r="S592" s="8"/>
      <c r="T592" s="12"/>
      <c r="U592" s="8"/>
      <c r="V592" s="2">
        <v>45694</v>
      </c>
      <c r="W592" s="2"/>
      <c r="X592" s="2">
        <v>45716</v>
      </c>
      <c r="Y592" s="2">
        <v>45716</v>
      </c>
      <c r="Z592" s="2"/>
      <c r="AA592" t="s">
        <v>272</v>
      </c>
      <c r="AB592">
        <v>8317</v>
      </c>
      <c r="AC592">
        <v>70981</v>
      </c>
      <c r="AD592" t="s">
        <v>435</v>
      </c>
      <c r="AE592" s="2">
        <v>45703</v>
      </c>
      <c r="AF592">
        <v>1</v>
      </c>
      <c r="AG592" s="17">
        <v>4.1666666666666602E-2</v>
      </c>
      <c r="AH592" s="2">
        <v>45703</v>
      </c>
    </row>
    <row r="593" spans="1:34" hidden="1" x14ac:dyDescent="0.25">
      <c r="A593" s="12">
        <v>8317</v>
      </c>
      <c r="B593" s="12">
        <v>0</v>
      </c>
      <c r="C593" t="s">
        <v>271</v>
      </c>
      <c r="E593" s="8"/>
      <c r="F593" s="12">
        <v>21</v>
      </c>
      <c r="G593" s="8" t="s">
        <v>44</v>
      </c>
      <c r="H593" s="12">
        <v>2767</v>
      </c>
      <c r="I593" t="s">
        <v>348</v>
      </c>
      <c r="K593" t="s">
        <v>101</v>
      </c>
      <c r="N593" s="12"/>
      <c r="O593" s="8"/>
      <c r="Q593" s="8"/>
      <c r="R593" s="12"/>
      <c r="S593" s="8"/>
      <c r="T593" s="12"/>
      <c r="U593" s="8"/>
      <c r="V593" s="2">
        <v>45694</v>
      </c>
      <c r="W593" s="2"/>
      <c r="X593" s="2">
        <v>45716</v>
      </c>
      <c r="Y593" s="2">
        <v>45716</v>
      </c>
      <c r="Z593" s="2"/>
      <c r="AA593" t="s">
        <v>272</v>
      </c>
      <c r="AB593">
        <v>8317</v>
      </c>
      <c r="AC593">
        <v>70683</v>
      </c>
      <c r="AD593" t="s">
        <v>817</v>
      </c>
      <c r="AE593" s="2">
        <v>45702</v>
      </c>
      <c r="AF593">
        <v>2.1666666666666599</v>
      </c>
      <c r="AG593" s="17">
        <v>9.0277777777777707E-2</v>
      </c>
      <c r="AH593" s="2">
        <v>45702</v>
      </c>
    </row>
    <row r="594" spans="1:34" hidden="1" x14ac:dyDescent="0.25">
      <c r="A594" s="12">
        <v>8317</v>
      </c>
      <c r="B594" s="12">
        <v>0</v>
      </c>
      <c r="C594" t="s">
        <v>271</v>
      </c>
      <c r="E594" s="8"/>
      <c r="F594" s="12">
        <v>21</v>
      </c>
      <c r="G594" s="8" t="s">
        <v>44</v>
      </c>
      <c r="H594" s="12">
        <v>2767</v>
      </c>
      <c r="I594" t="s">
        <v>348</v>
      </c>
      <c r="K594" t="s">
        <v>101</v>
      </c>
      <c r="N594" s="12"/>
      <c r="O594" s="8"/>
      <c r="Q594" s="8"/>
      <c r="R594" s="12"/>
      <c r="S594" s="8"/>
      <c r="T594" s="12"/>
      <c r="U594" s="8"/>
      <c r="V594" s="2">
        <v>45694</v>
      </c>
      <c r="W594" s="2"/>
      <c r="X594" s="2">
        <v>45716</v>
      </c>
      <c r="Y594" s="2">
        <v>45716</v>
      </c>
      <c r="Z594" s="2"/>
      <c r="AA594" t="s">
        <v>272</v>
      </c>
      <c r="AB594">
        <v>8317</v>
      </c>
      <c r="AC594">
        <v>70198</v>
      </c>
      <c r="AD594" t="s">
        <v>817</v>
      </c>
      <c r="AE594" s="2">
        <v>45701</v>
      </c>
      <c r="AF594">
        <v>2</v>
      </c>
      <c r="AG594" s="17">
        <v>8.3333333333333301E-2</v>
      </c>
      <c r="AH594" s="2">
        <v>45701</v>
      </c>
    </row>
    <row r="595" spans="1:34" hidden="1" x14ac:dyDescent="0.25">
      <c r="A595" s="12">
        <v>8317</v>
      </c>
      <c r="B595" s="12">
        <v>0</v>
      </c>
      <c r="C595" t="s">
        <v>271</v>
      </c>
      <c r="E595" s="8"/>
      <c r="F595" s="12">
        <v>21</v>
      </c>
      <c r="G595" s="8" t="s">
        <v>44</v>
      </c>
      <c r="H595" s="12">
        <v>2767</v>
      </c>
      <c r="I595" t="s">
        <v>348</v>
      </c>
      <c r="K595" t="s">
        <v>101</v>
      </c>
      <c r="N595" s="12"/>
      <c r="O595" s="8"/>
      <c r="Q595" s="8"/>
      <c r="R595" s="12"/>
      <c r="S595" s="8"/>
      <c r="T595" s="12"/>
      <c r="U595" s="8"/>
      <c r="V595" s="2">
        <v>45694</v>
      </c>
      <c r="W595" s="2"/>
      <c r="X595" s="2">
        <v>45716</v>
      </c>
      <c r="Y595" s="2">
        <v>45716</v>
      </c>
      <c r="Z595" s="2"/>
      <c r="AA595" t="s">
        <v>272</v>
      </c>
      <c r="AB595">
        <v>8317</v>
      </c>
      <c r="AC595">
        <v>68428</v>
      </c>
      <c r="AD595" t="s">
        <v>818</v>
      </c>
      <c r="AE595" s="2">
        <v>45694</v>
      </c>
      <c r="AF595">
        <v>1</v>
      </c>
      <c r="AG595" s="17">
        <v>4.1666666666666602E-2</v>
      </c>
      <c r="AH595" s="2">
        <v>45695</v>
      </c>
    </row>
    <row r="596" spans="1:34" hidden="1" x14ac:dyDescent="0.25">
      <c r="A596" s="12">
        <v>8317</v>
      </c>
      <c r="B596" s="12">
        <v>0</v>
      </c>
      <c r="C596" t="s">
        <v>271</v>
      </c>
      <c r="E596" s="8"/>
      <c r="F596" s="12">
        <v>21</v>
      </c>
      <c r="G596" s="8" t="s">
        <v>44</v>
      </c>
      <c r="H596" s="12">
        <v>2767</v>
      </c>
      <c r="I596" t="s">
        <v>348</v>
      </c>
      <c r="K596" t="s">
        <v>101</v>
      </c>
      <c r="N596" s="12"/>
      <c r="O596" s="8"/>
      <c r="Q596" s="8"/>
      <c r="R596" s="12"/>
      <c r="S596" s="8"/>
      <c r="T596" s="12"/>
      <c r="U596" s="8"/>
      <c r="V596" s="2">
        <v>45694</v>
      </c>
      <c r="W596" s="2"/>
      <c r="X596" s="2">
        <v>45716</v>
      </c>
      <c r="Y596" s="2">
        <v>45716</v>
      </c>
      <c r="Z596" s="2"/>
      <c r="AA596" t="s">
        <v>272</v>
      </c>
      <c r="AB596">
        <v>8317</v>
      </c>
      <c r="AC596">
        <v>68427</v>
      </c>
      <c r="AD596" t="s">
        <v>819</v>
      </c>
      <c r="AE596" s="2">
        <v>45693</v>
      </c>
      <c r="AF596">
        <v>0.33333333333333298</v>
      </c>
      <c r="AG596" s="17">
        <v>1.38888888888888E-2</v>
      </c>
      <c r="AH596" s="2">
        <v>45695</v>
      </c>
    </row>
    <row r="597" spans="1:34" hidden="1" x14ac:dyDescent="0.25">
      <c r="A597" s="12">
        <v>8317</v>
      </c>
      <c r="B597" s="12">
        <v>0</v>
      </c>
      <c r="C597" t="s">
        <v>271</v>
      </c>
      <c r="E597" s="8"/>
      <c r="F597" s="12">
        <v>21</v>
      </c>
      <c r="G597" s="8" t="s">
        <v>44</v>
      </c>
      <c r="H597" s="12">
        <v>2767</v>
      </c>
      <c r="I597" t="s">
        <v>348</v>
      </c>
      <c r="K597" t="s">
        <v>101</v>
      </c>
      <c r="N597" s="12"/>
      <c r="O597" s="8"/>
      <c r="Q597" s="8"/>
      <c r="R597" s="12"/>
      <c r="S597" s="8"/>
      <c r="T597" s="12"/>
      <c r="U597" s="8"/>
      <c r="V597" s="2">
        <v>45694</v>
      </c>
      <c r="W597" s="2"/>
      <c r="X597" s="2">
        <v>45716</v>
      </c>
      <c r="Y597" s="2">
        <v>45716</v>
      </c>
      <c r="Z597" s="2"/>
      <c r="AA597" t="s">
        <v>272</v>
      </c>
      <c r="AB597">
        <v>8317</v>
      </c>
      <c r="AC597">
        <v>68426</v>
      </c>
      <c r="AD597" t="s">
        <v>820</v>
      </c>
      <c r="AE597" s="2">
        <v>45692</v>
      </c>
      <c r="AF597">
        <v>0.33333333333333298</v>
      </c>
      <c r="AG597" s="17">
        <v>1.38888888888888E-2</v>
      </c>
      <c r="AH597" s="2">
        <v>45695</v>
      </c>
    </row>
    <row r="598" spans="1:34" hidden="1" x14ac:dyDescent="0.25">
      <c r="A598" s="12">
        <v>8317</v>
      </c>
      <c r="B598" s="12">
        <v>0</v>
      </c>
      <c r="C598" t="s">
        <v>271</v>
      </c>
      <c r="E598" s="8"/>
      <c r="F598" s="12">
        <v>21</v>
      </c>
      <c r="G598" s="8" t="s">
        <v>44</v>
      </c>
      <c r="H598" s="12">
        <v>2767</v>
      </c>
      <c r="I598" t="s">
        <v>348</v>
      </c>
      <c r="K598" t="s">
        <v>101</v>
      </c>
      <c r="N598" s="12"/>
      <c r="O598" s="8"/>
      <c r="Q598" s="8"/>
      <c r="R598" s="12"/>
      <c r="S598" s="8"/>
      <c r="T598" s="12"/>
      <c r="U598" s="8"/>
      <c r="V598" s="2">
        <v>45694</v>
      </c>
      <c r="W598" s="2"/>
      <c r="X598" s="2">
        <v>45716</v>
      </c>
      <c r="Y598" s="2">
        <v>45716</v>
      </c>
      <c r="Z598" s="2"/>
      <c r="AA598" t="s">
        <v>272</v>
      </c>
      <c r="AB598">
        <v>8317</v>
      </c>
      <c r="AC598">
        <v>68425</v>
      </c>
      <c r="AD598" t="s">
        <v>821</v>
      </c>
      <c r="AE598" s="2">
        <v>45691</v>
      </c>
      <c r="AF598">
        <v>0.16666666666666599</v>
      </c>
      <c r="AG598" s="17">
        <v>6.9444444444444397E-3</v>
      </c>
      <c r="AH598" s="2">
        <v>45695</v>
      </c>
    </row>
    <row r="599" spans="1:34" hidden="1" x14ac:dyDescent="0.25">
      <c r="A599" s="12">
        <v>8333</v>
      </c>
      <c r="B599" s="12">
        <v>297</v>
      </c>
      <c r="C599" t="s">
        <v>240</v>
      </c>
      <c r="D599">
        <v>289006</v>
      </c>
      <c r="E599" s="8" t="s">
        <v>241</v>
      </c>
      <c r="F599" s="12">
        <v>21</v>
      </c>
      <c r="G599" s="8" t="s">
        <v>44</v>
      </c>
      <c r="H599" s="12">
        <v>195</v>
      </c>
      <c r="I599" t="s">
        <v>346</v>
      </c>
      <c r="J599" t="s">
        <v>62</v>
      </c>
      <c r="K599" t="s">
        <v>63</v>
      </c>
      <c r="N599" s="12"/>
      <c r="O599" s="8"/>
      <c r="P599">
        <v>1</v>
      </c>
      <c r="Q599" s="8">
        <v>1</v>
      </c>
      <c r="R599" s="12">
        <v>1</v>
      </c>
      <c r="S599" s="8">
        <v>1</v>
      </c>
      <c r="T599" s="12"/>
      <c r="U599" s="8"/>
      <c r="V599" s="2">
        <v>45658</v>
      </c>
      <c r="W599" s="2">
        <v>1</v>
      </c>
      <c r="X599" s="2">
        <v>45702</v>
      </c>
      <c r="Y599" s="2">
        <v>45702</v>
      </c>
      <c r="Z599" s="2"/>
      <c r="AB599">
        <v>8333</v>
      </c>
      <c r="AC599">
        <v>74586</v>
      </c>
      <c r="AD599" t="s">
        <v>436</v>
      </c>
      <c r="AE599" s="2">
        <v>45712</v>
      </c>
      <c r="AF599">
        <v>2</v>
      </c>
      <c r="AG599" s="17">
        <v>8.3333333333333301E-2</v>
      </c>
      <c r="AH599" s="2">
        <v>45716</v>
      </c>
    </row>
    <row r="600" spans="1:34" hidden="1" x14ac:dyDescent="0.25">
      <c r="A600" s="12">
        <v>8333</v>
      </c>
      <c r="B600" s="12">
        <v>297</v>
      </c>
      <c r="C600" t="s">
        <v>240</v>
      </c>
      <c r="D600">
        <v>289006</v>
      </c>
      <c r="E600" s="8" t="s">
        <v>241</v>
      </c>
      <c r="F600" s="12">
        <v>21</v>
      </c>
      <c r="G600" s="8" t="s">
        <v>44</v>
      </c>
      <c r="H600" s="12">
        <v>195</v>
      </c>
      <c r="I600" t="s">
        <v>346</v>
      </c>
      <c r="K600" t="s">
        <v>63</v>
      </c>
      <c r="N600" s="12"/>
      <c r="O600" s="8"/>
      <c r="P600">
        <v>1</v>
      </c>
      <c r="Q600" s="8">
        <v>1</v>
      </c>
      <c r="R600" s="12">
        <v>1</v>
      </c>
      <c r="S600" s="8">
        <v>1</v>
      </c>
      <c r="T600" s="12"/>
      <c r="U600" s="8"/>
      <c r="V600" s="2">
        <v>45658</v>
      </c>
      <c r="W600" s="2">
        <v>1</v>
      </c>
      <c r="X600" s="2">
        <v>45702</v>
      </c>
      <c r="Y600" s="2">
        <v>45702</v>
      </c>
      <c r="Z600" s="2"/>
      <c r="AB600">
        <v>8333</v>
      </c>
      <c r="AC600">
        <v>72923</v>
      </c>
      <c r="AD600" t="s">
        <v>822</v>
      </c>
      <c r="AE600" s="2">
        <v>45710</v>
      </c>
      <c r="AF600">
        <v>1.25</v>
      </c>
      <c r="AG600" s="17">
        <v>5.2083333333333301E-2</v>
      </c>
      <c r="AH600" s="2">
        <v>45710</v>
      </c>
    </row>
    <row r="601" spans="1:34" hidden="1" x14ac:dyDescent="0.25">
      <c r="A601" s="12">
        <v>8333</v>
      </c>
      <c r="B601" s="12">
        <v>297</v>
      </c>
      <c r="C601" t="s">
        <v>240</v>
      </c>
      <c r="D601">
        <v>289006</v>
      </c>
      <c r="E601" s="8" t="s">
        <v>241</v>
      </c>
      <c r="F601" s="12">
        <v>21</v>
      </c>
      <c r="G601" s="8" t="s">
        <v>44</v>
      </c>
      <c r="H601" s="12">
        <v>195</v>
      </c>
      <c r="I601" t="s">
        <v>346</v>
      </c>
      <c r="K601" t="s">
        <v>63</v>
      </c>
      <c r="N601" s="12"/>
      <c r="O601" s="8"/>
      <c r="P601">
        <v>1</v>
      </c>
      <c r="Q601" s="8">
        <v>1</v>
      </c>
      <c r="R601" s="12">
        <v>1</v>
      </c>
      <c r="S601" s="8">
        <v>1</v>
      </c>
      <c r="T601" s="12"/>
      <c r="U601" s="8"/>
      <c r="V601" s="2">
        <v>45658</v>
      </c>
      <c r="W601" s="2">
        <v>1</v>
      </c>
      <c r="X601" s="2">
        <v>45702</v>
      </c>
      <c r="Y601" s="2">
        <v>45702</v>
      </c>
      <c r="Z601" s="2"/>
      <c r="AB601">
        <v>8333</v>
      </c>
      <c r="AC601">
        <v>72922</v>
      </c>
      <c r="AD601" t="s">
        <v>823</v>
      </c>
      <c r="AE601" s="2">
        <v>45710</v>
      </c>
      <c r="AF601">
        <v>0.25</v>
      </c>
      <c r="AG601" s="17">
        <v>1.04166666666666E-2</v>
      </c>
      <c r="AH601" s="2">
        <v>45710</v>
      </c>
    </row>
    <row r="602" spans="1:34" hidden="1" x14ac:dyDescent="0.25">
      <c r="A602" s="12">
        <v>8333</v>
      </c>
      <c r="B602" s="12">
        <v>297</v>
      </c>
      <c r="C602" t="s">
        <v>240</v>
      </c>
      <c r="D602">
        <v>289006</v>
      </c>
      <c r="E602" s="8" t="s">
        <v>241</v>
      </c>
      <c r="F602" s="12">
        <v>21</v>
      </c>
      <c r="G602" s="8" t="s">
        <v>44</v>
      </c>
      <c r="H602" s="12">
        <v>195</v>
      </c>
      <c r="I602" t="s">
        <v>346</v>
      </c>
      <c r="K602" t="s">
        <v>63</v>
      </c>
      <c r="N602" s="12"/>
      <c r="O602" s="8"/>
      <c r="P602">
        <v>1</v>
      </c>
      <c r="Q602" s="8">
        <v>1</v>
      </c>
      <c r="R602" s="12">
        <v>1</v>
      </c>
      <c r="S602" s="8">
        <v>1</v>
      </c>
      <c r="T602" s="12"/>
      <c r="U602" s="8"/>
      <c r="V602" s="2">
        <v>45658</v>
      </c>
      <c r="W602" s="2">
        <v>1</v>
      </c>
      <c r="X602" s="2">
        <v>45702</v>
      </c>
      <c r="Y602" s="2">
        <v>45702</v>
      </c>
      <c r="Z602" s="2"/>
      <c r="AB602">
        <v>8333</v>
      </c>
      <c r="AC602">
        <v>72921</v>
      </c>
      <c r="AD602" t="s">
        <v>824</v>
      </c>
      <c r="AE602" s="2">
        <v>45710</v>
      </c>
      <c r="AF602">
        <v>1</v>
      </c>
      <c r="AG602" s="17">
        <v>4.1666666666666602E-2</v>
      </c>
      <c r="AH602" s="2">
        <v>45710</v>
      </c>
    </row>
    <row r="603" spans="1:34" hidden="1" x14ac:dyDescent="0.25">
      <c r="A603" s="12">
        <v>8333</v>
      </c>
      <c r="B603" s="12">
        <v>297</v>
      </c>
      <c r="C603" t="s">
        <v>240</v>
      </c>
      <c r="D603">
        <v>289006</v>
      </c>
      <c r="E603" s="8" t="s">
        <v>241</v>
      </c>
      <c r="F603" s="12">
        <v>21</v>
      </c>
      <c r="G603" s="8" t="s">
        <v>44</v>
      </c>
      <c r="H603" s="12">
        <v>195</v>
      </c>
      <c r="I603" t="s">
        <v>346</v>
      </c>
      <c r="K603" t="s">
        <v>63</v>
      </c>
      <c r="N603" s="12"/>
      <c r="O603" s="8"/>
      <c r="P603">
        <v>1</v>
      </c>
      <c r="Q603" s="8">
        <v>1</v>
      </c>
      <c r="R603" s="12">
        <v>1</v>
      </c>
      <c r="S603" s="8">
        <v>1</v>
      </c>
      <c r="T603" s="12"/>
      <c r="U603" s="8"/>
      <c r="V603" s="2">
        <v>45658</v>
      </c>
      <c r="W603" s="2">
        <v>1</v>
      </c>
      <c r="X603" s="2">
        <v>45702</v>
      </c>
      <c r="Y603" s="2">
        <v>45702</v>
      </c>
      <c r="Z603" s="2"/>
      <c r="AB603">
        <v>8333</v>
      </c>
      <c r="AC603">
        <v>72920</v>
      </c>
      <c r="AD603" t="s">
        <v>825</v>
      </c>
      <c r="AE603" s="2">
        <v>45710</v>
      </c>
      <c r="AF603">
        <v>1</v>
      </c>
      <c r="AG603" s="17">
        <v>4.1666666666666602E-2</v>
      </c>
      <c r="AH603" s="2">
        <v>45710</v>
      </c>
    </row>
    <row r="604" spans="1:34" hidden="1" x14ac:dyDescent="0.25">
      <c r="A604" s="12">
        <v>8333</v>
      </c>
      <c r="B604" s="12">
        <v>297</v>
      </c>
      <c r="C604" t="s">
        <v>240</v>
      </c>
      <c r="D604">
        <v>289006</v>
      </c>
      <c r="E604" s="8" t="s">
        <v>241</v>
      </c>
      <c r="F604" s="12">
        <v>21</v>
      </c>
      <c r="G604" s="8" t="s">
        <v>44</v>
      </c>
      <c r="H604" s="12">
        <v>195</v>
      </c>
      <c r="I604" t="s">
        <v>346</v>
      </c>
      <c r="K604" t="s">
        <v>63</v>
      </c>
      <c r="N604" s="12"/>
      <c r="O604" s="8"/>
      <c r="P604">
        <v>1</v>
      </c>
      <c r="Q604" s="8">
        <v>1</v>
      </c>
      <c r="R604" s="12">
        <v>1</v>
      </c>
      <c r="S604" s="8">
        <v>1</v>
      </c>
      <c r="T604" s="12"/>
      <c r="U604" s="8"/>
      <c r="V604" s="2">
        <v>45658</v>
      </c>
      <c r="W604" s="2">
        <v>1</v>
      </c>
      <c r="X604" s="2">
        <v>45702</v>
      </c>
      <c r="Y604" s="2">
        <v>45702</v>
      </c>
      <c r="Z604" s="2"/>
      <c r="AB604">
        <v>8333</v>
      </c>
      <c r="AC604">
        <v>72805</v>
      </c>
      <c r="AD604" t="s">
        <v>826</v>
      </c>
      <c r="AE604" s="2">
        <v>45709</v>
      </c>
      <c r="AF604">
        <v>0.25</v>
      </c>
      <c r="AG604" s="17">
        <v>1.04166666666666E-2</v>
      </c>
      <c r="AH604" s="2">
        <v>45709</v>
      </c>
    </row>
    <row r="605" spans="1:34" hidden="1" x14ac:dyDescent="0.25">
      <c r="A605" s="12">
        <v>8333</v>
      </c>
      <c r="B605" s="12">
        <v>297</v>
      </c>
      <c r="C605" t="s">
        <v>240</v>
      </c>
      <c r="D605">
        <v>289006</v>
      </c>
      <c r="E605" s="8" t="s">
        <v>241</v>
      </c>
      <c r="F605" s="12">
        <v>21</v>
      </c>
      <c r="G605" s="8" t="s">
        <v>44</v>
      </c>
      <c r="H605" s="12">
        <v>195</v>
      </c>
      <c r="I605" t="s">
        <v>346</v>
      </c>
      <c r="K605" t="s">
        <v>63</v>
      </c>
      <c r="N605" s="12"/>
      <c r="O605" s="8"/>
      <c r="P605">
        <v>1</v>
      </c>
      <c r="Q605" s="8">
        <v>1</v>
      </c>
      <c r="R605" s="12">
        <v>1</v>
      </c>
      <c r="S605" s="8">
        <v>1</v>
      </c>
      <c r="T605" s="12"/>
      <c r="U605" s="8"/>
      <c r="V605" s="2">
        <v>45658</v>
      </c>
      <c r="W605" s="2">
        <v>1</v>
      </c>
      <c r="X605" s="2">
        <v>45702</v>
      </c>
      <c r="Y605" s="2">
        <v>45702</v>
      </c>
      <c r="Z605" s="2"/>
      <c r="AB605">
        <v>8333</v>
      </c>
      <c r="AC605">
        <v>72804</v>
      </c>
      <c r="AD605" t="s">
        <v>827</v>
      </c>
      <c r="AE605" s="2">
        <v>45709</v>
      </c>
      <c r="AF605">
        <v>2</v>
      </c>
      <c r="AG605" s="17">
        <v>8.3333333333333301E-2</v>
      </c>
      <c r="AH605" s="2">
        <v>45709</v>
      </c>
    </row>
    <row r="606" spans="1:34" hidden="1" x14ac:dyDescent="0.25">
      <c r="A606" s="12">
        <v>8333</v>
      </c>
      <c r="B606" s="12">
        <v>297</v>
      </c>
      <c r="C606" t="s">
        <v>240</v>
      </c>
      <c r="D606">
        <v>289006</v>
      </c>
      <c r="E606" s="8" t="s">
        <v>241</v>
      </c>
      <c r="F606" s="12">
        <v>21</v>
      </c>
      <c r="G606" s="8" t="s">
        <v>44</v>
      </c>
      <c r="H606" s="12">
        <v>195</v>
      </c>
      <c r="I606" t="s">
        <v>346</v>
      </c>
      <c r="K606" t="s">
        <v>63</v>
      </c>
      <c r="N606" s="12"/>
      <c r="O606" s="8"/>
      <c r="P606">
        <v>1</v>
      </c>
      <c r="Q606" s="8">
        <v>1</v>
      </c>
      <c r="R606" s="12">
        <v>1</v>
      </c>
      <c r="S606" s="8">
        <v>1</v>
      </c>
      <c r="T606" s="12"/>
      <c r="U606" s="8"/>
      <c r="V606" s="2">
        <v>45658</v>
      </c>
      <c r="W606" s="2">
        <v>1</v>
      </c>
      <c r="X606" s="2">
        <v>45702</v>
      </c>
      <c r="Y606" s="2">
        <v>45702</v>
      </c>
      <c r="Z606" s="2"/>
      <c r="AB606">
        <v>8333</v>
      </c>
      <c r="AC606">
        <v>70192</v>
      </c>
      <c r="AD606" t="s">
        <v>828</v>
      </c>
      <c r="AE606" s="2">
        <v>45701</v>
      </c>
      <c r="AF606">
        <v>1</v>
      </c>
      <c r="AG606" s="17">
        <v>4.1666666666666602E-2</v>
      </c>
      <c r="AH606" s="2">
        <v>45701</v>
      </c>
    </row>
    <row r="607" spans="1:34" hidden="1" x14ac:dyDescent="0.25">
      <c r="A607" s="12">
        <v>8411</v>
      </c>
      <c r="B607" s="12">
        <v>305</v>
      </c>
      <c r="C607" t="s">
        <v>273</v>
      </c>
      <c r="D607">
        <v>247795</v>
      </c>
      <c r="E607" s="8" t="s">
        <v>75</v>
      </c>
      <c r="F607" s="12">
        <v>29</v>
      </c>
      <c r="G607" s="8" t="s">
        <v>69</v>
      </c>
      <c r="H607" s="12">
        <v>195</v>
      </c>
      <c r="I607" t="s">
        <v>346</v>
      </c>
      <c r="J607" t="s">
        <v>62</v>
      </c>
      <c r="K607" t="s">
        <v>63</v>
      </c>
      <c r="N607" s="12"/>
      <c r="O607" s="8"/>
      <c r="P607">
        <v>1</v>
      </c>
      <c r="Q607" s="8">
        <v>1</v>
      </c>
      <c r="R607" s="12">
        <v>1</v>
      </c>
      <c r="S607" s="8">
        <v>1</v>
      </c>
      <c r="T607" s="12"/>
      <c r="U607" s="8"/>
      <c r="V607" s="2">
        <v>45658</v>
      </c>
      <c r="W607" s="2">
        <v>1</v>
      </c>
      <c r="X607" s="2">
        <v>45726</v>
      </c>
      <c r="Y607" s="2">
        <v>45757</v>
      </c>
      <c r="Z607" s="2"/>
      <c r="AA607" t="s">
        <v>274</v>
      </c>
      <c r="AE607" s="2"/>
      <c r="AG607" s="17"/>
      <c r="AH607" s="2"/>
    </row>
    <row r="608" spans="1:34" hidden="1" x14ac:dyDescent="0.25">
      <c r="A608" s="12">
        <v>8271</v>
      </c>
      <c r="B608" s="12">
        <v>317</v>
      </c>
      <c r="C608" t="s">
        <v>275</v>
      </c>
      <c r="E608" s="8"/>
      <c r="F608" s="12">
        <v>21</v>
      </c>
      <c r="G608" s="8" t="s">
        <v>44</v>
      </c>
      <c r="H608" s="12">
        <v>2767</v>
      </c>
      <c r="I608" t="s">
        <v>348</v>
      </c>
      <c r="J608" t="s">
        <v>62</v>
      </c>
      <c r="K608" t="s">
        <v>63</v>
      </c>
      <c r="N608" s="12"/>
      <c r="O608" s="8"/>
      <c r="P608">
        <v>1</v>
      </c>
      <c r="Q608" s="8">
        <v>1</v>
      </c>
      <c r="R608" s="12">
        <v>1</v>
      </c>
      <c r="S608" s="8">
        <v>1</v>
      </c>
      <c r="T608" s="12"/>
      <c r="U608" s="8"/>
      <c r="V608" s="2">
        <v>45658</v>
      </c>
      <c r="W608" s="2">
        <v>1</v>
      </c>
      <c r="X608" s="2">
        <v>45702</v>
      </c>
      <c r="Y608" s="2">
        <v>45702</v>
      </c>
      <c r="Z608" s="2"/>
      <c r="AA608" t="s">
        <v>276</v>
      </c>
      <c r="AB608">
        <v>8271</v>
      </c>
      <c r="AC608">
        <v>72267</v>
      </c>
      <c r="AD608" t="s">
        <v>437</v>
      </c>
      <c r="AE608" s="2">
        <v>45708</v>
      </c>
      <c r="AF608">
        <v>1</v>
      </c>
      <c r="AG608" s="17">
        <v>4.1666666666666602E-2</v>
      </c>
      <c r="AH608" s="2">
        <v>45709</v>
      </c>
    </row>
    <row r="609" spans="1:34" hidden="1" x14ac:dyDescent="0.25">
      <c r="A609" s="12">
        <v>8271</v>
      </c>
      <c r="B609" s="12">
        <v>317</v>
      </c>
      <c r="C609" t="s">
        <v>275</v>
      </c>
      <c r="E609" s="8"/>
      <c r="F609" s="12">
        <v>21</v>
      </c>
      <c r="G609" s="8" t="s">
        <v>44</v>
      </c>
      <c r="H609" s="12">
        <v>2767</v>
      </c>
      <c r="I609" t="s">
        <v>348</v>
      </c>
      <c r="K609" t="s">
        <v>63</v>
      </c>
      <c r="N609" s="12"/>
      <c r="O609" s="8"/>
      <c r="P609">
        <v>1</v>
      </c>
      <c r="Q609" s="8">
        <v>1</v>
      </c>
      <c r="R609" s="12">
        <v>1</v>
      </c>
      <c r="S609" s="8">
        <v>1</v>
      </c>
      <c r="T609" s="12"/>
      <c r="U609" s="8"/>
      <c r="V609" s="2">
        <v>45658</v>
      </c>
      <c r="W609" s="2">
        <v>1</v>
      </c>
      <c r="X609" s="2">
        <v>45702</v>
      </c>
      <c r="Y609" s="2">
        <v>45702</v>
      </c>
      <c r="Z609" s="2"/>
      <c r="AA609" t="s">
        <v>276</v>
      </c>
      <c r="AB609">
        <v>8271</v>
      </c>
      <c r="AC609">
        <v>72266</v>
      </c>
      <c r="AD609" t="s">
        <v>829</v>
      </c>
      <c r="AE609" s="2">
        <v>45708</v>
      </c>
      <c r="AF609">
        <v>1</v>
      </c>
      <c r="AG609" s="17">
        <v>4.1666666666666602E-2</v>
      </c>
      <c r="AH609" s="2">
        <v>45709</v>
      </c>
    </row>
    <row r="610" spans="1:34" hidden="1" x14ac:dyDescent="0.25">
      <c r="A610" s="12">
        <v>8271</v>
      </c>
      <c r="B610" s="12">
        <v>317</v>
      </c>
      <c r="C610" t="s">
        <v>275</v>
      </c>
      <c r="E610" s="8"/>
      <c r="F610" s="12">
        <v>21</v>
      </c>
      <c r="G610" s="8" t="s">
        <v>44</v>
      </c>
      <c r="H610" s="12">
        <v>2767</v>
      </c>
      <c r="I610" t="s">
        <v>348</v>
      </c>
      <c r="K610" t="s">
        <v>63</v>
      </c>
      <c r="N610" s="12"/>
      <c r="O610" s="8"/>
      <c r="P610">
        <v>1</v>
      </c>
      <c r="Q610" s="8">
        <v>1</v>
      </c>
      <c r="R610" s="12">
        <v>1</v>
      </c>
      <c r="S610" s="8">
        <v>1</v>
      </c>
      <c r="T610" s="12"/>
      <c r="U610" s="8"/>
      <c r="V610" s="2">
        <v>45658</v>
      </c>
      <c r="W610" s="2">
        <v>1</v>
      </c>
      <c r="X610" s="2">
        <v>45702</v>
      </c>
      <c r="Y610" s="2">
        <v>45702</v>
      </c>
      <c r="Z610" s="2"/>
      <c r="AA610" t="s">
        <v>276</v>
      </c>
      <c r="AB610">
        <v>8271</v>
      </c>
      <c r="AC610">
        <v>72053</v>
      </c>
      <c r="AD610" t="s">
        <v>830</v>
      </c>
      <c r="AE610" s="2">
        <v>45707</v>
      </c>
      <c r="AF610">
        <v>1</v>
      </c>
      <c r="AG610" s="17">
        <v>4.1666666666666602E-2</v>
      </c>
      <c r="AH610" s="2">
        <v>45708</v>
      </c>
    </row>
    <row r="611" spans="1:34" hidden="1" x14ac:dyDescent="0.25">
      <c r="A611" s="12">
        <v>8271</v>
      </c>
      <c r="B611" s="12">
        <v>317</v>
      </c>
      <c r="C611" t="s">
        <v>275</v>
      </c>
      <c r="E611" s="8"/>
      <c r="F611" s="12">
        <v>21</v>
      </c>
      <c r="G611" s="8" t="s">
        <v>44</v>
      </c>
      <c r="H611" s="12">
        <v>2767</v>
      </c>
      <c r="I611" t="s">
        <v>348</v>
      </c>
      <c r="K611" t="s">
        <v>63</v>
      </c>
      <c r="N611" s="12"/>
      <c r="O611" s="8"/>
      <c r="P611">
        <v>1</v>
      </c>
      <c r="Q611" s="8">
        <v>1</v>
      </c>
      <c r="R611" s="12">
        <v>1</v>
      </c>
      <c r="S611" s="8">
        <v>1</v>
      </c>
      <c r="T611" s="12"/>
      <c r="U611" s="8"/>
      <c r="V611" s="2">
        <v>45658</v>
      </c>
      <c r="W611" s="2">
        <v>1</v>
      </c>
      <c r="X611" s="2">
        <v>45702</v>
      </c>
      <c r="Y611" s="2">
        <v>45702</v>
      </c>
      <c r="Z611" s="2"/>
      <c r="AA611" t="s">
        <v>276</v>
      </c>
      <c r="AB611">
        <v>8271</v>
      </c>
      <c r="AC611">
        <v>71761</v>
      </c>
      <c r="AD611" t="s">
        <v>831</v>
      </c>
      <c r="AE611" s="2">
        <v>45706</v>
      </c>
      <c r="AF611">
        <v>2</v>
      </c>
      <c r="AG611" s="17">
        <v>8.3333333333333301E-2</v>
      </c>
      <c r="AH611" s="2">
        <v>45707</v>
      </c>
    </row>
    <row r="612" spans="1:34" hidden="1" x14ac:dyDescent="0.25">
      <c r="A612" s="12">
        <v>8271</v>
      </c>
      <c r="B612" s="12">
        <v>317</v>
      </c>
      <c r="C612" t="s">
        <v>275</v>
      </c>
      <c r="E612" s="8"/>
      <c r="F612" s="12">
        <v>21</v>
      </c>
      <c r="G612" s="8" t="s">
        <v>44</v>
      </c>
      <c r="H612" s="12">
        <v>2767</v>
      </c>
      <c r="I612" t="s">
        <v>348</v>
      </c>
      <c r="K612" t="s">
        <v>63</v>
      </c>
      <c r="N612" s="12"/>
      <c r="O612" s="8"/>
      <c r="P612">
        <v>1</v>
      </c>
      <c r="Q612" s="8">
        <v>1</v>
      </c>
      <c r="R612" s="12">
        <v>1</v>
      </c>
      <c r="S612" s="8">
        <v>1</v>
      </c>
      <c r="T612" s="12"/>
      <c r="U612" s="8"/>
      <c r="V612" s="2">
        <v>45658</v>
      </c>
      <c r="W612" s="2">
        <v>1</v>
      </c>
      <c r="X612" s="2">
        <v>45702</v>
      </c>
      <c r="Y612" s="2">
        <v>45702</v>
      </c>
      <c r="Z612" s="2"/>
      <c r="AA612" t="s">
        <v>276</v>
      </c>
      <c r="AB612">
        <v>8271</v>
      </c>
      <c r="AC612">
        <v>71755</v>
      </c>
      <c r="AD612" t="s">
        <v>832</v>
      </c>
      <c r="AE612" s="2">
        <v>45706</v>
      </c>
      <c r="AF612">
        <v>2</v>
      </c>
      <c r="AG612" s="17">
        <v>8.3333333333333301E-2</v>
      </c>
      <c r="AH612" s="2">
        <v>45707</v>
      </c>
    </row>
    <row r="613" spans="1:34" hidden="1" x14ac:dyDescent="0.25">
      <c r="A613" s="12">
        <v>8271</v>
      </c>
      <c r="B613" s="12">
        <v>317</v>
      </c>
      <c r="C613" t="s">
        <v>275</v>
      </c>
      <c r="E613" s="8"/>
      <c r="F613" s="12">
        <v>21</v>
      </c>
      <c r="G613" s="8" t="s">
        <v>44</v>
      </c>
      <c r="H613" s="12">
        <v>2767</v>
      </c>
      <c r="I613" t="s">
        <v>348</v>
      </c>
      <c r="K613" t="s">
        <v>63</v>
      </c>
      <c r="N613" s="12"/>
      <c r="O613" s="8"/>
      <c r="P613">
        <v>1</v>
      </c>
      <c r="Q613" s="8">
        <v>1</v>
      </c>
      <c r="R613" s="12">
        <v>1</v>
      </c>
      <c r="S613" s="8">
        <v>1</v>
      </c>
      <c r="T613" s="12"/>
      <c r="U613" s="8"/>
      <c r="V613" s="2">
        <v>45658</v>
      </c>
      <c r="W613" s="2">
        <v>1</v>
      </c>
      <c r="X613" s="2">
        <v>45702</v>
      </c>
      <c r="Y613" s="2">
        <v>45702</v>
      </c>
      <c r="Z613" s="2"/>
      <c r="AA613" t="s">
        <v>276</v>
      </c>
      <c r="AB613">
        <v>8271</v>
      </c>
      <c r="AC613">
        <v>70677</v>
      </c>
      <c r="AD613" t="s">
        <v>833</v>
      </c>
      <c r="AE613" s="2">
        <v>45702</v>
      </c>
      <c r="AF613">
        <v>2</v>
      </c>
      <c r="AG613" s="17">
        <v>8.3333333333333301E-2</v>
      </c>
      <c r="AH613" s="2">
        <v>45702</v>
      </c>
    </row>
    <row r="614" spans="1:34" hidden="1" x14ac:dyDescent="0.25">
      <c r="A614" s="12">
        <v>8271</v>
      </c>
      <c r="B614" s="12">
        <v>317</v>
      </c>
      <c r="C614" t="s">
        <v>275</v>
      </c>
      <c r="E614" s="8"/>
      <c r="F614" s="12">
        <v>21</v>
      </c>
      <c r="G614" s="8" t="s">
        <v>44</v>
      </c>
      <c r="H614" s="12">
        <v>2767</v>
      </c>
      <c r="I614" t="s">
        <v>348</v>
      </c>
      <c r="K614" t="s">
        <v>63</v>
      </c>
      <c r="N614" s="12"/>
      <c r="O614" s="8"/>
      <c r="P614">
        <v>1</v>
      </c>
      <c r="Q614" s="8">
        <v>1</v>
      </c>
      <c r="R614" s="12">
        <v>1</v>
      </c>
      <c r="S614" s="8">
        <v>1</v>
      </c>
      <c r="T614" s="12"/>
      <c r="U614" s="8"/>
      <c r="V614" s="2">
        <v>45658</v>
      </c>
      <c r="W614" s="2">
        <v>1</v>
      </c>
      <c r="X614" s="2">
        <v>45702</v>
      </c>
      <c r="Y614" s="2">
        <v>45702</v>
      </c>
      <c r="Z614" s="2"/>
      <c r="AA614" t="s">
        <v>276</v>
      </c>
      <c r="AB614">
        <v>8271</v>
      </c>
      <c r="AC614">
        <v>70161</v>
      </c>
      <c r="AD614" t="s">
        <v>834</v>
      </c>
      <c r="AE614" s="2">
        <v>45701</v>
      </c>
      <c r="AF614">
        <v>4</v>
      </c>
      <c r="AG614" s="17">
        <v>0.16666666666666599</v>
      </c>
      <c r="AH614" s="2">
        <v>45701</v>
      </c>
    </row>
    <row r="615" spans="1:34" hidden="1" x14ac:dyDescent="0.25">
      <c r="A615" s="12">
        <v>8271</v>
      </c>
      <c r="B615" s="12">
        <v>317</v>
      </c>
      <c r="C615" t="s">
        <v>275</v>
      </c>
      <c r="E615" s="8"/>
      <c r="F615" s="12">
        <v>21</v>
      </c>
      <c r="G615" s="8" t="s">
        <v>44</v>
      </c>
      <c r="H615" s="12">
        <v>2767</v>
      </c>
      <c r="I615" t="s">
        <v>348</v>
      </c>
      <c r="K615" t="s">
        <v>63</v>
      </c>
      <c r="N615" s="12"/>
      <c r="O615" s="8"/>
      <c r="P615">
        <v>1</v>
      </c>
      <c r="Q615" s="8">
        <v>1</v>
      </c>
      <c r="R615" s="12">
        <v>1</v>
      </c>
      <c r="S615" s="8">
        <v>1</v>
      </c>
      <c r="T615" s="12"/>
      <c r="U615" s="8"/>
      <c r="V615" s="2">
        <v>45658</v>
      </c>
      <c r="W615" s="2">
        <v>1</v>
      </c>
      <c r="X615" s="2">
        <v>45702</v>
      </c>
      <c r="Y615" s="2">
        <v>45702</v>
      </c>
      <c r="Z615" s="2"/>
      <c r="AA615" t="s">
        <v>276</v>
      </c>
      <c r="AB615">
        <v>8271</v>
      </c>
      <c r="AC615">
        <v>70160</v>
      </c>
      <c r="AD615" t="s">
        <v>835</v>
      </c>
      <c r="AE615" s="2">
        <v>45701</v>
      </c>
      <c r="AF615">
        <v>2</v>
      </c>
      <c r="AG615" s="17">
        <v>8.3333333333333301E-2</v>
      </c>
      <c r="AH615" s="2">
        <v>45701</v>
      </c>
    </row>
    <row r="616" spans="1:34" hidden="1" x14ac:dyDescent="0.25">
      <c r="A616" s="12">
        <v>8271</v>
      </c>
      <c r="B616" s="12">
        <v>317</v>
      </c>
      <c r="C616" t="s">
        <v>275</v>
      </c>
      <c r="E616" s="8"/>
      <c r="F616" s="12">
        <v>21</v>
      </c>
      <c r="G616" s="8" t="s">
        <v>44</v>
      </c>
      <c r="H616" s="12">
        <v>2767</v>
      </c>
      <c r="I616" t="s">
        <v>348</v>
      </c>
      <c r="K616" t="s">
        <v>63</v>
      </c>
      <c r="N616" s="12"/>
      <c r="O616" s="8"/>
      <c r="P616">
        <v>1</v>
      </c>
      <c r="Q616" s="8">
        <v>1</v>
      </c>
      <c r="R616" s="12">
        <v>1</v>
      </c>
      <c r="S616" s="8">
        <v>1</v>
      </c>
      <c r="T616" s="12"/>
      <c r="U616" s="8"/>
      <c r="V616" s="2">
        <v>45658</v>
      </c>
      <c r="W616" s="2">
        <v>1</v>
      </c>
      <c r="X616" s="2">
        <v>45702</v>
      </c>
      <c r="Y616" s="2">
        <v>45702</v>
      </c>
      <c r="Z616" s="2"/>
      <c r="AA616" t="s">
        <v>276</v>
      </c>
      <c r="AB616">
        <v>8271</v>
      </c>
      <c r="AC616">
        <v>70982</v>
      </c>
      <c r="AD616" t="s">
        <v>836</v>
      </c>
      <c r="AE616" s="2">
        <v>45700</v>
      </c>
      <c r="AF616">
        <v>4</v>
      </c>
      <c r="AG616" s="17">
        <v>0.16666666666666599</v>
      </c>
      <c r="AH616" s="2">
        <v>45703</v>
      </c>
    </row>
    <row r="617" spans="1:34" hidden="1" x14ac:dyDescent="0.25">
      <c r="A617" s="12">
        <v>8271</v>
      </c>
      <c r="B617" s="12">
        <v>317</v>
      </c>
      <c r="C617" t="s">
        <v>275</v>
      </c>
      <c r="E617" s="8"/>
      <c r="F617" s="12">
        <v>21</v>
      </c>
      <c r="G617" s="8" t="s">
        <v>44</v>
      </c>
      <c r="H617" s="12">
        <v>2767</v>
      </c>
      <c r="I617" t="s">
        <v>348</v>
      </c>
      <c r="K617" t="s">
        <v>63</v>
      </c>
      <c r="N617" s="12"/>
      <c r="O617" s="8"/>
      <c r="P617">
        <v>1</v>
      </c>
      <c r="Q617" s="8">
        <v>1</v>
      </c>
      <c r="R617" s="12">
        <v>1</v>
      </c>
      <c r="S617" s="8">
        <v>1</v>
      </c>
      <c r="T617" s="12"/>
      <c r="U617" s="8"/>
      <c r="V617" s="2">
        <v>45658</v>
      </c>
      <c r="W617" s="2">
        <v>1</v>
      </c>
      <c r="X617" s="2">
        <v>45702</v>
      </c>
      <c r="Y617" s="2">
        <v>45702</v>
      </c>
      <c r="Z617" s="2"/>
      <c r="AA617" t="s">
        <v>276</v>
      </c>
      <c r="AB617">
        <v>8271</v>
      </c>
      <c r="AC617">
        <v>70672</v>
      </c>
      <c r="AD617" t="s">
        <v>833</v>
      </c>
      <c r="AE617" s="2">
        <v>45700</v>
      </c>
      <c r="AF617">
        <v>4</v>
      </c>
      <c r="AG617" s="17">
        <v>0.16666666666666599</v>
      </c>
      <c r="AH617" s="2">
        <v>45702</v>
      </c>
    </row>
    <row r="618" spans="1:34" hidden="1" x14ac:dyDescent="0.25">
      <c r="A618" s="12">
        <v>8271</v>
      </c>
      <c r="B618" s="12">
        <v>317</v>
      </c>
      <c r="C618" t="s">
        <v>275</v>
      </c>
      <c r="E618" s="8"/>
      <c r="F618" s="12">
        <v>21</v>
      </c>
      <c r="G618" s="8" t="s">
        <v>44</v>
      </c>
      <c r="H618" s="12">
        <v>2767</v>
      </c>
      <c r="I618" t="s">
        <v>348</v>
      </c>
      <c r="K618" t="s">
        <v>63</v>
      </c>
      <c r="N618" s="12"/>
      <c r="O618" s="8"/>
      <c r="P618">
        <v>1</v>
      </c>
      <c r="Q618" s="8">
        <v>1</v>
      </c>
      <c r="R618" s="12">
        <v>1</v>
      </c>
      <c r="S618" s="8">
        <v>1</v>
      </c>
      <c r="T618" s="12"/>
      <c r="U618" s="8"/>
      <c r="V618" s="2">
        <v>45658</v>
      </c>
      <c r="W618" s="2">
        <v>1</v>
      </c>
      <c r="X618" s="2">
        <v>45702</v>
      </c>
      <c r="Y618" s="2">
        <v>45702</v>
      </c>
      <c r="Z618" s="2"/>
      <c r="AA618" t="s">
        <v>276</v>
      </c>
      <c r="AB618">
        <v>8271</v>
      </c>
      <c r="AC618">
        <v>69516</v>
      </c>
      <c r="AD618" t="s">
        <v>837</v>
      </c>
      <c r="AE618" s="2">
        <v>45699</v>
      </c>
      <c r="AF618">
        <v>2</v>
      </c>
      <c r="AG618" s="17">
        <v>8.3333333333333301E-2</v>
      </c>
      <c r="AH618" s="2">
        <v>45699</v>
      </c>
    </row>
    <row r="619" spans="1:34" hidden="1" x14ac:dyDescent="0.25">
      <c r="A619" s="12">
        <v>8271</v>
      </c>
      <c r="B619" s="12">
        <v>317</v>
      </c>
      <c r="C619" t="s">
        <v>275</v>
      </c>
      <c r="E619" s="8"/>
      <c r="F619" s="12">
        <v>21</v>
      </c>
      <c r="G619" s="8" t="s">
        <v>44</v>
      </c>
      <c r="H619" s="12">
        <v>2767</v>
      </c>
      <c r="I619" t="s">
        <v>348</v>
      </c>
      <c r="K619" t="s">
        <v>63</v>
      </c>
      <c r="N619" s="12"/>
      <c r="O619" s="8"/>
      <c r="P619">
        <v>1</v>
      </c>
      <c r="Q619" s="8">
        <v>1</v>
      </c>
      <c r="R619" s="12">
        <v>1</v>
      </c>
      <c r="S619" s="8">
        <v>1</v>
      </c>
      <c r="T619" s="12"/>
      <c r="U619" s="8"/>
      <c r="V619" s="2">
        <v>45658</v>
      </c>
      <c r="W619" s="2">
        <v>1</v>
      </c>
      <c r="X619" s="2">
        <v>45702</v>
      </c>
      <c r="Y619" s="2">
        <v>45702</v>
      </c>
      <c r="Z619" s="2"/>
      <c r="AA619" t="s">
        <v>276</v>
      </c>
      <c r="AB619">
        <v>8271</v>
      </c>
      <c r="AC619">
        <v>69514</v>
      </c>
      <c r="AD619" t="s">
        <v>838</v>
      </c>
      <c r="AE619" s="2">
        <v>45699</v>
      </c>
      <c r="AF619">
        <v>2</v>
      </c>
      <c r="AG619" s="17">
        <v>8.3333333333333301E-2</v>
      </c>
      <c r="AH619" s="2">
        <v>45699</v>
      </c>
    </row>
    <row r="620" spans="1:34" hidden="1" x14ac:dyDescent="0.25">
      <c r="A620" s="12">
        <v>8271</v>
      </c>
      <c r="B620" s="12">
        <v>317</v>
      </c>
      <c r="C620" t="s">
        <v>275</v>
      </c>
      <c r="E620" s="8"/>
      <c r="F620" s="12">
        <v>21</v>
      </c>
      <c r="G620" s="8" t="s">
        <v>44</v>
      </c>
      <c r="H620" s="12">
        <v>2767</v>
      </c>
      <c r="I620" t="s">
        <v>348</v>
      </c>
      <c r="K620" t="s">
        <v>63</v>
      </c>
      <c r="N620" s="12"/>
      <c r="O620" s="8"/>
      <c r="P620">
        <v>1</v>
      </c>
      <c r="Q620" s="8">
        <v>1</v>
      </c>
      <c r="R620" s="12">
        <v>1</v>
      </c>
      <c r="S620" s="8">
        <v>1</v>
      </c>
      <c r="T620" s="12"/>
      <c r="U620" s="8"/>
      <c r="V620" s="2">
        <v>45658</v>
      </c>
      <c r="W620" s="2">
        <v>1</v>
      </c>
      <c r="X620" s="2">
        <v>45702</v>
      </c>
      <c r="Y620" s="2">
        <v>45702</v>
      </c>
      <c r="Z620" s="2"/>
      <c r="AA620" t="s">
        <v>276</v>
      </c>
      <c r="AB620">
        <v>8271</v>
      </c>
      <c r="AC620">
        <v>69513</v>
      </c>
      <c r="AD620" t="s">
        <v>839</v>
      </c>
      <c r="AE620" s="2">
        <v>45699</v>
      </c>
      <c r="AF620">
        <v>2</v>
      </c>
      <c r="AG620" s="17">
        <v>8.3333333333333301E-2</v>
      </c>
      <c r="AH620" s="2">
        <v>45699</v>
      </c>
    </row>
    <row r="621" spans="1:34" hidden="1" x14ac:dyDescent="0.25">
      <c r="A621" s="12">
        <v>8271</v>
      </c>
      <c r="B621" s="12">
        <v>317</v>
      </c>
      <c r="C621" t="s">
        <v>275</v>
      </c>
      <c r="E621" s="8"/>
      <c r="F621" s="12">
        <v>21</v>
      </c>
      <c r="G621" s="8" t="s">
        <v>44</v>
      </c>
      <c r="H621" s="12">
        <v>2767</v>
      </c>
      <c r="I621" t="s">
        <v>348</v>
      </c>
      <c r="K621" t="s">
        <v>63</v>
      </c>
      <c r="N621" s="12"/>
      <c r="O621" s="8"/>
      <c r="P621">
        <v>1</v>
      </c>
      <c r="Q621" s="8">
        <v>1</v>
      </c>
      <c r="R621" s="12">
        <v>1</v>
      </c>
      <c r="S621" s="8">
        <v>1</v>
      </c>
      <c r="T621" s="12"/>
      <c r="U621" s="8"/>
      <c r="V621" s="2">
        <v>45658</v>
      </c>
      <c r="W621" s="2">
        <v>1</v>
      </c>
      <c r="X621" s="2">
        <v>45702</v>
      </c>
      <c r="Y621" s="2">
        <v>45702</v>
      </c>
      <c r="Z621" s="2"/>
      <c r="AA621" t="s">
        <v>276</v>
      </c>
      <c r="AB621">
        <v>8271</v>
      </c>
      <c r="AC621">
        <v>69508</v>
      </c>
      <c r="AD621" t="s">
        <v>840</v>
      </c>
      <c r="AE621" s="2">
        <v>45699</v>
      </c>
      <c r="AF621">
        <v>2</v>
      </c>
      <c r="AG621" s="17">
        <v>8.3333333333333301E-2</v>
      </c>
      <c r="AH621" s="2">
        <v>45699</v>
      </c>
    </row>
    <row r="622" spans="1:34" hidden="1" x14ac:dyDescent="0.25">
      <c r="A622" s="12">
        <v>8271</v>
      </c>
      <c r="B622" s="12">
        <v>317</v>
      </c>
      <c r="C622" t="s">
        <v>275</v>
      </c>
      <c r="E622" s="8"/>
      <c r="F622" s="12">
        <v>21</v>
      </c>
      <c r="G622" s="8" t="s">
        <v>44</v>
      </c>
      <c r="H622" s="12">
        <v>2767</v>
      </c>
      <c r="I622" t="s">
        <v>348</v>
      </c>
      <c r="K622" t="s">
        <v>63</v>
      </c>
      <c r="N622" s="12"/>
      <c r="O622" s="8"/>
      <c r="P622">
        <v>1</v>
      </c>
      <c r="Q622" s="8">
        <v>1</v>
      </c>
      <c r="R622" s="12">
        <v>1</v>
      </c>
      <c r="S622" s="8">
        <v>1</v>
      </c>
      <c r="T622" s="12"/>
      <c r="U622" s="8"/>
      <c r="V622" s="2">
        <v>45658</v>
      </c>
      <c r="W622" s="2">
        <v>1</v>
      </c>
      <c r="X622" s="2">
        <v>45702</v>
      </c>
      <c r="Y622" s="2">
        <v>45702</v>
      </c>
      <c r="Z622" s="2"/>
      <c r="AA622" t="s">
        <v>276</v>
      </c>
      <c r="AB622">
        <v>8271</v>
      </c>
      <c r="AC622">
        <v>69515</v>
      </c>
      <c r="AD622" t="s">
        <v>841</v>
      </c>
      <c r="AE622" s="2">
        <v>45698</v>
      </c>
      <c r="AF622">
        <v>2</v>
      </c>
      <c r="AG622" s="17">
        <v>8.3333333333333301E-2</v>
      </c>
      <c r="AH622" s="2">
        <v>45699</v>
      </c>
    </row>
    <row r="623" spans="1:34" hidden="1" x14ac:dyDescent="0.25">
      <c r="A623" s="12">
        <v>8271</v>
      </c>
      <c r="B623" s="12">
        <v>317</v>
      </c>
      <c r="C623" t="s">
        <v>275</v>
      </c>
      <c r="E623" s="8"/>
      <c r="F623" s="12">
        <v>21</v>
      </c>
      <c r="G623" s="8" t="s">
        <v>44</v>
      </c>
      <c r="H623" s="12">
        <v>2767</v>
      </c>
      <c r="I623" t="s">
        <v>348</v>
      </c>
      <c r="K623" t="s">
        <v>63</v>
      </c>
      <c r="N623" s="12"/>
      <c r="O623" s="8"/>
      <c r="P623">
        <v>1</v>
      </c>
      <c r="Q623" s="8">
        <v>1</v>
      </c>
      <c r="R623" s="12">
        <v>1</v>
      </c>
      <c r="S623" s="8">
        <v>1</v>
      </c>
      <c r="T623" s="12"/>
      <c r="U623" s="8"/>
      <c r="V623" s="2">
        <v>45658</v>
      </c>
      <c r="W623" s="2">
        <v>1</v>
      </c>
      <c r="X623" s="2">
        <v>45702</v>
      </c>
      <c r="Y623" s="2">
        <v>45702</v>
      </c>
      <c r="Z623" s="2"/>
      <c r="AA623" t="s">
        <v>276</v>
      </c>
      <c r="AB623">
        <v>8271</v>
      </c>
      <c r="AC623">
        <v>68405</v>
      </c>
      <c r="AD623" t="s">
        <v>842</v>
      </c>
      <c r="AE623" s="2">
        <v>45695</v>
      </c>
      <c r="AF623">
        <v>4</v>
      </c>
      <c r="AG623" s="17">
        <v>0.16666666666666599</v>
      </c>
      <c r="AH623" s="2">
        <v>45695</v>
      </c>
    </row>
    <row r="624" spans="1:34" hidden="1" x14ac:dyDescent="0.25">
      <c r="A624" s="12">
        <v>8271</v>
      </c>
      <c r="B624" s="12">
        <v>317</v>
      </c>
      <c r="C624" t="s">
        <v>275</v>
      </c>
      <c r="E624" s="8"/>
      <c r="F624" s="12">
        <v>21</v>
      </c>
      <c r="G624" s="8" t="s">
        <v>44</v>
      </c>
      <c r="H624" s="12">
        <v>2767</v>
      </c>
      <c r="I624" t="s">
        <v>348</v>
      </c>
      <c r="K624" t="s">
        <v>63</v>
      </c>
      <c r="N624" s="12"/>
      <c r="O624" s="8"/>
      <c r="P624">
        <v>1</v>
      </c>
      <c r="Q624" s="8">
        <v>1</v>
      </c>
      <c r="R624" s="12">
        <v>1</v>
      </c>
      <c r="S624" s="8">
        <v>1</v>
      </c>
      <c r="T624" s="12"/>
      <c r="U624" s="8"/>
      <c r="V624" s="2">
        <v>45658</v>
      </c>
      <c r="W624" s="2">
        <v>1</v>
      </c>
      <c r="X624" s="2">
        <v>45702</v>
      </c>
      <c r="Y624" s="2">
        <v>45702</v>
      </c>
      <c r="Z624" s="2"/>
      <c r="AA624" t="s">
        <v>276</v>
      </c>
      <c r="AB624">
        <v>8271</v>
      </c>
      <c r="AC624">
        <v>68403</v>
      </c>
      <c r="AD624" t="s">
        <v>843</v>
      </c>
      <c r="AE624" s="2">
        <v>45695</v>
      </c>
      <c r="AF624">
        <v>2</v>
      </c>
      <c r="AG624" s="17">
        <v>8.3333333333333301E-2</v>
      </c>
      <c r="AH624" s="2">
        <v>45695</v>
      </c>
    </row>
    <row r="625" spans="1:34" hidden="1" x14ac:dyDescent="0.25">
      <c r="A625" s="12">
        <v>8271</v>
      </c>
      <c r="B625" s="12">
        <v>317</v>
      </c>
      <c r="C625" t="s">
        <v>275</v>
      </c>
      <c r="E625" s="8"/>
      <c r="F625" s="12">
        <v>21</v>
      </c>
      <c r="G625" s="8" t="s">
        <v>44</v>
      </c>
      <c r="H625" s="12">
        <v>2767</v>
      </c>
      <c r="I625" t="s">
        <v>348</v>
      </c>
      <c r="K625" t="s">
        <v>63</v>
      </c>
      <c r="N625" s="12"/>
      <c r="O625" s="8"/>
      <c r="P625">
        <v>1</v>
      </c>
      <c r="Q625" s="8">
        <v>1</v>
      </c>
      <c r="R625" s="12">
        <v>1</v>
      </c>
      <c r="S625" s="8">
        <v>1</v>
      </c>
      <c r="T625" s="12"/>
      <c r="U625" s="8"/>
      <c r="V625" s="2">
        <v>45658</v>
      </c>
      <c r="W625" s="2">
        <v>1</v>
      </c>
      <c r="X625" s="2">
        <v>45702</v>
      </c>
      <c r="Y625" s="2">
        <v>45702</v>
      </c>
      <c r="Z625" s="2"/>
      <c r="AA625" t="s">
        <v>276</v>
      </c>
      <c r="AB625">
        <v>8271</v>
      </c>
      <c r="AC625">
        <v>68402</v>
      </c>
      <c r="AD625" t="s">
        <v>844</v>
      </c>
      <c r="AE625" s="2">
        <v>45694</v>
      </c>
      <c r="AF625">
        <v>4</v>
      </c>
      <c r="AG625" s="17">
        <v>0.16666666666666599</v>
      </c>
      <c r="AH625" s="2">
        <v>45695</v>
      </c>
    </row>
    <row r="626" spans="1:34" hidden="1" x14ac:dyDescent="0.25">
      <c r="A626" s="12">
        <v>8271</v>
      </c>
      <c r="B626" s="12">
        <v>317</v>
      </c>
      <c r="C626" t="s">
        <v>275</v>
      </c>
      <c r="E626" s="8"/>
      <c r="F626" s="12">
        <v>21</v>
      </c>
      <c r="G626" s="8" t="s">
        <v>44</v>
      </c>
      <c r="H626" s="12">
        <v>2767</v>
      </c>
      <c r="I626" t="s">
        <v>348</v>
      </c>
      <c r="K626" t="s">
        <v>63</v>
      </c>
      <c r="N626" s="12"/>
      <c r="O626" s="8"/>
      <c r="P626">
        <v>1</v>
      </c>
      <c r="Q626" s="8">
        <v>1</v>
      </c>
      <c r="R626" s="12">
        <v>1</v>
      </c>
      <c r="S626" s="8">
        <v>1</v>
      </c>
      <c r="T626" s="12"/>
      <c r="U626" s="8"/>
      <c r="V626" s="2">
        <v>45658</v>
      </c>
      <c r="W626" s="2">
        <v>1</v>
      </c>
      <c r="X626" s="2">
        <v>45702</v>
      </c>
      <c r="Y626" s="2">
        <v>45702</v>
      </c>
      <c r="Z626" s="2"/>
      <c r="AA626" t="s">
        <v>276</v>
      </c>
      <c r="AB626">
        <v>8271</v>
      </c>
      <c r="AC626">
        <v>68016</v>
      </c>
      <c r="AD626" t="s">
        <v>845</v>
      </c>
      <c r="AE626" s="2">
        <v>45693</v>
      </c>
      <c r="AF626">
        <v>4</v>
      </c>
      <c r="AG626" s="17">
        <v>0.16666666666666599</v>
      </c>
      <c r="AH626" s="2">
        <v>45693</v>
      </c>
    </row>
    <row r="627" spans="1:34" hidden="1" x14ac:dyDescent="0.25">
      <c r="A627" s="12">
        <v>8271</v>
      </c>
      <c r="B627" s="12">
        <v>317</v>
      </c>
      <c r="C627" t="s">
        <v>275</v>
      </c>
      <c r="E627" s="8"/>
      <c r="F627" s="12">
        <v>21</v>
      </c>
      <c r="G627" s="8" t="s">
        <v>44</v>
      </c>
      <c r="H627" s="12">
        <v>2767</v>
      </c>
      <c r="I627" t="s">
        <v>348</v>
      </c>
      <c r="K627" t="s">
        <v>63</v>
      </c>
      <c r="N627" s="12"/>
      <c r="O627" s="8"/>
      <c r="P627">
        <v>1</v>
      </c>
      <c r="Q627" s="8">
        <v>1</v>
      </c>
      <c r="R627" s="12">
        <v>1</v>
      </c>
      <c r="S627" s="8">
        <v>1</v>
      </c>
      <c r="T627" s="12"/>
      <c r="U627" s="8"/>
      <c r="V627" s="2">
        <v>45658</v>
      </c>
      <c r="W627" s="2">
        <v>1</v>
      </c>
      <c r="X627" s="2">
        <v>45702</v>
      </c>
      <c r="Y627" s="2">
        <v>45702</v>
      </c>
      <c r="Z627" s="2"/>
      <c r="AA627" t="s">
        <v>276</v>
      </c>
      <c r="AB627">
        <v>8271</v>
      </c>
      <c r="AC627">
        <v>68005</v>
      </c>
      <c r="AD627" t="s">
        <v>846</v>
      </c>
      <c r="AE627" s="2">
        <v>45693</v>
      </c>
      <c r="AF627">
        <v>4</v>
      </c>
      <c r="AG627" s="17">
        <v>0.16666666666666599</v>
      </c>
      <c r="AH627" s="2">
        <v>45693</v>
      </c>
    </row>
    <row r="628" spans="1:34" hidden="1" x14ac:dyDescent="0.25">
      <c r="A628" s="12">
        <v>8276</v>
      </c>
      <c r="B628" s="12">
        <v>334</v>
      </c>
      <c r="C628" t="s">
        <v>277</v>
      </c>
      <c r="E628" s="8"/>
      <c r="F628" s="12">
        <v>21</v>
      </c>
      <c r="G628" s="8" t="s">
        <v>44</v>
      </c>
      <c r="H628" s="12">
        <v>3203</v>
      </c>
      <c r="I628" t="s">
        <v>47</v>
      </c>
      <c r="J628" t="s">
        <v>62</v>
      </c>
      <c r="K628" t="s">
        <v>101</v>
      </c>
      <c r="N628" s="12"/>
      <c r="O628" s="8"/>
      <c r="P628">
        <v>1</v>
      </c>
      <c r="Q628" s="8">
        <v>1</v>
      </c>
      <c r="R628" s="12">
        <v>3</v>
      </c>
      <c r="S628" s="8">
        <v>3</v>
      </c>
      <c r="T628" s="12"/>
      <c r="U628" s="8"/>
      <c r="V628" s="2">
        <v>45658</v>
      </c>
      <c r="W628" s="2">
        <v>1</v>
      </c>
      <c r="X628" s="2">
        <v>45688</v>
      </c>
      <c r="Y628" s="2">
        <v>45747</v>
      </c>
      <c r="Z628" s="2"/>
      <c r="AE628" s="2"/>
      <c r="AG628" s="17"/>
      <c r="AH628" s="2"/>
    </row>
    <row r="629" spans="1:34" hidden="1" x14ac:dyDescent="0.25">
      <c r="A629" s="12">
        <v>8294</v>
      </c>
      <c r="B629" s="12">
        <v>361</v>
      </c>
      <c r="C629" t="s">
        <v>250</v>
      </c>
      <c r="D629">
        <v>247556</v>
      </c>
      <c r="E629" s="8" t="s">
        <v>78</v>
      </c>
      <c r="F629" s="12">
        <v>27</v>
      </c>
      <c r="G629" s="8" t="s">
        <v>168</v>
      </c>
      <c r="H629" s="12">
        <v>3201</v>
      </c>
      <c r="I629" t="s">
        <v>51</v>
      </c>
      <c r="J629" t="s">
        <v>62</v>
      </c>
      <c r="K629" t="s">
        <v>63</v>
      </c>
      <c r="N629" s="12"/>
      <c r="O629" s="8"/>
      <c r="P629">
        <v>1</v>
      </c>
      <c r="Q629" s="8">
        <v>1</v>
      </c>
      <c r="R629" s="12">
        <v>1</v>
      </c>
      <c r="S629" s="8">
        <v>1</v>
      </c>
      <c r="T629" s="12"/>
      <c r="U629" s="8"/>
      <c r="V629" s="2">
        <v>45687</v>
      </c>
      <c r="W629" s="2">
        <v>1</v>
      </c>
      <c r="X629" s="2">
        <v>45777</v>
      </c>
      <c r="Y629" s="2">
        <v>45777</v>
      </c>
      <c r="Z629" s="2"/>
      <c r="AA629" t="s">
        <v>251</v>
      </c>
      <c r="AB629">
        <v>8294</v>
      </c>
      <c r="AC629">
        <v>72191</v>
      </c>
      <c r="AD629" t="s">
        <v>345</v>
      </c>
      <c r="AE629" s="2">
        <v>45708</v>
      </c>
      <c r="AF629">
        <v>1</v>
      </c>
      <c r="AG629" s="17">
        <v>4.1666666666666602E-2</v>
      </c>
      <c r="AH629" s="2">
        <v>45708</v>
      </c>
    </row>
    <row r="630" spans="1:34" hidden="1" x14ac:dyDescent="0.25">
      <c r="A630" s="12">
        <v>8294</v>
      </c>
      <c r="B630" s="12">
        <v>361</v>
      </c>
      <c r="C630" t="s">
        <v>250</v>
      </c>
      <c r="D630">
        <v>247556</v>
      </c>
      <c r="E630" s="8" t="s">
        <v>78</v>
      </c>
      <c r="F630" s="12">
        <v>27</v>
      </c>
      <c r="G630" s="8" t="s">
        <v>168</v>
      </c>
      <c r="H630" s="12">
        <v>3201</v>
      </c>
      <c r="I630" t="s">
        <v>51</v>
      </c>
      <c r="K630" t="s">
        <v>63</v>
      </c>
      <c r="N630" s="12"/>
      <c r="O630" s="8"/>
      <c r="P630">
        <v>1</v>
      </c>
      <c r="Q630" s="8">
        <v>1</v>
      </c>
      <c r="R630" s="12">
        <v>1</v>
      </c>
      <c r="S630" s="8">
        <v>1</v>
      </c>
      <c r="T630" s="12"/>
      <c r="U630" s="8"/>
      <c r="V630" s="2">
        <v>45687</v>
      </c>
      <c r="W630" s="2">
        <v>1</v>
      </c>
      <c r="X630" s="2">
        <v>45777</v>
      </c>
      <c r="Y630" s="2">
        <v>45777</v>
      </c>
      <c r="Z630" s="2"/>
      <c r="AA630" t="s">
        <v>251</v>
      </c>
      <c r="AB630">
        <v>8294</v>
      </c>
      <c r="AC630">
        <v>71922</v>
      </c>
      <c r="AD630" t="s">
        <v>784</v>
      </c>
      <c r="AE630" s="2">
        <v>45707</v>
      </c>
      <c r="AF630">
        <v>1</v>
      </c>
      <c r="AG630" s="17">
        <v>4.1666666666666602E-2</v>
      </c>
      <c r="AH630" s="2">
        <v>45707</v>
      </c>
    </row>
    <row r="631" spans="1:34" hidden="1" x14ac:dyDescent="0.25">
      <c r="A631" s="12">
        <v>8294</v>
      </c>
      <c r="B631" s="12">
        <v>361</v>
      </c>
      <c r="C631" t="s">
        <v>250</v>
      </c>
      <c r="D631">
        <v>247556</v>
      </c>
      <c r="E631" s="8" t="s">
        <v>78</v>
      </c>
      <c r="F631" s="12">
        <v>27</v>
      </c>
      <c r="G631" s="8" t="s">
        <v>168</v>
      </c>
      <c r="H631" s="12">
        <v>3201</v>
      </c>
      <c r="I631" t="s">
        <v>51</v>
      </c>
      <c r="K631" t="s">
        <v>63</v>
      </c>
      <c r="N631" s="12"/>
      <c r="O631" s="8"/>
      <c r="P631">
        <v>1</v>
      </c>
      <c r="Q631" s="8">
        <v>1</v>
      </c>
      <c r="R631" s="12">
        <v>1</v>
      </c>
      <c r="S631" s="8">
        <v>1</v>
      </c>
      <c r="T631" s="12"/>
      <c r="U631" s="8"/>
      <c r="V631" s="2">
        <v>45687</v>
      </c>
      <c r="W631" s="2">
        <v>1</v>
      </c>
      <c r="X631" s="2">
        <v>45777</v>
      </c>
      <c r="Y631" s="2">
        <v>45777</v>
      </c>
      <c r="Z631" s="2"/>
      <c r="AA631" t="s">
        <v>251</v>
      </c>
      <c r="AB631">
        <v>8294</v>
      </c>
      <c r="AC631">
        <v>71808</v>
      </c>
      <c r="AD631" t="s">
        <v>784</v>
      </c>
      <c r="AE631" s="2">
        <v>45706</v>
      </c>
      <c r="AF631">
        <v>2</v>
      </c>
      <c r="AG631" s="17">
        <v>8.3333333333333301E-2</v>
      </c>
      <c r="AH631" s="2">
        <v>45707</v>
      </c>
    </row>
    <row r="632" spans="1:34" hidden="1" x14ac:dyDescent="0.25">
      <c r="A632" s="12">
        <v>8294</v>
      </c>
      <c r="B632" s="12">
        <v>361</v>
      </c>
      <c r="C632" t="s">
        <v>250</v>
      </c>
      <c r="D632">
        <v>247556</v>
      </c>
      <c r="E632" s="8" t="s">
        <v>78</v>
      </c>
      <c r="F632" s="12">
        <v>27</v>
      </c>
      <c r="G632" s="8" t="s">
        <v>168</v>
      </c>
      <c r="H632" s="12">
        <v>3201</v>
      </c>
      <c r="I632" t="s">
        <v>51</v>
      </c>
      <c r="K632" t="s">
        <v>63</v>
      </c>
      <c r="N632" s="12"/>
      <c r="O632" s="8"/>
      <c r="P632">
        <v>1</v>
      </c>
      <c r="Q632" s="8">
        <v>1</v>
      </c>
      <c r="R632" s="12">
        <v>1</v>
      </c>
      <c r="S632" s="8">
        <v>1</v>
      </c>
      <c r="T632" s="12"/>
      <c r="U632" s="8"/>
      <c r="V632" s="2">
        <v>45687</v>
      </c>
      <c r="W632" s="2">
        <v>1</v>
      </c>
      <c r="X632" s="2">
        <v>45777</v>
      </c>
      <c r="Y632" s="2">
        <v>45777</v>
      </c>
      <c r="Z632" s="2"/>
      <c r="AA632" t="s">
        <v>251</v>
      </c>
      <c r="AB632">
        <v>8294</v>
      </c>
      <c r="AC632">
        <v>71807</v>
      </c>
      <c r="AD632" t="s">
        <v>785</v>
      </c>
      <c r="AE632" s="2">
        <v>45706</v>
      </c>
      <c r="AF632">
        <v>1</v>
      </c>
      <c r="AG632" s="17">
        <v>4.1666666666666602E-2</v>
      </c>
      <c r="AH632" s="2">
        <v>45707</v>
      </c>
    </row>
    <row r="633" spans="1:34" hidden="1" x14ac:dyDescent="0.25">
      <c r="A633" s="12">
        <v>8294</v>
      </c>
      <c r="B633" s="12">
        <v>361</v>
      </c>
      <c r="C633" t="s">
        <v>250</v>
      </c>
      <c r="D633">
        <v>247556</v>
      </c>
      <c r="E633" s="8" t="s">
        <v>78</v>
      </c>
      <c r="F633" s="12">
        <v>27</v>
      </c>
      <c r="G633" s="8" t="s">
        <v>168</v>
      </c>
      <c r="H633" s="12">
        <v>3201</v>
      </c>
      <c r="I633" t="s">
        <v>51</v>
      </c>
      <c r="K633" t="s">
        <v>63</v>
      </c>
      <c r="N633" s="12"/>
      <c r="O633" s="8"/>
      <c r="P633">
        <v>1</v>
      </c>
      <c r="Q633" s="8">
        <v>1</v>
      </c>
      <c r="R633" s="12">
        <v>1</v>
      </c>
      <c r="S633" s="8">
        <v>1</v>
      </c>
      <c r="T633" s="12"/>
      <c r="U633" s="8"/>
      <c r="V633" s="2">
        <v>45687</v>
      </c>
      <c r="W633" s="2">
        <v>1</v>
      </c>
      <c r="X633" s="2">
        <v>45777</v>
      </c>
      <c r="Y633" s="2">
        <v>45777</v>
      </c>
      <c r="Z633" s="2"/>
      <c r="AA633" t="s">
        <v>251</v>
      </c>
      <c r="AB633">
        <v>8294</v>
      </c>
      <c r="AC633">
        <v>71410</v>
      </c>
      <c r="AD633" t="s">
        <v>786</v>
      </c>
      <c r="AE633" s="2">
        <v>45705</v>
      </c>
      <c r="AF633">
        <v>2</v>
      </c>
      <c r="AG633" s="17">
        <v>8.3333333333333301E-2</v>
      </c>
      <c r="AH633" s="2">
        <v>45706</v>
      </c>
    </row>
    <row r="634" spans="1:34" hidden="1" x14ac:dyDescent="0.25">
      <c r="A634" s="12">
        <v>8294</v>
      </c>
      <c r="B634" s="12">
        <v>361</v>
      </c>
      <c r="C634" t="s">
        <v>250</v>
      </c>
      <c r="D634">
        <v>247556</v>
      </c>
      <c r="E634" s="8" t="s">
        <v>78</v>
      </c>
      <c r="F634" s="12">
        <v>27</v>
      </c>
      <c r="G634" s="8" t="s">
        <v>168</v>
      </c>
      <c r="H634" s="12">
        <v>3201</v>
      </c>
      <c r="I634" t="s">
        <v>51</v>
      </c>
      <c r="K634" t="s">
        <v>63</v>
      </c>
      <c r="N634" s="12"/>
      <c r="O634" s="8"/>
      <c r="P634">
        <v>1</v>
      </c>
      <c r="Q634" s="8">
        <v>1</v>
      </c>
      <c r="R634" s="12">
        <v>1</v>
      </c>
      <c r="S634" s="8">
        <v>1</v>
      </c>
      <c r="T634" s="12"/>
      <c r="U634" s="8"/>
      <c r="V634" s="2">
        <v>45687</v>
      </c>
      <c r="W634" s="2">
        <v>1</v>
      </c>
      <c r="X634" s="2">
        <v>45777</v>
      </c>
      <c r="Y634" s="2">
        <v>45777</v>
      </c>
      <c r="Z634" s="2"/>
      <c r="AA634" t="s">
        <v>251</v>
      </c>
      <c r="AB634">
        <v>8294</v>
      </c>
      <c r="AC634">
        <v>71409</v>
      </c>
      <c r="AD634" t="s">
        <v>787</v>
      </c>
      <c r="AE634" s="2">
        <v>45705</v>
      </c>
      <c r="AF634">
        <v>2</v>
      </c>
      <c r="AG634" s="17">
        <v>8.3333333333333301E-2</v>
      </c>
      <c r="AH634" s="2">
        <v>45706</v>
      </c>
    </row>
    <row r="635" spans="1:34" hidden="1" x14ac:dyDescent="0.25">
      <c r="A635" s="12">
        <v>8294</v>
      </c>
      <c r="B635" s="12">
        <v>361</v>
      </c>
      <c r="C635" t="s">
        <v>250</v>
      </c>
      <c r="D635">
        <v>247556</v>
      </c>
      <c r="E635" s="8" t="s">
        <v>78</v>
      </c>
      <c r="F635" s="12">
        <v>27</v>
      </c>
      <c r="G635" s="8" t="s">
        <v>168</v>
      </c>
      <c r="H635" s="12">
        <v>3201</v>
      </c>
      <c r="I635" t="s">
        <v>51</v>
      </c>
      <c r="K635" t="s">
        <v>63</v>
      </c>
      <c r="N635" s="12"/>
      <c r="O635" s="8"/>
      <c r="P635">
        <v>1</v>
      </c>
      <c r="Q635" s="8">
        <v>1</v>
      </c>
      <c r="R635" s="12">
        <v>1</v>
      </c>
      <c r="S635" s="8">
        <v>1</v>
      </c>
      <c r="T635" s="12"/>
      <c r="U635" s="8"/>
      <c r="V635" s="2">
        <v>45687</v>
      </c>
      <c r="W635" s="2">
        <v>1</v>
      </c>
      <c r="X635" s="2">
        <v>45777</v>
      </c>
      <c r="Y635" s="2">
        <v>45777</v>
      </c>
      <c r="Z635" s="2"/>
      <c r="AA635" t="s">
        <v>251</v>
      </c>
      <c r="AB635">
        <v>8294</v>
      </c>
      <c r="AC635">
        <v>69875</v>
      </c>
      <c r="AD635" t="s">
        <v>788</v>
      </c>
      <c r="AE635" s="2">
        <v>45698</v>
      </c>
      <c r="AF635">
        <v>2.5</v>
      </c>
      <c r="AG635" s="17">
        <v>0.10416666666666601</v>
      </c>
      <c r="AH635" s="2">
        <v>45700</v>
      </c>
    </row>
    <row r="636" spans="1:34" hidden="1" x14ac:dyDescent="0.25">
      <c r="A636" s="12">
        <v>8294</v>
      </c>
      <c r="B636" s="12">
        <v>361</v>
      </c>
      <c r="C636" t="s">
        <v>250</v>
      </c>
      <c r="D636">
        <v>247556</v>
      </c>
      <c r="E636" s="8" t="s">
        <v>78</v>
      </c>
      <c r="F636" s="12">
        <v>27</v>
      </c>
      <c r="G636" s="8" t="s">
        <v>168</v>
      </c>
      <c r="H636" s="12">
        <v>3201</v>
      </c>
      <c r="I636" t="s">
        <v>51</v>
      </c>
      <c r="K636" t="s">
        <v>63</v>
      </c>
      <c r="N636" s="12"/>
      <c r="O636" s="8"/>
      <c r="P636">
        <v>1</v>
      </c>
      <c r="Q636" s="8">
        <v>1</v>
      </c>
      <c r="R636" s="12">
        <v>1</v>
      </c>
      <c r="S636" s="8">
        <v>1</v>
      </c>
      <c r="T636" s="12"/>
      <c r="U636" s="8"/>
      <c r="V636" s="2">
        <v>45687</v>
      </c>
      <c r="W636" s="2">
        <v>1</v>
      </c>
      <c r="X636" s="2">
        <v>45777</v>
      </c>
      <c r="Y636" s="2">
        <v>45777</v>
      </c>
      <c r="Z636" s="2"/>
      <c r="AA636" t="s">
        <v>251</v>
      </c>
      <c r="AB636">
        <v>8294</v>
      </c>
      <c r="AC636">
        <v>68281</v>
      </c>
      <c r="AD636" t="s">
        <v>789</v>
      </c>
      <c r="AE636" s="2">
        <v>45693</v>
      </c>
      <c r="AF636">
        <v>2.25</v>
      </c>
      <c r="AG636" s="17">
        <v>9.375E-2</v>
      </c>
      <c r="AH636" s="2">
        <v>45694</v>
      </c>
    </row>
    <row r="637" spans="1:34" hidden="1" x14ac:dyDescent="0.25">
      <c r="A637" s="12">
        <v>8294</v>
      </c>
      <c r="B637" s="12">
        <v>361</v>
      </c>
      <c r="C637" t="s">
        <v>250</v>
      </c>
      <c r="D637">
        <v>247556</v>
      </c>
      <c r="E637" s="8" t="s">
        <v>78</v>
      </c>
      <c r="F637" s="12">
        <v>27</v>
      </c>
      <c r="G637" s="8" t="s">
        <v>168</v>
      </c>
      <c r="H637" s="12">
        <v>3201</v>
      </c>
      <c r="I637" t="s">
        <v>51</v>
      </c>
      <c r="K637" t="s">
        <v>63</v>
      </c>
      <c r="N637" s="12"/>
      <c r="O637" s="8"/>
      <c r="P637">
        <v>1</v>
      </c>
      <c r="Q637" s="8">
        <v>1</v>
      </c>
      <c r="R637" s="12">
        <v>1</v>
      </c>
      <c r="S637" s="8">
        <v>1</v>
      </c>
      <c r="T637" s="12"/>
      <c r="U637" s="8"/>
      <c r="V637" s="2">
        <v>45687</v>
      </c>
      <c r="W637" s="2">
        <v>1</v>
      </c>
      <c r="X637" s="2">
        <v>45777</v>
      </c>
      <c r="Y637" s="2">
        <v>45777</v>
      </c>
      <c r="Z637" s="2"/>
      <c r="AA637" t="s">
        <v>251</v>
      </c>
      <c r="AB637">
        <v>8294</v>
      </c>
      <c r="AC637">
        <v>68280</v>
      </c>
      <c r="AD637" t="s">
        <v>790</v>
      </c>
      <c r="AE637" s="2">
        <v>45692</v>
      </c>
      <c r="AF637">
        <v>1.5</v>
      </c>
      <c r="AG637" s="17">
        <v>6.25E-2</v>
      </c>
      <c r="AH637" s="2">
        <v>45694</v>
      </c>
    </row>
    <row r="638" spans="1:34" hidden="1" x14ac:dyDescent="0.25">
      <c r="A638" s="12">
        <v>8256</v>
      </c>
      <c r="B638" s="12">
        <v>362</v>
      </c>
      <c r="C638" t="s">
        <v>278</v>
      </c>
      <c r="D638">
        <v>247002</v>
      </c>
      <c r="E638" s="8" t="s">
        <v>105</v>
      </c>
      <c r="F638" s="12">
        <v>21</v>
      </c>
      <c r="G638" s="8" t="s">
        <v>44</v>
      </c>
      <c r="H638" s="12">
        <v>3202</v>
      </c>
      <c r="I638" t="s">
        <v>49</v>
      </c>
      <c r="J638" t="s">
        <v>62</v>
      </c>
      <c r="K638" t="s">
        <v>101</v>
      </c>
      <c r="N638" s="12"/>
      <c r="O638" s="8"/>
      <c r="P638">
        <v>1</v>
      </c>
      <c r="Q638" s="8">
        <v>1</v>
      </c>
      <c r="R638" s="12">
        <v>2</v>
      </c>
      <c r="S638" s="8">
        <v>2</v>
      </c>
      <c r="T638" s="12"/>
      <c r="U638" s="8"/>
      <c r="V638" s="2">
        <v>45677</v>
      </c>
      <c r="W638" s="2">
        <v>1</v>
      </c>
      <c r="X638" s="2">
        <v>45681</v>
      </c>
      <c r="Y638" s="2">
        <v>45684</v>
      </c>
      <c r="Z638" s="2">
        <v>45717</v>
      </c>
      <c r="AB638">
        <v>8256</v>
      </c>
      <c r="AC638">
        <v>67228</v>
      </c>
      <c r="AD638" t="s">
        <v>438</v>
      </c>
      <c r="AE638" s="2">
        <v>45679</v>
      </c>
      <c r="AF638">
        <v>4</v>
      </c>
      <c r="AG638" s="17">
        <v>0.16666666666666599</v>
      </c>
      <c r="AH638" s="2">
        <v>45689</v>
      </c>
    </row>
    <row r="639" spans="1:34" hidden="1" x14ac:dyDescent="0.25">
      <c r="A639" s="12">
        <v>8256</v>
      </c>
      <c r="B639" s="12">
        <v>362</v>
      </c>
      <c r="C639" t="s">
        <v>278</v>
      </c>
      <c r="D639">
        <v>247002</v>
      </c>
      <c r="E639" s="8" t="s">
        <v>105</v>
      </c>
      <c r="F639" s="12">
        <v>21</v>
      </c>
      <c r="G639" s="8" t="s">
        <v>44</v>
      </c>
      <c r="H639" s="12">
        <v>3202</v>
      </c>
      <c r="I639" t="s">
        <v>49</v>
      </c>
      <c r="K639" t="s">
        <v>101</v>
      </c>
      <c r="N639" s="12"/>
      <c r="O639" s="8"/>
      <c r="P639">
        <v>1</v>
      </c>
      <c r="Q639" s="8">
        <v>1</v>
      </c>
      <c r="R639" s="12">
        <v>2</v>
      </c>
      <c r="S639" s="8">
        <v>2</v>
      </c>
      <c r="T639" s="12"/>
      <c r="U639" s="8"/>
      <c r="V639" s="2">
        <v>45677</v>
      </c>
      <c r="W639" s="2">
        <v>1</v>
      </c>
      <c r="X639" s="2">
        <v>45681</v>
      </c>
      <c r="Y639" s="2">
        <v>45684</v>
      </c>
      <c r="Z639" s="2">
        <v>45717</v>
      </c>
      <c r="AB639">
        <v>8256</v>
      </c>
      <c r="AC639">
        <v>67227</v>
      </c>
      <c r="AD639" t="s">
        <v>847</v>
      </c>
      <c r="AE639" s="2">
        <v>45678</v>
      </c>
      <c r="AF639">
        <v>8</v>
      </c>
      <c r="AG639" s="17">
        <v>0.33333333333333298</v>
      </c>
      <c r="AH639" s="2">
        <v>45689</v>
      </c>
    </row>
    <row r="640" spans="1:34" hidden="1" x14ac:dyDescent="0.25">
      <c r="A640" s="12">
        <v>8256</v>
      </c>
      <c r="B640" s="12">
        <v>362</v>
      </c>
      <c r="C640" t="s">
        <v>278</v>
      </c>
      <c r="D640">
        <v>247002</v>
      </c>
      <c r="E640" s="8" t="s">
        <v>105</v>
      </c>
      <c r="F640" s="12">
        <v>21</v>
      </c>
      <c r="G640" s="8" t="s">
        <v>44</v>
      </c>
      <c r="H640" s="12">
        <v>3202</v>
      </c>
      <c r="I640" t="s">
        <v>49</v>
      </c>
      <c r="K640" t="s">
        <v>101</v>
      </c>
      <c r="N640" s="12"/>
      <c r="O640" s="8"/>
      <c r="P640">
        <v>1</v>
      </c>
      <c r="Q640" s="8">
        <v>1</v>
      </c>
      <c r="R640" s="12">
        <v>2</v>
      </c>
      <c r="S640" s="8">
        <v>2</v>
      </c>
      <c r="T640" s="12"/>
      <c r="U640" s="8"/>
      <c r="V640" s="2">
        <v>45677</v>
      </c>
      <c r="W640" s="2">
        <v>1</v>
      </c>
      <c r="X640" s="2">
        <v>45681</v>
      </c>
      <c r="Y640" s="2">
        <v>45684</v>
      </c>
      <c r="Z640" s="2">
        <v>45717</v>
      </c>
      <c r="AB640">
        <v>8256</v>
      </c>
      <c r="AC640">
        <v>67226</v>
      </c>
      <c r="AD640" t="s">
        <v>848</v>
      </c>
      <c r="AE640" s="2">
        <v>45677</v>
      </c>
      <c r="AF640">
        <v>4</v>
      </c>
      <c r="AG640" s="17">
        <v>0.16666666666666599</v>
      </c>
      <c r="AH640" s="2">
        <v>45689</v>
      </c>
    </row>
    <row r="641" spans="1:34" hidden="1" x14ac:dyDescent="0.25">
      <c r="A641" s="12">
        <v>8284</v>
      </c>
      <c r="B641" s="12">
        <v>0</v>
      </c>
      <c r="C641" t="s">
        <v>269</v>
      </c>
      <c r="E641" s="8"/>
      <c r="F641" s="12">
        <v>21</v>
      </c>
      <c r="G641" s="8" t="s">
        <v>44</v>
      </c>
      <c r="H641" s="12">
        <v>3198</v>
      </c>
      <c r="I641" t="s">
        <v>43</v>
      </c>
      <c r="J641" t="s">
        <v>62</v>
      </c>
      <c r="K641" t="s">
        <v>63</v>
      </c>
      <c r="N641" s="12"/>
      <c r="O641" s="8"/>
      <c r="Q641" s="8"/>
      <c r="R641" s="12"/>
      <c r="S641" s="8"/>
      <c r="T641" s="12"/>
      <c r="U641" s="8"/>
      <c r="V641" s="2"/>
      <c r="W641" s="2"/>
      <c r="X641" s="2"/>
      <c r="Y641" s="2"/>
      <c r="Z641" s="2"/>
      <c r="AE641" s="2"/>
      <c r="AG641" s="17"/>
      <c r="AH641" s="2"/>
    </row>
    <row r="642" spans="1:34" hidden="1" x14ac:dyDescent="0.25">
      <c r="A642" s="12">
        <v>8548</v>
      </c>
      <c r="B642" s="12">
        <v>0</v>
      </c>
      <c r="C642" t="s">
        <v>379</v>
      </c>
      <c r="D642">
        <v>247572</v>
      </c>
      <c r="E642" s="8" t="s">
        <v>318</v>
      </c>
      <c r="F642" s="12">
        <v>21</v>
      </c>
      <c r="G642" s="8" t="s">
        <v>44</v>
      </c>
      <c r="H642" s="12">
        <v>3204</v>
      </c>
      <c r="I642" t="s">
        <v>52</v>
      </c>
      <c r="J642" t="s">
        <v>62</v>
      </c>
      <c r="K642" t="s">
        <v>101</v>
      </c>
      <c r="L642">
        <v>2</v>
      </c>
      <c r="M642" t="s">
        <v>157</v>
      </c>
      <c r="N642" s="12">
        <v>2</v>
      </c>
      <c r="O642" s="8" t="s">
        <v>158</v>
      </c>
      <c r="Q642" s="8"/>
      <c r="R642" s="12"/>
      <c r="S642" s="8"/>
      <c r="T642" s="12"/>
      <c r="U642" s="8"/>
      <c r="V642" s="2">
        <v>45726</v>
      </c>
      <c r="W642" s="2">
        <v>45726</v>
      </c>
      <c r="X642" s="2">
        <v>45726</v>
      </c>
      <c r="Y642" s="2">
        <v>45726</v>
      </c>
      <c r="Z642" s="2">
        <v>45726</v>
      </c>
      <c r="AB642">
        <v>8548</v>
      </c>
      <c r="AC642">
        <v>76985</v>
      </c>
      <c r="AD642" t="s">
        <v>345</v>
      </c>
      <c r="AE642" s="2">
        <v>45726</v>
      </c>
      <c r="AF642">
        <v>5</v>
      </c>
      <c r="AG642" s="17">
        <v>0.20833333333333301</v>
      </c>
      <c r="AH642" s="2">
        <v>45726</v>
      </c>
    </row>
    <row r="643" spans="1:34" hidden="1" x14ac:dyDescent="0.25">
      <c r="A643" s="12">
        <v>8330</v>
      </c>
      <c r="B643" s="12">
        <v>303</v>
      </c>
      <c r="C643" t="s">
        <v>242</v>
      </c>
      <c r="D643">
        <v>247614</v>
      </c>
      <c r="E643" s="8" t="s">
        <v>243</v>
      </c>
      <c r="F643" s="12">
        <v>21</v>
      </c>
      <c r="G643" s="8" t="s">
        <v>44</v>
      </c>
      <c r="H643" s="12">
        <v>195</v>
      </c>
      <c r="I643" t="s">
        <v>346</v>
      </c>
      <c r="J643" t="s">
        <v>62</v>
      </c>
      <c r="K643" t="s">
        <v>63</v>
      </c>
      <c r="N643" s="12"/>
      <c r="O643" s="8"/>
      <c r="P643">
        <v>1</v>
      </c>
      <c r="Q643" s="8">
        <v>1</v>
      </c>
      <c r="R643" s="12">
        <v>1</v>
      </c>
      <c r="S643" s="8">
        <v>1</v>
      </c>
      <c r="T643" s="12"/>
      <c r="U643" s="8"/>
      <c r="V643" s="2">
        <v>45658</v>
      </c>
      <c r="W643" s="2">
        <v>1</v>
      </c>
      <c r="X643" s="2">
        <v>45716</v>
      </c>
      <c r="Y643" s="2">
        <v>45775</v>
      </c>
      <c r="Z643" s="2"/>
      <c r="AB643">
        <v>8330</v>
      </c>
      <c r="AC643">
        <v>72791</v>
      </c>
      <c r="AD643" t="s">
        <v>345</v>
      </c>
      <c r="AE643" s="2">
        <v>45709</v>
      </c>
      <c r="AF643">
        <v>0</v>
      </c>
      <c r="AG643" s="17">
        <v>0</v>
      </c>
      <c r="AH643" s="2">
        <v>45709</v>
      </c>
    </row>
    <row r="644" spans="1:34" hidden="1" x14ac:dyDescent="0.25">
      <c r="A644" s="12">
        <v>8330</v>
      </c>
      <c r="B644" s="12">
        <v>303</v>
      </c>
      <c r="C644" t="s">
        <v>242</v>
      </c>
      <c r="D644">
        <v>247614</v>
      </c>
      <c r="E644" s="8" t="s">
        <v>243</v>
      </c>
      <c r="F644" s="12">
        <v>21</v>
      </c>
      <c r="G644" s="8" t="s">
        <v>44</v>
      </c>
      <c r="H644" s="12">
        <v>195</v>
      </c>
      <c r="I644" t="s">
        <v>346</v>
      </c>
      <c r="K644" t="s">
        <v>63</v>
      </c>
      <c r="N644" s="12"/>
      <c r="O644" s="8"/>
      <c r="P644">
        <v>1</v>
      </c>
      <c r="Q644" s="8">
        <v>1</v>
      </c>
      <c r="R644" s="12">
        <v>1</v>
      </c>
      <c r="S644" s="8">
        <v>1</v>
      </c>
      <c r="T644" s="12"/>
      <c r="U644" s="8"/>
      <c r="V644" s="2">
        <v>45658</v>
      </c>
      <c r="W644" s="2">
        <v>1</v>
      </c>
      <c r="X644" s="2">
        <v>45716</v>
      </c>
      <c r="Y644" s="2">
        <v>45775</v>
      </c>
      <c r="Z644" s="2"/>
      <c r="AB644">
        <v>8330</v>
      </c>
      <c r="AC644">
        <v>72790</v>
      </c>
      <c r="AD644" t="s">
        <v>849</v>
      </c>
      <c r="AE644" s="2">
        <v>45707</v>
      </c>
      <c r="AF644">
        <v>3.5</v>
      </c>
      <c r="AG644" s="17">
        <v>0.14583333333333301</v>
      </c>
      <c r="AH644" s="2">
        <v>45709</v>
      </c>
    </row>
    <row r="645" spans="1:34" hidden="1" x14ac:dyDescent="0.25">
      <c r="A645" s="12">
        <v>8330</v>
      </c>
      <c r="B645" s="12">
        <v>303</v>
      </c>
      <c r="C645" t="s">
        <v>242</v>
      </c>
      <c r="D645">
        <v>247614</v>
      </c>
      <c r="E645" s="8" t="s">
        <v>243</v>
      </c>
      <c r="F645" s="12">
        <v>21</v>
      </c>
      <c r="G645" s="8" t="s">
        <v>44</v>
      </c>
      <c r="H645" s="12">
        <v>195</v>
      </c>
      <c r="I645" t="s">
        <v>346</v>
      </c>
      <c r="K645" t="s">
        <v>63</v>
      </c>
      <c r="N645" s="12"/>
      <c r="O645" s="8"/>
      <c r="P645">
        <v>1</v>
      </c>
      <c r="Q645" s="8">
        <v>1</v>
      </c>
      <c r="R645" s="12">
        <v>1</v>
      </c>
      <c r="S645" s="8">
        <v>1</v>
      </c>
      <c r="T645" s="12"/>
      <c r="U645" s="8"/>
      <c r="V645" s="2">
        <v>45658</v>
      </c>
      <c r="W645" s="2">
        <v>1</v>
      </c>
      <c r="X645" s="2">
        <v>45716</v>
      </c>
      <c r="Y645" s="2">
        <v>45775</v>
      </c>
      <c r="Z645" s="2"/>
      <c r="AB645">
        <v>8330</v>
      </c>
      <c r="AC645">
        <v>72748</v>
      </c>
      <c r="AD645" t="s">
        <v>850</v>
      </c>
      <c r="AE645" s="2">
        <v>45707</v>
      </c>
      <c r="AF645">
        <v>3</v>
      </c>
      <c r="AG645" s="17">
        <v>0.125</v>
      </c>
      <c r="AH645" s="2">
        <v>45709</v>
      </c>
    </row>
    <row r="646" spans="1:34" hidden="1" x14ac:dyDescent="0.25">
      <c r="A646" s="12">
        <v>8330</v>
      </c>
      <c r="B646" s="12">
        <v>303</v>
      </c>
      <c r="C646" t="s">
        <v>242</v>
      </c>
      <c r="D646">
        <v>247614</v>
      </c>
      <c r="E646" s="8" t="s">
        <v>243</v>
      </c>
      <c r="F646" s="12">
        <v>21</v>
      </c>
      <c r="G646" s="8" t="s">
        <v>44</v>
      </c>
      <c r="H646" s="12">
        <v>195</v>
      </c>
      <c r="I646" t="s">
        <v>346</v>
      </c>
      <c r="K646" t="s">
        <v>63</v>
      </c>
      <c r="N646" s="12"/>
      <c r="O646" s="8"/>
      <c r="P646">
        <v>1</v>
      </c>
      <c r="Q646" s="8">
        <v>1</v>
      </c>
      <c r="R646" s="12">
        <v>1</v>
      </c>
      <c r="S646" s="8">
        <v>1</v>
      </c>
      <c r="T646" s="12"/>
      <c r="U646" s="8"/>
      <c r="V646" s="2">
        <v>45658</v>
      </c>
      <c r="W646" s="2">
        <v>1</v>
      </c>
      <c r="X646" s="2">
        <v>45716</v>
      </c>
      <c r="Y646" s="2">
        <v>45775</v>
      </c>
      <c r="Z646" s="2"/>
      <c r="AB646">
        <v>8330</v>
      </c>
      <c r="AC646">
        <v>72723</v>
      </c>
      <c r="AD646" t="s">
        <v>851</v>
      </c>
      <c r="AE646" s="2">
        <v>45706</v>
      </c>
      <c r="AF646">
        <v>3</v>
      </c>
      <c r="AG646" s="17">
        <v>0.125</v>
      </c>
      <c r="AH646" s="2">
        <v>45709</v>
      </c>
    </row>
    <row r="647" spans="1:34" hidden="1" x14ac:dyDescent="0.25">
      <c r="A647" s="12">
        <v>8330</v>
      </c>
      <c r="B647" s="12">
        <v>303</v>
      </c>
      <c r="C647" t="s">
        <v>242</v>
      </c>
      <c r="D647">
        <v>247614</v>
      </c>
      <c r="E647" s="8" t="s">
        <v>243</v>
      </c>
      <c r="F647" s="12">
        <v>21</v>
      </c>
      <c r="G647" s="8" t="s">
        <v>44</v>
      </c>
      <c r="H647" s="12">
        <v>195</v>
      </c>
      <c r="I647" t="s">
        <v>346</v>
      </c>
      <c r="K647" t="s">
        <v>63</v>
      </c>
      <c r="N647" s="12"/>
      <c r="O647" s="8"/>
      <c r="P647">
        <v>1</v>
      </c>
      <c r="Q647" s="8">
        <v>1</v>
      </c>
      <c r="R647" s="12">
        <v>1</v>
      </c>
      <c r="S647" s="8">
        <v>1</v>
      </c>
      <c r="T647" s="12"/>
      <c r="U647" s="8"/>
      <c r="V647" s="2">
        <v>45658</v>
      </c>
      <c r="W647" s="2">
        <v>1</v>
      </c>
      <c r="X647" s="2">
        <v>45716</v>
      </c>
      <c r="Y647" s="2">
        <v>45775</v>
      </c>
      <c r="Z647" s="2"/>
      <c r="AB647">
        <v>8330</v>
      </c>
      <c r="AC647">
        <v>72722</v>
      </c>
      <c r="AD647" t="s">
        <v>852</v>
      </c>
      <c r="AE647" s="2">
        <v>45705</v>
      </c>
      <c r="AF647">
        <v>1.5</v>
      </c>
      <c r="AG647" s="17">
        <v>6.25E-2</v>
      </c>
      <c r="AH647" s="2">
        <v>45709</v>
      </c>
    </row>
    <row r="648" spans="1:34" hidden="1" x14ac:dyDescent="0.25">
      <c r="A648" s="12">
        <v>8330</v>
      </c>
      <c r="B648" s="12">
        <v>303</v>
      </c>
      <c r="C648" t="s">
        <v>242</v>
      </c>
      <c r="D648">
        <v>247614</v>
      </c>
      <c r="E648" s="8" t="s">
        <v>243</v>
      </c>
      <c r="F648" s="12">
        <v>21</v>
      </c>
      <c r="G648" s="8" t="s">
        <v>44</v>
      </c>
      <c r="H648" s="12">
        <v>195</v>
      </c>
      <c r="I648" t="s">
        <v>346</v>
      </c>
      <c r="K648" t="s">
        <v>63</v>
      </c>
      <c r="N648" s="12"/>
      <c r="O648" s="8"/>
      <c r="P648">
        <v>1</v>
      </c>
      <c r="Q648" s="8">
        <v>1</v>
      </c>
      <c r="R648" s="12">
        <v>1</v>
      </c>
      <c r="S648" s="8">
        <v>1</v>
      </c>
      <c r="T648" s="12"/>
      <c r="U648" s="8"/>
      <c r="V648" s="2">
        <v>45658</v>
      </c>
      <c r="W648" s="2">
        <v>1</v>
      </c>
      <c r="X648" s="2">
        <v>45716</v>
      </c>
      <c r="Y648" s="2">
        <v>45775</v>
      </c>
      <c r="Z648" s="2"/>
      <c r="AB648">
        <v>8330</v>
      </c>
      <c r="AC648">
        <v>70171</v>
      </c>
      <c r="AD648" t="s">
        <v>345</v>
      </c>
      <c r="AE648" s="2">
        <v>45701</v>
      </c>
      <c r="AF648">
        <v>0</v>
      </c>
      <c r="AG648" s="17">
        <v>0</v>
      </c>
      <c r="AH648" s="2">
        <v>45701</v>
      </c>
    </row>
    <row r="649" spans="1:34" hidden="1" x14ac:dyDescent="0.25">
      <c r="A649" s="12">
        <v>8330</v>
      </c>
      <c r="B649" s="12">
        <v>303</v>
      </c>
      <c r="C649" t="s">
        <v>242</v>
      </c>
      <c r="D649">
        <v>247614</v>
      </c>
      <c r="E649" s="8" t="s">
        <v>243</v>
      </c>
      <c r="F649" s="12">
        <v>21</v>
      </c>
      <c r="G649" s="8" t="s">
        <v>44</v>
      </c>
      <c r="H649" s="12">
        <v>195</v>
      </c>
      <c r="I649" t="s">
        <v>346</v>
      </c>
      <c r="K649" t="s">
        <v>63</v>
      </c>
      <c r="N649" s="12"/>
      <c r="O649" s="8"/>
      <c r="P649">
        <v>1</v>
      </c>
      <c r="Q649" s="8">
        <v>1</v>
      </c>
      <c r="R649" s="12">
        <v>1</v>
      </c>
      <c r="S649" s="8">
        <v>1</v>
      </c>
      <c r="T649" s="12"/>
      <c r="U649" s="8"/>
      <c r="V649" s="2">
        <v>45658</v>
      </c>
      <c r="W649" s="2">
        <v>1</v>
      </c>
      <c r="X649" s="2">
        <v>45716</v>
      </c>
      <c r="Y649" s="2">
        <v>45775</v>
      </c>
      <c r="Z649" s="2"/>
      <c r="AB649">
        <v>8330</v>
      </c>
      <c r="AC649">
        <v>70170</v>
      </c>
      <c r="AD649" t="s">
        <v>853</v>
      </c>
      <c r="AE649" s="2">
        <v>45700</v>
      </c>
      <c r="AF649">
        <v>2</v>
      </c>
      <c r="AG649" s="17">
        <v>8.3333333333333301E-2</v>
      </c>
      <c r="AH649" s="2">
        <v>45701</v>
      </c>
    </row>
    <row r="650" spans="1:34" hidden="1" x14ac:dyDescent="0.25">
      <c r="A650" s="12">
        <v>8330</v>
      </c>
      <c r="B650" s="12">
        <v>303</v>
      </c>
      <c r="C650" t="s">
        <v>242</v>
      </c>
      <c r="D650">
        <v>247614</v>
      </c>
      <c r="E650" s="8" t="s">
        <v>243</v>
      </c>
      <c r="F650" s="12">
        <v>21</v>
      </c>
      <c r="G650" s="8" t="s">
        <v>44</v>
      </c>
      <c r="H650" s="12">
        <v>195</v>
      </c>
      <c r="I650" t="s">
        <v>346</v>
      </c>
      <c r="K650" t="s">
        <v>63</v>
      </c>
      <c r="N650" s="12"/>
      <c r="O650" s="8"/>
      <c r="P650">
        <v>1</v>
      </c>
      <c r="Q650" s="8">
        <v>1</v>
      </c>
      <c r="R650" s="12">
        <v>1</v>
      </c>
      <c r="S650" s="8">
        <v>1</v>
      </c>
      <c r="T650" s="12"/>
      <c r="U650" s="8"/>
      <c r="V650" s="2">
        <v>45658</v>
      </c>
      <c r="W650" s="2">
        <v>1</v>
      </c>
      <c r="X650" s="2">
        <v>45716</v>
      </c>
      <c r="Y650" s="2">
        <v>45775</v>
      </c>
      <c r="Z650" s="2"/>
      <c r="AB650">
        <v>8330</v>
      </c>
      <c r="AC650">
        <v>70169</v>
      </c>
      <c r="AD650" t="s">
        <v>854</v>
      </c>
      <c r="AE650" s="2">
        <v>45699</v>
      </c>
      <c r="AF650">
        <v>3</v>
      </c>
      <c r="AG650" s="17">
        <v>0.125</v>
      </c>
      <c r="AH650" s="2">
        <v>45701</v>
      </c>
    </row>
    <row r="651" spans="1:34" hidden="1" x14ac:dyDescent="0.25">
      <c r="A651" s="12">
        <v>8330</v>
      </c>
      <c r="B651" s="12">
        <v>303</v>
      </c>
      <c r="C651" t="s">
        <v>242</v>
      </c>
      <c r="D651">
        <v>247614</v>
      </c>
      <c r="E651" s="8" t="s">
        <v>243</v>
      </c>
      <c r="F651" s="12">
        <v>21</v>
      </c>
      <c r="G651" s="8" t="s">
        <v>44</v>
      </c>
      <c r="H651" s="12">
        <v>195</v>
      </c>
      <c r="I651" t="s">
        <v>346</v>
      </c>
      <c r="K651" t="s">
        <v>63</v>
      </c>
      <c r="N651" s="12"/>
      <c r="O651" s="8"/>
      <c r="P651">
        <v>1</v>
      </c>
      <c r="Q651" s="8">
        <v>1</v>
      </c>
      <c r="R651" s="12">
        <v>1</v>
      </c>
      <c r="S651" s="8">
        <v>1</v>
      </c>
      <c r="T651" s="12"/>
      <c r="U651" s="8"/>
      <c r="V651" s="2">
        <v>45658</v>
      </c>
      <c r="W651" s="2">
        <v>1</v>
      </c>
      <c r="X651" s="2">
        <v>45716</v>
      </c>
      <c r="Y651" s="2">
        <v>45775</v>
      </c>
      <c r="Z651" s="2"/>
      <c r="AB651">
        <v>8330</v>
      </c>
      <c r="AC651">
        <v>70168</v>
      </c>
      <c r="AD651" t="s">
        <v>855</v>
      </c>
      <c r="AE651" s="2">
        <v>45698</v>
      </c>
      <c r="AF651">
        <v>2.5</v>
      </c>
      <c r="AG651" s="17">
        <v>0.10416666666666601</v>
      </c>
      <c r="AH651" s="2">
        <v>45701</v>
      </c>
    </row>
    <row r="652" spans="1:34" hidden="1" x14ac:dyDescent="0.25">
      <c r="A652" s="12">
        <v>8252</v>
      </c>
      <c r="B652" s="12">
        <v>308</v>
      </c>
      <c r="C652" t="s">
        <v>284</v>
      </c>
      <c r="D652">
        <v>247795</v>
      </c>
      <c r="E652" s="8" t="s">
        <v>75</v>
      </c>
      <c r="F652" s="12">
        <v>21</v>
      </c>
      <c r="G652" s="8" t="s">
        <v>44</v>
      </c>
      <c r="H652" s="12">
        <v>3200</v>
      </c>
      <c r="I652" t="s">
        <v>50</v>
      </c>
      <c r="J652" t="s">
        <v>62</v>
      </c>
      <c r="K652" t="s">
        <v>63</v>
      </c>
      <c r="N652" s="12"/>
      <c r="O652" s="8"/>
      <c r="P652">
        <v>1</v>
      </c>
      <c r="Q652" s="8">
        <v>1</v>
      </c>
      <c r="R652" s="12">
        <v>3</v>
      </c>
      <c r="S652" s="8">
        <v>3</v>
      </c>
      <c r="T652" s="12"/>
      <c r="U652" s="8"/>
      <c r="V652" s="2">
        <v>45658</v>
      </c>
      <c r="W652" s="2">
        <v>1</v>
      </c>
      <c r="X652" s="2">
        <v>45716</v>
      </c>
      <c r="Y652" s="2">
        <v>45726</v>
      </c>
      <c r="Z652" s="2"/>
      <c r="AA652" t="s">
        <v>285</v>
      </c>
      <c r="AB652">
        <v>8252</v>
      </c>
      <c r="AC652">
        <v>75255</v>
      </c>
      <c r="AD652" t="s">
        <v>442</v>
      </c>
      <c r="AE652" s="2">
        <v>45720</v>
      </c>
      <c r="AF652">
        <v>5</v>
      </c>
      <c r="AG652" s="17">
        <v>0.20833333333333301</v>
      </c>
      <c r="AH652" s="2">
        <v>45720</v>
      </c>
    </row>
    <row r="653" spans="1:34" hidden="1" x14ac:dyDescent="0.25">
      <c r="A653" s="12">
        <v>8252</v>
      </c>
      <c r="B653" s="12">
        <v>308</v>
      </c>
      <c r="C653" t="s">
        <v>284</v>
      </c>
      <c r="D653">
        <v>247795</v>
      </c>
      <c r="E653" s="8" t="s">
        <v>75</v>
      </c>
      <c r="F653" s="12">
        <v>21</v>
      </c>
      <c r="G653" s="8" t="s">
        <v>44</v>
      </c>
      <c r="H653" s="12">
        <v>3200</v>
      </c>
      <c r="I653" t="s">
        <v>50</v>
      </c>
      <c r="K653" t="s">
        <v>63</v>
      </c>
      <c r="N653" s="12"/>
      <c r="O653" s="8"/>
      <c r="P653">
        <v>1</v>
      </c>
      <c r="Q653" s="8">
        <v>1</v>
      </c>
      <c r="R653" s="12">
        <v>3</v>
      </c>
      <c r="S653" s="8">
        <v>3</v>
      </c>
      <c r="T653" s="12"/>
      <c r="U653" s="8"/>
      <c r="V653" s="2">
        <v>45658</v>
      </c>
      <c r="W653" s="2">
        <v>1</v>
      </c>
      <c r="X653" s="2">
        <v>45716</v>
      </c>
      <c r="Y653" s="2">
        <v>45726</v>
      </c>
      <c r="Z653" s="2"/>
      <c r="AA653" t="s">
        <v>285</v>
      </c>
      <c r="AB653">
        <v>8252</v>
      </c>
      <c r="AC653">
        <v>75254</v>
      </c>
      <c r="AD653" t="s">
        <v>856</v>
      </c>
      <c r="AE653" s="2">
        <v>45720</v>
      </c>
      <c r="AF653">
        <v>3</v>
      </c>
      <c r="AG653" s="17">
        <v>0.125</v>
      </c>
      <c r="AH653" s="2">
        <v>45720</v>
      </c>
    </row>
    <row r="654" spans="1:34" hidden="1" x14ac:dyDescent="0.25">
      <c r="A654" s="12">
        <v>8252</v>
      </c>
      <c r="B654" s="12">
        <v>308</v>
      </c>
      <c r="C654" t="s">
        <v>284</v>
      </c>
      <c r="D654">
        <v>247795</v>
      </c>
      <c r="E654" s="8" t="s">
        <v>75</v>
      </c>
      <c r="F654" s="12">
        <v>21</v>
      </c>
      <c r="G654" s="8" t="s">
        <v>44</v>
      </c>
      <c r="H654" s="12">
        <v>3200</v>
      </c>
      <c r="I654" t="s">
        <v>50</v>
      </c>
      <c r="K654" t="s">
        <v>63</v>
      </c>
      <c r="N654" s="12"/>
      <c r="O654" s="8"/>
      <c r="P654">
        <v>1</v>
      </c>
      <c r="Q654" s="8">
        <v>1</v>
      </c>
      <c r="R654" s="12">
        <v>3</v>
      </c>
      <c r="S654" s="8">
        <v>3</v>
      </c>
      <c r="T654" s="12"/>
      <c r="U654" s="8"/>
      <c r="V654" s="2">
        <v>45658</v>
      </c>
      <c r="W654" s="2">
        <v>1</v>
      </c>
      <c r="X654" s="2">
        <v>45716</v>
      </c>
      <c r="Y654" s="2">
        <v>45726</v>
      </c>
      <c r="Z654" s="2"/>
      <c r="AA654" t="s">
        <v>285</v>
      </c>
      <c r="AB654">
        <v>8252</v>
      </c>
      <c r="AC654">
        <v>74813</v>
      </c>
      <c r="AD654" t="s">
        <v>857</v>
      </c>
      <c r="AE654" s="2">
        <v>45716</v>
      </c>
      <c r="AF654">
        <v>4</v>
      </c>
      <c r="AG654" s="17">
        <v>0.16666666666666599</v>
      </c>
      <c r="AH654" s="2">
        <v>45717</v>
      </c>
    </row>
    <row r="655" spans="1:34" hidden="1" x14ac:dyDescent="0.25">
      <c r="A655" s="12">
        <v>8252</v>
      </c>
      <c r="B655" s="12">
        <v>308</v>
      </c>
      <c r="C655" t="s">
        <v>284</v>
      </c>
      <c r="D655">
        <v>247795</v>
      </c>
      <c r="E655" s="8" t="s">
        <v>75</v>
      </c>
      <c r="F655" s="12">
        <v>21</v>
      </c>
      <c r="G655" s="8" t="s">
        <v>44</v>
      </c>
      <c r="H655" s="12">
        <v>3200</v>
      </c>
      <c r="I655" t="s">
        <v>50</v>
      </c>
      <c r="K655" t="s">
        <v>63</v>
      </c>
      <c r="N655" s="12"/>
      <c r="O655" s="8"/>
      <c r="P655">
        <v>1</v>
      </c>
      <c r="Q655" s="8">
        <v>1</v>
      </c>
      <c r="R655" s="12">
        <v>3</v>
      </c>
      <c r="S655" s="8">
        <v>3</v>
      </c>
      <c r="T655" s="12"/>
      <c r="U655" s="8"/>
      <c r="V655" s="2">
        <v>45658</v>
      </c>
      <c r="W655" s="2">
        <v>1</v>
      </c>
      <c r="X655" s="2">
        <v>45716</v>
      </c>
      <c r="Y655" s="2">
        <v>45726</v>
      </c>
      <c r="Z655" s="2"/>
      <c r="AA655" t="s">
        <v>285</v>
      </c>
      <c r="AB655">
        <v>8252</v>
      </c>
      <c r="AC655">
        <v>73900</v>
      </c>
      <c r="AD655" t="s">
        <v>858</v>
      </c>
      <c r="AE655" s="2">
        <v>45715</v>
      </c>
      <c r="AF655">
        <v>3.5</v>
      </c>
      <c r="AG655" s="17">
        <v>0.14583333333333301</v>
      </c>
      <c r="AH655" s="2">
        <v>45715</v>
      </c>
    </row>
    <row r="656" spans="1:34" hidden="1" x14ac:dyDescent="0.25">
      <c r="A656" s="12">
        <v>8252</v>
      </c>
      <c r="B656" s="12">
        <v>308</v>
      </c>
      <c r="C656" t="s">
        <v>284</v>
      </c>
      <c r="D656">
        <v>247795</v>
      </c>
      <c r="E656" s="8" t="s">
        <v>75</v>
      </c>
      <c r="F656" s="12">
        <v>21</v>
      </c>
      <c r="G656" s="8" t="s">
        <v>44</v>
      </c>
      <c r="H656" s="12">
        <v>3200</v>
      </c>
      <c r="I656" t="s">
        <v>50</v>
      </c>
      <c r="K656" t="s">
        <v>63</v>
      </c>
      <c r="N656" s="12"/>
      <c r="O656" s="8"/>
      <c r="P656">
        <v>1</v>
      </c>
      <c r="Q656" s="8">
        <v>1</v>
      </c>
      <c r="R656" s="12">
        <v>3</v>
      </c>
      <c r="S656" s="8">
        <v>3</v>
      </c>
      <c r="T656" s="12"/>
      <c r="U656" s="8"/>
      <c r="V656" s="2">
        <v>45658</v>
      </c>
      <c r="W656" s="2">
        <v>1</v>
      </c>
      <c r="X656" s="2">
        <v>45716</v>
      </c>
      <c r="Y656" s="2">
        <v>45726</v>
      </c>
      <c r="Z656" s="2"/>
      <c r="AA656" t="s">
        <v>285</v>
      </c>
      <c r="AB656">
        <v>8252</v>
      </c>
      <c r="AC656">
        <v>73899</v>
      </c>
      <c r="AD656" t="s">
        <v>859</v>
      </c>
      <c r="AE656" s="2">
        <v>45714</v>
      </c>
      <c r="AF656">
        <v>5.5</v>
      </c>
      <c r="AG656" s="17">
        <v>0.22916666666666599</v>
      </c>
      <c r="AH656" s="2">
        <v>45715</v>
      </c>
    </row>
    <row r="657" spans="1:34" hidden="1" x14ac:dyDescent="0.25">
      <c r="A657" s="12">
        <v>8252</v>
      </c>
      <c r="B657" s="12">
        <v>308</v>
      </c>
      <c r="C657" t="s">
        <v>284</v>
      </c>
      <c r="D657">
        <v>247795</v>
      </c>
      <c r="E657" s="8" t="s">
        <v>75</v>
      </c>
      <c r="F657" s="12">
        <v>21</v>
      </c>
      <c r="G657" s="8" t="s">
        <v>44</v>
      </c>
      <c r="H657" s="12">
        <v>3200</v>
      </c>
      <c r="I657" t="s">
        <v>50</v>
      </c>
      <c r="K657" t="s">
        <v>63</v>
      </c>
      <c r="N657" s="12"/>
      <c r="O657" s="8"/>
      <c r="P657">
        <v>1</v>
      </c>
      <c r="Q657" s="8">
        <v>1</v>
      </c>
      <c r="R657" s="12">
        <v>3</v>
      </c>
      <c r="S657" s="8">
        <v>3</v>
      </c>
      <c r="T657" s="12"/>
      <c r="U657" s="8"/>
      <c r="V657" s="2">
        <v>45658</v>
      </c>
      <c r="W657" s="2">
        <v>1</v>
      </c>
      <c r="X657" s="2">
        <v>45716</v>
      </c>
      <c r="Y657" s="2">
        <v>45726</v>
      </c>
      <c r="Z657" s="2"/>
      <c r="AA657" t="s">
        <v>285</v>
      </c>
      <c r="AB657">
        <v>8252</v>
      </c>
      <c r="AC657">
        <v>73295</v>
      </c>
      <c r="AD657" t="s">
        <v>860</v>
      </c>
      <c r="AE657" s="2">
        <v>45713</v>
      </c>
      <c r="AF657">
        <v>6</v>
      </c>
      <c r="AG657" s="17">
        <v>0.25</v>
      </c>
      <c r="AH657" s="2">
        <v>45713</v>
      </c>
    </row>
    <row r="658" spans="1:34" hidden="1" x14ac:dyDescent="0.25">
      <c r="A658" s="12">
        <v>8252</v>
      </c>
      <c r="B658" s="12">
        <v>308</v>
      </c>
      <c r="C658" t="s">
        <v>284</v>
      </c>
      <c r="D658">
        <v>247795</v>
      </c>
      <c r="E658" s="8" t="s">
        <v>75</v>
      </c>
      <c r="F658" s="12">
        <v>21</v>
      </c>
      <c r="G658" s="8" t="s">
        <v>44</v>
      </c>
      <c r="H658" s="12">
        <v>3200</v>
      </c>
      <c r="I658" t="s">
        <v>50</v>
      </c>
      <c r="K658" t="s">
        <v>63</v>
      </c>
      <c r="N658" s="12"/>
      <c r="O658" s="8"/>
      <c r="P658">
        <v>1</v>
      </c>
      <c r="Q658" s="8">
        <v>1</v>
      </c>
      <c r="R658" s="12">
        <v>3</v>
      </c>
      <c r="S658" s="8">
        <v>3</v>
      </c>
      <c r="T658" s="12"/>
      <c r="U658" s="8"/>
      <c r="V658" s="2">
        <v>45658</v>
      </c>
      <c r="W658" s="2">
        <v>1</v>
      </c>
      <c r="X658" s="2">
        <v>45716</v>
      </c>
      <c r="Y658" s="2">
        <v>45726</v>
      </c>
      <c r="Z658" s="2"/>
      <c r="AA658" t="s">
        <v>285</v>
      </c>
      <c r="AB658">
        <v>8252</v>
      </c>
      <c r="AC658">
        <v>73294</v>
      </c>
      <c r="AD658" t="s">
        <v>861</v>
      </c>
      <c r="AE658" s="2">
        <v>45713</v>
      </c>
      <c r="AF658">
        <v>2</v>
      </c>
      <c r="AG658" s="17">
        <v>8.3333333333333301E-2</v>
      </c>
      <c r="AH658" s="2">
        <v>45713</v>
      </c>
    </row>
    <row r="659" spans="1:34" hidden="1" x14ac:dyDescent="0.25">
      <c r="A659" s="12">
        <v>8252</v>
      </c>
      <c r="B659" s="12">
        <v>308</v>
      </c>
      <c r="C659" t="s">
        <v>284</v>
      </c>
      <c r="D659">
        <v>247795</v>
      </c>
      <c r="E659" s="8" t="s">
        <v>75</v>
      </c>
      <c r="F659" s="12">
        <v>21</v>
      </c>
      <c r="G659" s="8" t="s">
        <v>44</v>
      </c>
      <c r="H659" s="12">
        <v>3200</v>
      </c>
      <c r="I659" t="s">
        <v>50</v>
      </c>
      <c r="K659" t="s">
        <v>63</v>
      </c>
      <c r="N659" s="12"/>
      <c r="O659" s="8"/>
      <c r="P659">
        <v>1</v>
      </c>
      <c r="Q659" s="8">
        <v>1</v>
      </c>
      <c r="R659" s="12">
        <v>3</v>
      </c>
      <c r="S659" s="8">
        <v>3</v>
      </c>
      <c r="T659" s="12"/>
      <c r="U659" s="8"/>
      <c r="V659" s="2">
        <v>45658</v>
      </c>
      <c r="W659" s="2">
        <v>1</v>
      </c>
      <c r="X659" s="2">
        <v>45716</v>
      </c>
      <c r="Y659" s="2">
        <v>45726</v>
      </c>
      <c r="Z659" s="2"/>
      <c r="AA659" t="s">
        <v>285</v>
      </c>
      <c r="AB659">
        <v>8252</v>
      </c>
      <c r="AC659">
        <v>73131</v>
      </c>
      <c r="AD659" t="s">
        <v>862</v>
      </c>
      <c r="AE659" s="2">
        <v>45712</v>
      </c>
      <c r="AF659">
        <v>5</v>
      </c>
      <c r="AG659" s="17">
        <v>0.20833333333333301</v>
      </c>
      <c r="AH659" s="2">
        <v>45712</v>
      </c>
    </row>
    <row r="660" spans="1:34" hidden="1" x14ac:dyDescent="0.25">
      <c r="A660" s="12">
        <v>8252</v>
      </c>
      <c r="B660" s="12">
        <v>308</v>
      </c>
      <c r="C660" t="s">
        <v>284</v>
      </c>
      <c r="D660">
        <v>247795</v>
      </c>
      <c r="E660" s="8" t="s">
        <v>75</v>
      </c>
      <c r="F660" s="12">
        <v>21</v>
      </c>
      <c r="G660" s="8" t="s">
        <v>44</v>
      </c>
      <c r="H660" s="12">
        <v>3200</v>
      </c>
      <c r="I660" t="s">
        <v>50</v>
      </c>
      <c r="K660" t="s">
        <v>63</v>
      </c>
      <c r="N660" s="12"/>
      <c r="O660" s="8"/>
      <c r="P660">
        <v>1</v>
      </c>
      <c r="Q660" s="8">
        <v>1</v>
      </c>
      <c r="R660" s="12">
        <v>3</v>
      </c>
      <c r="S660" s="8">
        <v>3</v>
      </c>
      <c r="T660" s="12"/>
      <c r="U660" s="8"/>
      <c r="V660" s="2">
        <v>45658</v>
      </c>
      <c r="W660" s="2">
        <v>1</v>
      </c>
      <c r="X660" s="2">
        <v>45716</v>
      </c>
      <c r="Y660" s="2">
        <v>45726</v>
      </c>
      <c r="Z660" s="2"/>
      <c r="AA660" t="s">
        <v>285</v>
      </c>
      <c r="AB660">
        <v>8252</v>
      </c>
      <c r="AC660">
        <v>73130</v>
      </c>
      <c r="AD660" t="s">
        <v>863</v>
      </c>
      <c r="AE660" s="2">
        <v>45712</v>
      </c>
      <c r="AF660">
        <v>3</v>
      </c>
      <c r="AG660" s="17">
        <v>0.125</v>
      </c>
      <c r="AH660" s="2">
        <v>45712</v>
      </c>
    </row>
    <row r="661" spans="1:34" hidden="1" x14ac:dyDescent="0.25">
      <c r="A661" s="12">
        <v>8252</v>
      </c>
      <c r="B661" s="12">
        <v>308</v>
      </c>
      <c r="C661" t="s">
        <v>284</v>
      </c>
      <c r="D661">
        <v>247795</v>
      </c>
      <c r="E661" s="8" t="s">
        <v>75</v>
      </c>
      <c r="F661" s="12">
        <v>21</v>
      </c>
      <c r="G661" s="8" t="s">
        <v>44</v>
      </c>
      <c r="H661" s="12">
        <v>3200</v>
      </c>
      <c r="I661" t="s">
        <v>50</v>
      </c>
      <c r="K661" t="s">
        <v>63</v>
      </c>
      <c r="N661" s="12"/>
      <c r="O661" s="8"/>
      <c r="P661">
        <v>1</v>
      </c>
      <c r="Q661" s="8">
        <v>1</v>
      </c>
      <c r="R661" s="12">
        <v>3</v>
      </c>
      <c r="S661" s="8">
        <v>3</v>
      </c>
      <c r="T661" s="12"/>
      <c r="U661" s="8"/>
      <c r="V661" s="2">
        <v>45658</v>
      </c>
      <c r="W661" s="2">
        <v>1</v>
      </c>
      <c r="X661" s="2">
        <v>45716</v>
      </c>
      <c r="Y661" s="2">
        <v>45726</v>
      </c>
      <c r="Z661" s="2"/>
      <c r="AA661" t="s">
        <v>285</v>
      </c>
      <c r="AB661">
        <v>8252</v>
      </c>
      <c r="AC661">
        <v>72902</v>
      </c>
      <c r="AD661" t="s">
        <v>864</v>
      </c>
      <c r="AE661" s="2">
        <v>45710</v>
      </c>
      <c r="AF661">
        <v>4</v>
      </c>
      <c r="AG661" s="17">
        <v>0.16666666666666599</v>
      </c>
      <c r="AH661" s="2">
        <v>45710</v>
      </c>
    </row>
    <row r="662" spans="1:34" hidden="1" x14ac:dyDescent="0.25">
      <c r="A662" s="12">
        <v>8252</v>
      </c>
      <c r="B662" s="12">
        <v>308</v>
      </c>
      <c r="C662" t="s">
        <v>284</v>
      </c>
      <c r="D662">
        <v>247795</v>
      </c>
      <c r="E662" s="8" t="s">
        <v>75</v>
      </c>
      <c r="F662" s="12">
        <v>21</v>
      </c>
      <c r="G662" s="8" t="s">
        <v>44</v>
      </c>
      <c r="H662" s="12">
        <v>3200</v>
      </c>
      <c r="I662" t="s">
        <v>50</v>
      </c>
      <c r="K662" t="s">
        <v>63</v>
      </c>
      <c r="N662" s="12"/>
      <c r="O662" s="8"/>
      <c r="P662">
        <v>1</v>
      </c>
      <c r="Q662" s="8">
        <v>1</v>
      </c>
      <c r="R662" s="12">
        <v>3</v>
      </c>
      <c r="S662" s="8">
        <v>3</v>
      </c>
      <c r="T662" s="12"/>
      <c r="U662" s="8"/>
      <c r="V662" s="2">
        <v>45658</v>
      </c>
      <c r="W662" s="2">
        <v>1</v>
      </c>
      <c r="X662" s="2">
        <v>45716</v>
      </c>
      <c r="Y662" s="2">
        <v>45726</v>
      </c>
      <c r="Z662" s="2"/>
      <c r="AA662" t="s">
        <v>285</v>
      </c>
      <c r="AB662">
        <v>8252</v>
      </c>
      <c r="AC662">
        <v>72901</v>
      </c>
      <c r="AD662" t="s">
        <v>865</v>
      </c>
      <c r="AE662" s="2">
        <v>45709</v>
      </c>
      <c r="AF662">
        <v>4</v>
      </c>
      <c r="AG662" s="17">
        <v>0.16666666666666599</v>
      </c>
      <c r="AH662" s="2">
        <v>45710</v>
      </c>
    </row>
    <row r="663" spans="1:34" hidden="1" x14ac:dyDescent="0.25">
      <c r="A663" s="12">
        <v>8252</v>
      </c>
      <c r="B663" s="12">
        <v>308</v>
      </c>
      <c r="C663" t="s">
        <v>284</v>
      </c>
      <c r="D663">
        <v>247795</v>
      </c>
      <c r="E663" s="8" t="s">
        <v>75</v>
      </c>
      <c r="F663" s="12">
        <v>21</v>
      </c>
      <c r="G663" s="8" t="s">
        <v>44</v>
      </c>
      <c r="H663" s="12">
        <v>3200</v>
      </c>
      <c r="I663" t="s">
        <v>50</v>
      </c>
      <c r="K663" t="s">
        <v>63</v>
      </c>
      <c r="N663" s="12"/>
      <c r="O663" s="8"/>
      <c r="P663">
        <v>1</v>
      </c>
      <c r="Q663" s="8">
        <v>1</v>
      </c>
      <c r="R663" s="12">
        <v>3</v>
      </c>
      <c r="S663" s="8">
        <v>3</v>
      </c>
      <c r="T663" s="12"/>
      <c r="U663" s="8"/>
      <c r="V663" s="2">
        <v>45658</v>
      </c>
      <c r="W663" s="2">
        <v>1</v>
      </c>
      <c r="X663" s="2">
        <v>45716</v>
      </c>
      <c r="Y663" s="2">
        <v>45726</v>
      </c>
      <c r="Z663" s="2"/>
      <c r="AA663" t="s">
        <v>285</v>
      </c>
      <c r="AB663">
        <v>8252</v>
      </c>
      <c r="AC663">
        <v>72900</v>
      </c>
      <c r="AD663" t="s">
        <v>866</v>
      </c>
      <c r="AE663" s="2">
        <v>45709</v>
      </c>
      <c r="AF663">
        <v>4</v>
      </c>
      <c r="AG663" s="17">
        <v>0.16666666666666599</v>
      </c>
      <c r="AH663" s="2">
        <v>45710</v>
      </c>
    </row>
    <row r="664" spans="1:34" hidden="1" x14ac:dyDescent="0.25">
      <c r="A664" s="12">
        <v>8252</v>
      </c>
      <c r="B664" s="12">
        <v>308</v>
      </c>
      <c r="C664" t="s">
        <v>284</v>
      </c>
      <c r="D664">
        <v>247795</v>
      </c>
      <c r="E664" s="8" t="s">
        <v>75</v>
      </c>
      <c r="F664" s="12">
        <v>21</v>
      </c>
      <c r="G664" s="8" t="s">
        <v>44</v>
      </c>
      <c r="H664" s="12">
        <v>3200</v>
      </c>
      <c r="I664" t="s">
        <v>50</v>
      </c>
      <c r="K664" t="s">
        <v>63</v>
      </c>
      <c r="N664" s="12"/>
      <c r="O664" s="8"/>
      <c r="P664">
        <v>1</v>
      </c>
      <c r="Q664" s="8">
        <v>1</v>
      </c>
      <c r="R664" s="12">
        <v>3</v>
      </c>
      <c r="S664" s="8">
        <v>3</v>
      </c>
      <c r="T664" s="12"/>
      <c r="U664" s="8"/>
      <c r="V664" s="2">
        <v>45658</v>
      </c>
      <c r="W664" s="2">
        <v>1</v>
      </c>
      <c r="X664" s="2">
        <v>45716</v>
      </c>
      <c r="Y664" s="2">
        <v>45726</v>
      </c>
      <c r="Z664" s="2"/>
      <c r="AA664" t="s">
        <v>285</v>
      </c>
      <c r="AB664">
        <v>8252</v>
      </c>
      <c r="AC664">
        <v>72078</v>
      </c>
      <c r="AD664" t="s">
        <v>867</v>
      </c>
      <c r="AE664" s="2">
        <v>45708</v>
      </c>
      <c r="AF664">
        <v>4</v>
      </c>
      <c r="AG664" s="17">
        <v>0.16666666666666599</v>
      </c>
      <c r="AH664" s="2">
        <v>45708</v>
      </c>
    </row>
    <row r="665" spans="1:34" hidden="1" x14ac:dyDescent="0.25">
      <c r="A665" s="12">
        <v>8252</v>
      </c>
      <c r="B665" s="12">
        <v>308</v>
      </c>
      <c r="C665" t="s">
        <v>284</v>
      </c>
      <c r="D665">
        <v>247795</v>
      </c>
      <c r="E665" s="8" t="s">
        <v>75</v>
      </c>
      <c r="F665" s="12">
        <v>21</v>
      </c>
      <c r="G665" s="8" t="s">
        <v>44</v>
      </c>
      <c r="H665" s="12">
        <v>3200</v>
      </c>
      <c r="I665" t="s">
        <v>50</v>
      </c>
      <c r="K665" t="s">
        <v>63</v>
      </c>
      <c r="N665" s="12"/>
      <c r="O665" s="8"/>
      <c r="P665">
        <v>1</v>
      </c>
      <c r="Q665" s="8">
        <v>1</v>
      </c>
      <c r="R665" s="12">
        <v>3</v>
      </c>
      <c r="S665" s="8">
        <v>3</v>
      </c>
      <c r="T665" s="12"/>
      <c r="U665" s="8"/>
      <c r="V665" s="2">
        <v>45658</v>
      </c>
      <c r="W665" s="2">
        <v>1</v>
      </c>
      <c r="X665" s="2">
        <v>45716</v>
      </c>
      <c r="Y665" s="2">
        <v>45726</v>
      </c>
      <c r="Z665" s="2"/>
      <c r="AA665" t="s">
        <v>285</v>
      </c>
      <c r="AB665">
        <v>8252</v>
      </c>
      <c r="AC665">
        <v>72072</v>
      </c>
      <c r="AD665" t="s">
        <v>868</v>
      </c>
      <c r="AE665" s="2">
        <v>45707</v>
      </c>
      <c r="AF665">
        <v>2.5</v>
      </c>
      <c r="AG665" s="17">
        <v>0.10416666666666601</v>
      </c>
      <c r="AH665" s="2">
        <v>45708</v>
      </c>
    </row>
    <row r="666" spans="1:34" hidden="1" x14ac:dyDescent="0.25">
      <c r="A666" s="12">
        <v>8252</v>
      </c>
      <c r="B666" s="12">
        <v>308</v>
      </c>
      <c r="C666" t="s">
        <v>284</v>
      </c>
      <c r="D666">
        <v>247795</v>
      </c>
      <c r="E666" s="8" t="s">
        <v>75</v>
      </c>
      <c r="F666" s="12">
        <v>21</v>
      </c>
      <c r="G666" s="8" t="s">
        <v>44</v>
      </c>
      <c r="H666" s="12">
        <v>3200</v>
      </c>
      <c r="I666" t="s">
        <v>50</v>
      </c>
      <c r="K666" t="s">
        <v>63</v>
      </c>
      <c r="N666" s="12"/>
      <c r="O666" s="8"/>
      <c r="P666">
        <v>1</v>
      </c>
      <c r="Q666" s="8">
        <v>1</v>
      </c>
      <c r="R666" s="12">
        <v>3</v>
      </c>
      <c r="S666" s="8">
        <v>3</v>
      </c>
      <c r="T666" s="12"/>
      <c r="U666" s="8"/>
      <c r="V666" s="2">
        <v>45658</v>
      </c>
      <c r="W666" s="2">
        <v>1</v>
      </c>
      <c r="X666" s="2">
        <v>45716</v>
      </c>
      <c r="Y666" s="2">
        <v>45726</v>
      </c>
      <c r="Z666" s="2"/>
      <c r="AA666" t="s">
        <v>285</v>
      </c>
      <c r="AB666">
        <v>8252</v>
      </c>
      <c r="AC666">
        <v>72058</v>
      </c>
      <c r="AD666" t="s">
        <v>869</v>
      </c>
      <c r="AE666" s="2">
        <v>45706</v>
      </c>
      <c r="AF666">
        <v>5</v>
      </c>
      <c r="AG666" s="17">
        <v>0.20833333333333301</v>
      </c>
      <c r="AH666" s="2">
        <v>45708</v>
      </c>
    </row>
    <row r="667" spans="1:34" hidden="1" x14ac:dyDescent="0.25">
      <c r="A667" s="12">
        <v>8252</v>
      </c>
      <c r="B667" s="12">
        <v>308</v>
      </c>
      <c r="C667" t="s">
        <v>284</v>
      </c>
      <c r="D667">
        <v>247795</v>
      </c>
      <c r="E667" s="8" t="s">
        <v>75</v>
      </c>
      <c r="F667" s="12">
        <v>21</v>
      </c>
      <c r="G667" s="8" t="s">
        <v>44</v>
      </c>
      <c r="H667" s="12">
        <v>3200</v>
      </c>
      <c r="I667" t="s">
        <v>50</v>
      </c>
      <c r="K667" t="s">
        <v>63</v>
      </c>
      <c r="N667" s="12"/>
      <c r="O667" s="8"/>
      <c r="P667">
        <v>1</v>
      </c>
      <c r="Q667" s="8">
        <v>1</v>
      </c>
      <c r="R667" s="12">
        <v>3</v>
      </c>
      <c r="S667" s="8">
        <v>3</v>
      </c>
      <c r="T667" s="12"/>
      <c r="U667" s="8"/>
      <c r="V667" s="2">
        <v>45658</v>
      </c>
      <c r="W667" s="2">
        <v>1</v>
      </c>
      <c r="X667" s="2">
        <v>45716</v>
      </c>
      <c r="Y667" s="2">
        <v>45726</v>
      </c>
      <c r="Z667" s="2"/>
      <c r="AA667" t="s">
        <v>285</v>
      </c>
      <c r="AB667">
        <v>8252</v>
      </c>
      <c r="AC667">
        <v>72067</v>
      </c>
      <c r="AD667" t="s">
        <v>870</v>
      </c>
      <c r="AE667" s="2">
        <v>45705</v>
      </c>
      <c r="AF667">
        <v>4</v>
      </c>
      <c r="AG667" s="17">
        <v>0.16666666666666599</v>
      </c>
      <c r="AH667" s="2">
        <v>45708</v>
      </c>
    </row>
    <row r="668" spans="1:34" hidden="1" x14ac:dyDescent="0.25">
      <c r="A668" s="12">
        <v>8252</v>
      </c>
      <c r="B668" s="12">
        <v>308</v>
      </c>
      <c r="C668" t="s">
        <v>284</v>
      </c>
      <c r="D668">
        <v>247795</v>
      </c>
      <c r="E668" s="8" t="s">
        <v>75</v>
      </c>
      <c r="F668" s="12">
        <v>21</v>
      </c>
      <c r="G668" s="8" t="s">
        <v>44</v>
      </c>
      <c r="H668" s="12">
        <v>3200</v>
      </c>
      <c r="I668" t="s">
        <v>50</v>
      </c>
      <c r="K668" t="s">
        <v>63</v>
      </c>
      <c r="N668" s="12"/>
      <c r="O668" s="8"/>
      <c r="P668">
        <v>1</v>
      </c>
      <c r="Q668" s="8">
        <v>1</v>
      </c>
      <c r="R668" s="12">
        <v>3</v>
      </c>
      <c r="S668" s="8">
        <v>3</v>
      </c>
      <c r="T668" s="12"/>
      <c r="U668" s="8"/>
      <c r="V668" s="2">
        <v>45658</v>
      </c>
      <c r="W668" s="2">
        <v>1</v>
      </c>
      <c r="X668" s="2">
        <v>45716</v>
      </c>
      <c r="Y668" s="2">
        <v>45726</v>
      </c>
      <c r="Z668" s="2"/>
      <c r="AA668" t="s">
        <v>285</v>
      </c>
      <c r="AB668">
        <v>8252</v>
      </c>
      <c r="AC668">
        <v>70978</v>
      </c>
      <c r="AD668" t="s">
        <v>871</v>
      </c>
      <c r="AE668" s="2">
        <v>45703</v>
      </c>
      <c r="AF668">
        <v>4</v>
      </c>
      <c r="AG668" s="17">
        <v>0.16666666666666599</v>
      </c>
      <c r="AH668" s="2">
        <v>45703</v>
      </c>
    </row>
    <row r="669" spans="1:34" hidden="1" x14ac:dyDescent="0.25">
      <c r="A669" s="12">
        <v>8252</v>
      </c>
      <c r="B669" s="12">
        <v>308</v>
      </c>
      <c r="C669" t="s">
        <v>284</v>
      </c>
      <c r="D669">
        <v>247795</v>
      </c>
      <c r="E669" s="8" t="s">
        <v>75</v>
      </c>
      <c r="F669" s="12">
        <v>21</v>
      </c>
      <c r="G669" s="8" t="s">
        <v>44</v>
      </c>
      <c r="H669" s="12">
        <v>3200</v>
      </c>
      <c r="I669" t="s">
        <v>50</v>
      </c>
      <c r="K669" t="s">
        <v>63</v>
      </c>
      <c r="N669" s="12"/>
      <c r="O669" s="8"/>
      <c r="P669">
        <v>1</v>
      </c>
      <c r="Q669" s="8">
        <v>1</v>
      </c>
      <c r="R669" s="12">
        <v>3</v>
      </c>
      <c r="S669" s="8">
        <v>3</v>
      </c>
      <c r="T669" s="12"/>
      <c r="U669" s="8"/>
      <c r="V669" s="2">
        <v>45658</v>
      </c>
      <c r="W669" s="2">
        <v>1</v>
      </c>
      <c r="X669" s="2">
        <v>45716</v>
      </c>
      <c r="Y669" s="2">
        <v>45726</v>
      </c>
      <c r="Z669" s="2"/>
      <c r="AA669" t="s">
        <v>285</v>
      </c>
      <c r="AB669">
        <v>8252</v>
      </c>
      <c r="AC669">
        <v>70980</v>
      </c>
      <c r="AD669" t="s">
        <v>872</v>
      </c>
      <c r="AE669" s="2">
        <v>45702</v>
      </c>
      <c r="AF669">
        <v>8</v>
      </c>
      <c r="AG669" s="17">
        <v>0.33333333333333298</v>
      </c>
      <c r="AH669" s="2">
        <v>45703</v>
      </c>
    </row>
    <row r="670" spans="1:34" hidden="1" x14ac:dyDescent="0.25">
      <c r="A670" s="12">
        <v>8252</v>
      </c>
      <c r="B670" s="12">
        <v>308</v>
      </c>
      <c r="C670" t="s">
        <v>284</v>
      </c>
      <c r="D670">
        <v>247795</v>
      </c>
      <c r="E670" s="8" t="s">
        <v>75</v>
      </c>
      <c r="F670" s="12">
        <v>21</v>
      </c>
      <c r="G670" s="8" t="s">
        <v>44</v>
      </c>
      <c r="H670" s="12">
        <v>3200</v>
      </c>
      <c r="I670" t="s">
        <v>50</v>
      </c>
      <c r="K670" t="s">
        <v>63</v>
      </c>
      <c r="N670" s="12"/>
      <c r="O670" s="8"/>
      <c r="P670">
        <v>1</v>
      </c>
      <c r="Q670" s="8">
        <v>1</v>
      </c>
      <c r="R670" s="12">
        <v>3</v>
      </c>
      <c r="S670" s="8">
        <v>3</v>
      </c>
      <c r="T670" s="12"/>
      <c r="U670" s="8"/>
      <c r="V670" s="2">
        <v>45658</v>
      </c>
      <c r="W670" s="2">
        <v>1</v>
      </c>
      <c r="X670" s="2">
        <v>45716</v>
      </c>
      <c r="Y670" s="2">
        <v>45726</v>
      </c>
      <c r="Z670" s="2"/>
      <c r="AA670" t="s">
        <v>285</v>
      </c>
      <c r="AB670">
        <v>8252</v>
      </c>
      <c r="AC670">
        <v>70122</v>
      </c>
      <c r="AD670" t="s">
        <v>873</v>
      </c>
      <c r="AE670" s="2">
        <v>45701</v>
      </c>
      <c r="AF670">
        <v>8</v>
      </c>
      <c r="AG670" s="17">
        <v>0.33333333333333298</v>
      </c>
      <c r="AH670" s="2">
        <v>45701</v>
      </c>
    </row>
    <row r="671" spans="1:34" hidden="1" x14ac:dyDescent="0.25">
      <c r="A671" s="12">
        <v>8252</v>
      </c>
      <c r="B671" s="12">
        <v>308</v>
      </c>
      <c r="C671" t="s">
        <v>284</v>
      </c>
      <c r="D671">
        <v>247795</v>
      </c>
      <c r="E671" s="8" t="s">
        <v>75</v>
      </c>
      <c r="F671" s="12">
        <v>21</v>
      </c>
      <c r="G671" s="8" t="s">
        <v>44</v>
      </c>
      <c r="H671" s="12">
        <v>3200</v>
      </c>
      <c r="I671" t="s">
        <v>50</v>
      </c>
      <c r="K671" t="s">
        <v>63</v>
      </c>
      <c r="N671" s="12"/>
      <c r="O671" s="8"/>
      <c r="P671">
        <v>1</v>
      </c>
      <c r="Q671" s="8">
        <v>1</v>
      </c>
      <c r="R671" s="12">
        <v>3</v>
      </c>
      <c r="S671" s="8">
        <v>3</v>
      </c>
      <c r="T671" s="12"/>
      <c r="U671" s="8"/>
      <c r="V671" s="2">
        <v>45658</v>
      </c>
      <c r="W671" s="2">
        <v>1</v>
      </c>
      <c r="X671" s="2">
        <v>45716</v>
      </c>
      <c r="Y671" s="2">
        <v>45726</v>
      </c>
      <c r="Z671" s="2"/>
      <c r="AA671" t="s">
        <v>285</v>
      </c>
      <c r="AB671">
        <v>8252</v>
      </c>
      <c r="AC671">
        <v>69387</v>
      </c>
      <c r="AD671" t="s">
        <v>874</v>
      </c>
      <c r="AE671" s="2">
        <v>45698</v>
      </c>
      <c r="AF671">
        <v>8</v>
      </c>
      <c r="AG671" s="17">
        <v>0.33333333333333298</v>
      </c>
      <c r="AH671" s="2">
        <v>45699</v>
      </c>
    </row>
    <row r="672" spans="1:34" hidden="1" x14ac:dyDescent="0.25">
      <c r="A672" s="12">
        <v>8252</v>
      </c>
      <c r="B672" s="12">
        <v>308</v>
      </c>
      <c r="C672" t="s">
        <v>284</v>
      </c>
      <c r="D672">
        <v>247795</v>
      </c>
      <c r="E672" s="8" t="s">
        <v>75</v>
      </c>
      <c r="F672" s="12">
        <v>21</v>
      </c>
      <c r="G672" s="8" t="s">
        <v>44</v>
      </c>
      <c r="H672" s="12">
        <v>3200</v>
      </c>
      <c r="I672" t="s">
        <v>50</v>
      </c>
      <c r="K672" t="s">
        <v>63</v>
      </c>
      <c r="N672" s="12"/>
      <c r="O672" s="8"/>
      <c r="P672">
        <v>1</v>
      </c>
      <c r="Q672" s="8">
        <v>1</v>
      </c>
      <c r="R672" s="12">
        <v>3</v>
      </c>
      <c r="S672" s="8">
        <v>3</v>
      </c>
      <c r="T672" s="12"/>
      <c r="U672" s="8"/>
      <c r="V672" s="2">
        <v>45658</v>
      </c>
      <c r="W672" s="2">
        <v>1</v>
      </c>
      <c r="X672" s="2">
        <v>45716</v>
      </c>
      <c r="Y672" s="2">
        <v>45726</v>
      </c>
      <c r="Z672" s="2"/>
      <c r="AA672" t="s">
        <v>285</v>
      </c>
      <c r="AB672">
        <v>8252</v>
      </c>
      <c r="AC672">
        <v>68858</v>
      </c>
      <c r="AD672" t="s">
        <v>875</v>
      </c>
      <c r="AE672" s="2">
        <v>45695</v>
      </c>
      <c r="AF672">
        <v>8</v>
      </c>
      <c r="AG672" s="17">
        <v>0.33333333333333298</v>
      </c>
      <c r="AH672" s="2">
        <v>45695</v>
      </c>
    </row>
    <row r="673" spans="1:34" hidden="1" x14ac:dyDescent="0.25">
      <c r="A673" s="12">
        <v>8252</v>
      </c>
      <c r="B673" s="12">
        <v>308</v>
      </c>
      <c r="C673" t="s">
        <v>284</v>
      </c>
      <c r="D673">
        <v>247795</v>
      </c>
      <c r="E673" s="8" t="s">
        <v>75</v>
      </c>
      <c r="F673" s="12">
        <v>21</v>
      </c>
      <c r="G673" s="8" t="s">
        <v>44</v>
      </c>
      <c r="H673" s="12">
        <v>3200</v>
      </c>
      <c r="I673" t="s">
        <v>50</v>
      </c>
      <c r="K673" t="s">
        <v>63</v>
      </c>
      <c r="N673" s="12"/>
      <c r="O673" s="8"/>
      <c r="P673">
        <v>1</v>
      </c>
      <c r="Q673" s="8">
        <v>1</v>
      </c>
      <c r="R673" s="12">
        <v>3</v>
      </c>
      <c r="S673" s="8">
        <v>3</v>
      </c>
      <c r="T673" s="12"/>
      <c r="U673" s="8"/>
      <c r="V673" s="2">
        <v>45658</v>
      </c>
      <c r="W673" s="2">
        <v>1</v>
      </c>
      <c r="X673" s="2">
        <v>45716</v>
      </c>
      <c r="Y673" s="2">
        <v>45726</v>
      </c>
      <c r="Z673" s="2"/>
      <c r="AA673" t="s">
        <v>285</v>
      </c>
      <c r="AB673">
        <v>8252</v>
      </c>
      <c r="AC673">
        <v>68857</v>
      </c>
      <c r="AD673" t="s">
        <v>876</v>
      </c>
      <c r="AE673" s="2">
        <v>45694</v>
      </c>
      <c r="AF673">
        <v>9</v>
      </c>
      <c r="AG673" s="17">
        <v>0.375</v>
      </c>
      <c r="AH673" s="2">
        <v>45695</v>
      </c>
    </row>
    <row r="674" spans="1:34" hidden="1" x14ac:dyDescent="0.25">
      <c r="A674" s="12">
        <v>8252</v>
      </c>
      <c r="B674" s="12">
        <v>308</v>
      </c>
      <c r="C674" t="s">
        <v>284</v>
      </c>
      <c r="D674">
        <v>247795</v>
      </c>
      <c r="E674" s="8" t="s">
        <v>75</v>
      </c>
      <c r="F674" s="12">
        <v>21</v>
      </c>
      <c r="G674" s="8" t="s">
        <v>44</v>
      </c>
      <c r="H674" s="12">
        <v>3200</v>
      </c>
      <c r="I674" t="s">
        <v>50</v>
      </c>
      <c r="K674" t="s">
        <v>63</v>
      </c>
      <c r="N674" s="12"/>
      <c r="O674" s="8"/>
      <c r="P674">
        <v>1</v>
      </c>
      <c r="Q674" s="8">
        <v>1</v>
      </c>
      <c r="R674" s="12">
        <v>3</v>
      </c>
      <c r="S674" s="8">
        <v>3</v>
      </c>
      <c r="T674" s="12"/>
      <c r="U674" s="8"/>
      <c r="V674" s="2">
        <v>45658</v>
      </c>
      <c r="W674" s="2">
        <v>1</v>
      </c>
      <c r="X674" s="2">
        <v>45716</v>
      </c>
      <c r="Y674" s="2">
        <v>45726</v>
      </c>
      <c r="Z674" s="2"/>
      <c r="AA674" t="s">
        <v>285</v>
      </c>
      <c r="AB674">
        <v>8252</v>
      </c>
      <c r="AC674">
        <v>68883</v>
      </c>
      <c r="AD674" t="s">
        <v>877</v>
      </c>
      <c r="AE674" s="2">
        <v>45693</v>
      </c>
      <c r="AF674">
        <v>6.5</v>
      </c>
      <c r="AG674" s="17">
        <v>0.27083333333333298</v>
      </c>
      <c r="AH674" s="2">
        <v>45695</v>
      </c>
    </row>
    <row r="675" spans="1:34" hidden="1" x14ac:dyDescent="0.25">
      <c r="A675" s="12">
        <v>8252</v>
      </c>
      <c r="B675" s="12">
        <v>308</v>
      </c>
      <c r="C675" t="s">
        <v>284</v>
      </c>
      <c r="D675">
        <v>247795</v>
      </c>
      <c r="E675" s="8" t="s">
        <v>75</v>
      </c>
      <c r="F675" s="12">
        <v>21</v>
      </c>
      <c r="G675" s="8" t="s">
        <v>44</v>
      </c>
      <c r="H675" s="12">
        <v>3200</v>
      </c>
      <c r="I675" t="s">
        <v>50</v>
      </c>
      <c r="K675" t="s">
        <v>63</v>
      </c>
      <c r="N675" s="12"/>
      <c r="O675" s="8"/>
      <c r="P675">
        <v>1</v>
      </c>
      <c r="Q675" s="8">
        <v>1</v>
      </c>
      <c r="R675" s="12">
        <v>3</v>
      </c>
      <c r="S675" s="8">
        <v>3</v>
      </c>
      <c r="T675" s="12"/>
      <c r="U675" s="8"/>
      <c r="V675" s="2">
        <v>45658</v>
      </c>
      <c r="W675" s="2">
        <v>1</v>
      </c>
      <c r="X675" s="2">
        <v>45716</v>
      </c>
      <c r="Y675" s="2">
        <v>45726</v>
      </c>
      <c r="Z675" s="2"/>
      <c r="AA675" t="s">
        <v>285</v>
      </c>
      <c r="AB675">
        <v>8252</v>
      </c>
      <c r="AC675">
        <v>67822</v>
      </c>
      <c r="AD675" t="s">
        <v>878</v>
      </c>
      <c r="AE675" s="2">
        <v>45692</v>
      </c>
      <c r="AF675">
        <v>9</v>
      </c>
      <c r="AG675" s="17">
        <v>0.375</v>
      </c>
      <c r="AH675" s="2">
        <v>45693</v>
      </c>
    </row>
    <row r="676" spans="1:34" hidden="1" x14ac:dyDescent="0.25">
      <c r="A676" s="12">
        <v>8252</v>
      </c>
      <c r="B676" s="12">
        <v>308</v>
      </c>
      <c r="C676" t="s">
        <v>284</v>
      </c>
      <c r="D676">
        <v>247795</v>
      </c>
      <c r="E676" s="8" t="s">
        <v>75</v>
      </c>
      <c r="F676" s="12">
        <v>21</v>
      </c>
      <c r="G676" s="8" t="s">
        <v>44</v>
      </c>
      <c r="H676" s="12">
        <v>3200</v>
      </c>
      <c r="I676" t="s">
        <v>50</v>
      </c>
      <c r="K676" t="s">
        <v>63</v>
      </c>
      <c r="N676" s="12"/>
      <c r="O676" s="8"/>
      <c r="P676">
        <v>1</v>
      </c>
      <c r="Q676" s="8">
        <v>1</v>
      </c>
      <c r="R676" s="12">
        <v>3</v>
      </c>
      <c r="S676" s="8">
        <v>3</v>
      </c>
      <c r="T676" s="12"/>
      <c r="U676" s="8"/>
      <c r="V676" s="2">
        <v>45658</v>
      </c>
      <c r="W676" s="2">
        <v>1</v>
      </c>
      <c r="X676" s="2">
        <v>45716</v>
      </c>
      <c r="Y676" s="2">
        <v>45726</v>
      </c>
      <c r="Z676" s="2"/>
      <c r="AA676" t="s">
        <v>285</v>
      </c>
      <c r="AB676">
        <v>8252</v>
      </c>
      <c r="AC676">
        <v>67583</v>
      </c>
      <c r="AD676" t="s">
        <v>879</v>
      </c>
      <c r="AE676" s="2">
        <v>45691</v>
      </c>
      <c r="AF676">
        <v>8.5</v>
      </c>
      <c r="AG676" s="17">
        <v>0.35416666666666602</v>
      </c>
      <c r="AH676" s="2">
        <v>45692</v>
      </c>
    </row>
    <row r="677" spans="1:34" hidden="1" x14ac:dyDescent="0.25">
      <c r="A677" s="12">
        <v>8252</v>
      </c>
      <c r="B677" s="12">
        <v>308</v>
      </c>
      <c r="C677" t="s">
        <v>284</v>
      </c>
      <c r="D677">
        <v>247795</v>
      </c>
      <c r="E677" s="8" t="s">
        <v>75</v>
      </c>
      <c r="F677" s="12">
        <v>21</v>
      </c>
      <c r="G677" s="8" t="s">
        <v>44</v>
      </c>
      <c r="H677" s="12">
        <v>3200</v>
      </c>
      <c r="I677" t="s">
        <v>50</v>
      </c>
      <c r="K677" t="s">
        <v>63</v>
      </c>
      <c r="N677" s="12"/>
      <c r="O677" s="8"/>
      <c r="P677">
        <v>1</v>
      </c>
      <c r="Q677" s="8">
        <v>1</v>
      </c>
      <c r="R677" s="12">
        <v>3</v>
      </c>
      <c r="S677" s="8">
        <v>3</v>
      </c>
      <c r="T677" s="12"/>
      <c r="U677" s="8"/>
      <c r="V677" s="2">
        <v>45658</v>
      </c>
      <c r="W677" s="2">
        <v>1</v>
      </c>
      <c r="X677" s="2">
        <v>45716</v>
      </c>
      <c r="Y677" s="2">
        <v>45726</v>
      </c>
      <c r="Z677" s="2"/>
      <c r="AA677" t="s">
        <v>285</v>
      </c>
      <c r="AB677">
        <v>8252</v>
      </c>
      <c r="AC677">
        <v>67582</v>
      </c>
      <c r="AD677" t="s">
        <v>880</v>
      </c>
      <c r="AE677" s="2">
        <v>45689</v>
      </c>
      <c r="AF677">
        <v>4</v>
      </c>
      <c r="AG677" s="17">
        <v>0.16666666666666599</v>
      </c>
      <c r="AH677" s="2">
        <v>45692</v>
      </c>
    </row>
    <row r="678" spans="1:34" hidden="1" x14ac:dyDescent="0.25">
      <c r="A678" s="12">
        <v>8252</v>
      </c>
      <c r="B678" s="12">
        <v>308</v>
      </c>
      <c r="C678" t="s">
        <v>284</v>
      </c>
      <c r="D678">
        <v>247795</v>
      </c>
      <c r="E678" s="8" t="s">
        <v>75</v>
      </c>
      <c r="F678" s="12">
        <v>21</v>
      </c>
      <c r="G678" s="8" t="s">
        <v>44</v>
      </c>
      <c r="H678" s="12">
        <v>3200</v>
      </c>
      <c r="I678" t="s">
        <v>50</v>
      </c>
      <c r="K678" t="s">
        <v>63</v>
      </c>
      <c r="N678" s="12"/>
      <c r="O678" s="8"/>
      <c r="P678">
        <v>1</v>
      </c>
      <c r="Q678" s="8">
        <v>1</v>
      </c>
      <c r="R678" s="12">
        <v>3</v>
      </c>
      <c r="S678" s="8">
        <v>3</v>
      </c>
      <c r="T678" s="12"/>
      <c r="U678" s="8"/>
      <c r="V678" s="2">
        <v>45658</v>
      </c>
      <c r="W678" s="2">
        <v>1</v>
      </c>
      <c r="X678" s="2">
        <v>45716</v>
      </c>
      <c r="Y678" s="2">
        <v>45726</v>
      </c>
      <c r="Z678" s="2"/>
      <c r="AA678" t="s">
        <v>285</v>
      </c>
      <c r="AB678">
        <v>8252</v>
      </c>
      <c r="AC678">
        <v>67581</v>
      </c>
      <c r="AD678" t="s">
        <v>881</v>
      </c>
      <c r="AE678" s="2">
        <v>45688</v>
      </c>
      <c r="AF678">
        <v>8</v>
      </c>
      <c r="AG678" s="17">
        <v>0.33333333333333298</v>
      </c>
      <c r="AH678" s="2">
        <v>45692</v>
      </c>
    </row>
    <row r="679" spans="1:34" hidden="1" x14ac:dyDescent="0.25">
      <c r="A679" s="12">
        <v>8252</v>
      </c>
      <c r="B679" s="12">
        <v>308</v>
      </c>
      <c r="C679" t="s">
        <v>284</v>
      </c>
      <c r="D679">
        <v>247795</v>
      </c>
      <c r="E679" s="8" t="s">
        <v>75</v>
      </c>
      <c r="F679" s="12">
        <v>21</v>
      </c>
      <c r="G679" s="8" t="s">
        <v>44</v>
      </c>
      <c r="H679" s="12">
        <v>3200</v>
      </c>
      <c r="I679" t="s">
        <v>50</v>
      </c>
      <c r="K679" t="s">
        <v>63</v>
      </c>
      <c r="N679" s="12"/>
      <c r="O679" s="8"/>
      <c r="P679">
        <v>1</v>
      </c>
      <c r="Q679" s="8">
        <v>1</v>
      </c>
      <c r="R679" s="12">
        <v>3</v>
      </c>
      <c r="S679" s="8">
        <v>3</v>
      </c>
      <c r="T679" s="12"/>
      <c r="U679" s="8"/>
      <c r="V679" s="2">
        <v>45658</v>
      </c>
      <c r="W679" s="2">
        <v>1</v>
      </c>
      <c r="X679" s="2">
        <v>45716</v>
      </c>
      <c r="Y679" s="2">
        <v>45726</v>
      </c>
      <c r="Z679" s="2"/>
      <c r="AA679" t="s">
        <v>285</v>
      </c>
      <c r="AB679">
        <v>8252</v>
      </c>
      <c r="AC679">
        <v>67580</v>
      </c>
      <c r="AD679" t="s">
        <v>882</v>
      </c>
      <c r="AE679" s="2">
        <v>45687</v>
      </c>
      <c r="AF679">
        <v>8</v>
      </c>
      <c r="AG679" s="17">
        <v>0.33333333333333298</v>
      </c>
      <c r="AH679" s="2">
        <v>45692</v>
      </c>
    </row>
    <row r="680" spans="1:34" hidden="1" x14ac:dyDescent="0.25">
      <c r="A680" s="12">
        <v>8252</v>
      </c>
      <c r="B680" s="12">
        <v>308</v>
      </c>
      <c r="C680" t="s">
        <v>284</v>
      </c>
      <c r="D680">
        <v>247795</v>
      </c>
      <c r="E680" s="8" t="s">
        <v>75</v>
      </c>
      <c r="F680" s="12">
        <v>21</v>
      </c>
      <c r="G680" s="8" t="s">
        <v>44</v>
      </c>
      <c r="H680" s="12">
        <v>3200</v>
      </c>
      <c r="I680" t="s">
        <v>50</v>
      </c>
      <c r="K680" t="s">
        <v>63</v>
      </c>
      <c r="N680" s="12"/>
      <c r="O680" s="8"/>
      <c r="P680">
        <v>1</v>
      </c>
      <c r="Q680" s="8">
        <v>1</v>
      </c>
      <c r="R680" s="12">
        <v>3</v>
      </c>
      <c r="S680" s="8">
        <v>3</v>
      </c>
      <c r="T680" s="12"/>
      <c r="U680" s="8"/>
      <c r="V680" s="2">
        <v>45658</v>
      </c>
      <c r="W680" s="2">
        <v>1</v>
      </c>
      <c r="X680" s="2">
        <v>45716</v>
      </c>
      <c r="Y680" s="2">
        <v>45726</v>
      </c>
      <c r="Z680" s="2"/>
      <c r="AA680" t="s">
        <v>285</v>
      </c>
      <c r="AB680">
        <v>8252</v>
      </c>
      <c r="AC680">
        <v>66298</v>
      </c>
      <c r="AD680" t="s">
        <v>883</v>
      </c>
      <c r="AE680" s="2">
        <v>45686</v>
      </c>
      <c r="AF680">
        <v>8</v>
      </c>
      <c r="AG680" s="17">
        <v>0.33333333333333298</v>
      </c>
      <c r="AH680" s="2">
        <v>45687</v>
      </c>
    </row>
    <row r="681" spans="1:34" hidden="1" x14ac:dyDescent="0.25">
      <c r="A681" s="12">
        <v>8252</v>
      </c>
      <c r="B681" s="12">
        <v>308</v>
      </c>
      <c r="C681" t="s">
        <v>284</v>
      </c>
      <c r="D681">
        <v>247795</v>
      </c>
      <c r="E681" s="8" t="s">
        <v>75</v>
      </c>
      <c r="F681" s="12">
        <v>21</v>
      </c>
      <c r="G681" s="8" t="s">
        <v>44</v>
      </c>
      <c r="H681" s="12">
        <v>3200</v>
      </c>
      <c r="I681" t="s">
        <v>50</v>
      </c>
      <c r="K681" t="s">
        <v>63</v>
      </c>
      <c r="N681" s="12"/>
      <c r="O681" s="8"/>
      <c r="P681">
        <v>1</v>
      </c>
      <c r="Q681" s="8">
        <v>1</v>
      </c>
      <c r="R681" s="12">
        <v>3</v>
      </c>
      <c r="S681" s="8">
        <v>3</v>
      </c>
      <c r="T681" s="12"/>
      <c r="U681" s="8"/>
      <c r="V681" s="2">
        <v>45658</v>
      </c>
      <c r="W681" s="2">
        <v>1</v>
      </c>
      <c r="X681" s="2">
        <v>45716</v>
      </c>
      <c r="Y681" s="2">
        <v>45726</v>
      </c>
      <c r="Z681" s="2"/>
      <c r="AA681" t="s">
        <v>285</v>
      </c>
      <c r="AB681">
        <v>8252</v>
      </c>
      <c r="AC681">
        <v>65850</v>
      </c>
      <c r="AD681" t="s">
        <v>884</v>
      </c>
      <c r="AE681" s="2">
        <v>45685</v>
      </c>
      <c r="AF681">
        <v>8</v>
      </c>
      <c r="AG681" s="17">
        <v>0.33333333333333298</v>
      </c>
      <c r="AH681" s="2">
        <v>45685</v>
      </c>
    </row>
    <row r="682" spans="1:34" hidden="1" x14ac:dyDescent="0.25">
      <c r="A682" s="12">
        <v>8252</v>
      </c>
      <c r="B682" s="12">
        <v>308</v>
      </c>
      <c r="C682" t="s">
        <v>284</v>
      </c>
      <c r="D682">
        <v>247795</v>
      </c>
      <c r="E682" s="8" t="s">
        <v>75</v>
      </c>
      <c r="F682" s="12">
        <v>21</v>
      </c>
      <c r="G682" s="8" t="s">
        <v>44</v>
      </c>
      <c r="H682" s="12">
        <v>3200</v>
      </c>
      <c r="I682" t="s">
        <v>50</v>
      </c>
      <c r="K682" t="s">
        <v>63</v>
      </c>
      <c r="N682" s="12"/>
      <c r="O682" s="8"/>
      <c r="P682">
        <v>1</v>
      </c>
      <c r="Q682" s="8">
        <v>1</v>
      </c>
      <c r="R682" s="12">
        <v>3</v>
      </c>
      <c r="S682" s="8">
        <v>3</v>
      </c>
      <c r="T682" s="12"/>
      <c r="U682" s="8"/>
      <c r="V682" s="2">
        <v>45658</v>
      </c>
      <c r="W682" s="2">
        <v>1</v>
      </c>
      <c r="X682" s="2">
        <v>45716</v>
      </c>
      <c r="Y682" s="2">
        <v>45726</v>
      </c>
      <c r="Z682" s="2"/>
      <c r="AA682" t="s">
        <v>285</v>
      </c>
      <c r="AB682">
        <v>8252</v>
      </c>
      <c r="AC682">
        <v>65793</v>
      </c>
      <c r="AD682" t="s">
        <v>885</v>
      </c>
      <c r="AE682" s="2">
        <v>45684</v>
      </c>
      <c r="AF682">
        <v>8</v>
      </c>
      <c r="AG682" s="17">
        <v>0.33333333333333298</v>
      </c>
      <c r="AH682" s="2">
        <v>45685</v>
      </c>
    </row>
    <row r="683" spans="1:34" hidden="1" x14ac:dyDescent="0.25">
      <c r="A683" s="12">
        <v>8252</v>
      </c>
      <c r="B683" s="12">
        <v>308</v>
      </c>
      <c r="C683" t="s">
        <v>284</v>
      </c>
      <c r="D683">
        <v>247795</v>
      </c>
      <c r="E683" s="8" t="s">
        <v>75</v>
      </c>
      <c r="F683" s="12">
        <v>21</v>
      </c>
      <c r="G683" s="8" t="s">
        <v>44</v>
      </c>
      <c r="H683" s="12">
        <v>3200</v>
      </c>
      <c r="I683" t="s">
        <v>50</v>
      </c>
      <c r="K683" t="s">
        <v>63</v>
      </c>
      <c r="N683" s="12"/>
      <c r="O683" s="8"/>
      <c r="P683">
        <v>1</v>
      </c>
      <c r="Q683" s="8">
        <v>1</v>
      </c>
      <c r="R683" s="12">
        <v>3</v>
      </c>
      <c r="S683" s="8">
        <v>3</v>
      </c>
      <c r="T683" s="12"/>
      <c r="U683" s="8"/>
      <c r="V683" s="2">
        <v>45658</v>
      </c>
      <c r="W683" s="2">
        <v>1</v>
      </c>
      <c r="X683" s="2">
        <v>45716</v>
      </c>
      <c r="Y683" s="2">
        <v>45726</v>
      </c>
      <c r="Z683" s="2"/>
      <c r="AA683" t="s">
        <v>285</v>
      </c>
      <c r="AB683">
        <v>8252</v>
      </c>
      <c r="AC683">
        <v>65848</v>
      </c>
      <c r="AD683" t="s">
        <v>886</v>
      </c>
      <c r="AE683" s="2">
        <v>45682</v>
      </c>
      <c r="AF683">
        <v>2</v>
      </c>
      <c r="AG683" s="17">
        <v>8.3333333333333301E-2</v>
      </c>
      <c r="AH683" s="2">
        <v>45685</v>
      </c>
    </row>
    <row r="684" spans="1:34" hidden="1" x14ac:dyDescent="0.25">
      <c r="A684" s="12">
        <v>8252</v>
      </c>
      <c r="B684" s="12">
        <v>308</v>
      </c>
      <c r="C684" t="s">
        <v>284</v>
      </c>
      <c r="D684">
        <v>247795</v>
      </c>
      <c r="E684" s="8" t="s">
        <v>75</v>
      </c>
      <c r="F684" s="12">
        <v>21</v>
      </c>
      <c r="G684" s="8" t="s">
        <v>44</v>
      </c>
      <c r="H684" s="12">
        <v>3200</v>
      </c>
      <c r="I684" t="s">
        <v>50</v>
      </c>
      <c r="K684" t="s">
        <v>63</v>
      </c>
      <c r="N684" s="12"/>
      <c r="O684" s="8"/>
      <c r="P684">
        <v>1</v>
      </c>
      <c r="Q684" s="8">
        <v>1</v>
      </c>
      <c r="R684" s="12">
        <v>3</v>
      </c>
      <c r="S684" s="8">
        <v>3</v>
      </c>
      <c r="T684" s="12"/>
      <c r="U684" s="8"/>
      <c r="V684" s="2">
        <v>45658</v>
      </c>
      <c r="W684" s="2">
        <v>1</v>
      </c>
      <c r="X684" s="2">
        <v>45716</v>
      </c>
      <c r="Y684" s="2">
        <v>45726</v>
      </c>
      <c r="Z684" s="2"/>
      <c r="AA684" t="s">
        <v>285</v>
      </c>
      <c r="AB684">
        <v>8252</v>
      </c>
      <c r="AC684">
        <v>67579</v>
      </c>
      <c r="AD684" t="s">
        <v>887</v>
      </c>
      <c r="AE684" s="2">
        <v>45681</v>
      </c>
      <c r="AF684">
        <v>2.1666666666666599</v>
      </c>
      <c r="AG684" s="17">
        <v>9.0277777777777707E-2</v>
      </c>
      <c r="AH684" s="2">
        <v>45692</v>
      </c>
    </row>
    <row r="685" spans="1:34" hidden="1" x14ac:dyDescent="0.25">
      <c r="A685" s="12">
        <v>8252</v>
      </c>
      <c r="B685" s="12">
        <v>308</v>
      </c>
      <c r="C685" t="s">
        <v>284</v>
      </c>
      <c r="D685">
        <v>247795</v>
      </c>
      <c r="E685" s="8" t="s">
        <v>75</v>
      </c>
      <c r="F685" s="12">
        <v>21</v>
      </c>
      <c r="G685" s="8" t="s">
        <v>44</v>
      </c>
      <c r="H685" s="12">
        <v>3200</v>
      </c>
      <c r="I685" t="s">
        <v>50</v>
      </c>
      <c r="K685" t="s">
        <v>63</v>
      </c>
      <c r="N685" s="12"/>
      <c r="O685" s="8"/>
      <c r="P685">
        <v>1</v>
      </c>
      <c r="Q685" s="8">
        <v>1</v>
      </c>
      <c r="R685" s="12">
        <v>3</v>
      </c>
      <c r="S685" s="8">
        <v>3</v>
      </c>
      <c r="T685" s="12"/>
      <c r="U685" s="8"/>
      <c r="V685" s="2">
        <v>45658</v>
      </c>
      <c r="W685" s="2">
        <v>1</v>
      </c>
      <c r="X685" s="2">
        <v>45716</v>
      </c>
      <c r="Y685" s="2">
        <v>45726</v>
      </c>
      <c r="Z685" s="2"/>
      <c r="AA685" t="s">
        <v>285</v>
      </c>
      <c r="AB685">
        <v>8252</v>
      </c>
      <c r="AC685">
        <v>67578</v>
      </c>
      <c r="AD685" t="s">
        <v>888</v>
      </c>
      <c r="AE685" s="2">
        <v>45680</v>
      </c>
      <c r="AF685">
        <v>4</v>
      </c>
      <c r="AG685" s="17">
        <v>0.16666666666666599</v>
      </c>
      <c r="AH685" s="2">
        <v>45692</v>
      </c>
    </row>
    <row r="686" spans="1:34" hidden="1" x14ac:dyDescent="0.25">
      <c r="A686" s="12">
        <v>8252</v>
      </c>
      <c r="B686" s="12">
        <v>308</v>
      </c>
      <c r="C686" t="s">
        <v>284</v>
      </c>
      <c r="D686">
        <v>247795</v>
      </c>
      <c r="E686" s="8" t="s">
        <v>75</v>
      </c>
      <c r="F686" s="12">
        <v>21</v>
      </c>
      <c r="G686" s="8" t="s">
        <v>44</v>
      </c>
      <c r="H686" s="12">
        <v>3200</v>
      </c>
      <c r="I686" t="s">
        <v>50</v>
      </c>
      <c r="K686" t="s">
        <v>63</v>
      </c>
      <c r="N686" s="12"/>
      <c r="O686" s="8"/>
      <c r="P686">
        <v>1</v>
      </c>
      <c r="Q686" s="8">
        <v>1</v>
      </c>
      <c r="R686" s="12">
        <v>3</v>
      </c>
      <c r="S686" s="8">
        <v>3</v>
      </c>
      <c r="T686" s="12"/>
      <c r="U686" s="8"/>
      <c r="V686" s="2">
        <v>45658</v>
      </c>
      <c r="W686" s="2">
        <v>1</v>
      </c>
      <c r="X686" s="2">
        <v>45716</v>
      </c>
      <c r="Y686" s="2">
        <v>45726</v>
      </c>
      <c r="Z686" s="2"/>
      <c r="AA686" t="s">
        <v>285</v>
      </c>
      <c r="AB686">
        <v>8252</v>
      </c>
      <c r="AC686">
        <v>67577</v>
      </c>
      <c r="AD686" t="s">
        <v>889</v>
      </c>
      <c r="AE686" s="2">
        <v>45679</v>
      </c>
      <c r="AF686">
        <v>8</v>
      </c>
      <c r="AG686" s="17">
        <v>0.33333333333333298</v>
      </c>
      <c r="AH686" s="2">
        <v>45692</v>
      </c>
    </row>
    <row r="687" spans="1:34" hidden="1" x14ac:dyDescent="0.25">
      <c r="A687" s="12">
        <v>8252</v>
      </c>
      <c r="B687" s="12">
        <v>308</v>
      </c>
      <c r="C687" t="s">
        <v>284</v>
      </c>
      <c r="D687">
        <v>247795</v>
      </c>
      <c r="E687" s="8" t="s">
        <v>75</v>
      </c>
      <c r="F687" s="12">
        <v>21</v>
      </c>
      <c r="G687" s="8" t="s">
        <v>44</v>
      </c>
      <c r="H687" s="12">
        <v>3200</v>
      </c>
      <c r="I687" t="s">
        <v>50</v>
      </c>
      <c r="K687" t="s">
        <v>63</v>
      </c>
      <c r="N687" s="12"/>
      <c r="O687" s="8"/>
      <c r="P687">
        <v>1</v>
      </c>
      <c r="Q687" s="8">
        <v>1</v>
      </c>
      <c r="R687" s="12">
        <v>3</v>
      </c>
      <c r="S687" s="8">
        <v>3</v>
      </c>
      <c r="T687" s="12"/>
      <c r="U687" s="8"/>
      <c r="V687" s="2">
        <v>45658</v>
      </c>
      <c r="W687" s="2">
        <v>1</v>
      </c>
      <c r="X687" s="2">
        <v>45716</v>
      </c>
      <c r="Y687" s="2">
        <v>45726</v>
      </c>
      <c r="Z687" s="2"/>
      <c r="AA687" t="s">
        <v>285</v>
      </c>
      <c r="AB687">
        <v>8252</v>
      </c>
      <c r="AC687">
        <v>65847</v>
      </c>
      <c r="AD687" t="s">
        <v>890</v>
      </c>
      <c r="AE687" s="2">
        <v>45678</v>
      </c>
      <c r="AF687">
        <v>8</v>
      </c>
      <c r="AG687" s="17">
        <v>0.33333333333333298</v>
      </c>
      <c r="AH687" s="2">
        <v>45685</v>
      </c>
    </row>
    <row r="688" spans="1:34" hidden="1" x14ac:dyDescent="0.25">
      <c r="A688" s="12">
        <v>8252</v>
      </c>
      <c r="B688" s="12">
        <v>308</v>
      </c>
      <c r="C688" t="s">
        <v>284</v>
      </c>
      <c r="D688">
        <v>247795</v>
      </c>
      <c r="E688" s="8" t="s">
        <v>75</v>
      </c>
      <c r="F688" s="12">
        <v>21</v>
      </c>
      <c r="G688" s="8" t="s">
        <v>44</v>
      </c>
      <c r="H688" s="12">
        <v>3200</v>
      </c>
      <c r="I688" t="s">
        <v>50</v>
      </c>
      <c r="K688" t="s">
        <v>63</v>
      </c>
      <c r="N688" s="12"/>
      <c r="O688" s="8"/>
      <c r="P688">
        <v>1</v>
      </c>
      <c r="Q688" s="8">
        <v>1</v>
      </c>
      <c r="R688" s="12">
        <v>3</v>
      </c>
      <c r="S688" s="8">
        <v>3</v>
      </c>
      <c r="T688" s="12"/>
      <c r="U688" s="8"/>
      <c r="V688" s="2">
        <v>45658</v>
      </c>
      <c r="W688" s="2">
        <v>1</v>
      </c>
      <c r="X688" s="2">
        <v>45716</v>
      </c>
      <c r="Y688" s="2">
        <v>45726</v>
      </c>
      <c r="Z688" s="2"/>
      <c r="AA688" t="s">
        <v>285</v>
      </c>
      <c r="AB688">
        <v>8252</v>
      </c>
      <c r="AC688">
        <v>65842</v>
      </c>
      <c r="AD688" t="s">
        <v>891</v>
      </c>
      <c r="AE688" s="2">
        <v>45677</v>
      </c>
      <c r="AF688">
        <v>8</v>
      </c>
      <c r="AG688" s="17">
        <v>0.33333333333333298</v>
      </c>
      <c r="AH688" s="2">
        <v>45685</v>
      </c>
    </row>
    <row r="689" spans="1:34" hidden="1" x14ac:dyDescent="0.25">
      <c r="A689" s="12">
        <v>8252</v>
      </c>
      <c r="B689" s="12">
        <v>308</v>
      </c>
      <c r="C689" t="s">
        <v>284</v>
      </c>
      <c r="D689">
        <v>247795</v>
      </c>
      <c r="E689" s="8" t="s">
        <v>75</v>
      </c>
      <c r="F689" s="12">
        <v>21</v>
      </c>
      <c r="G689" s="8" t="s">
        <v>44</v>
      </c>
      <c r="H689" s="12">
        <v>3200</v>
      </c>
      <c r="I689" t="s">
        <v>50</v>
      </c>
      <c r="K689" t="s">
        <v>63</v>
      </c>
      <c r="N689" s="12"/>
      <c r="O689" s="8"/>
      <c r="P689">
        <v>1</v>
      </c>
      <c r="Q689" s="8">
        <v>1</v>
      </c>
      <c r="R689" s="12">
        <v>3</v>
      </c>
      <c r="S689" s="8">
        <v>3</v>
      </c>
      <c r="T689" s="12"/>
      <c r="U689" s="8"/>
      <c r="V689" s="2">
        <v>45658</v>
      </c>
      <c r="W689" s="2">
        <v>1</v>
      </c>
      <c r="X689" s="2">
        <v>45716</v>
      </c>
      <c r="Y689" s="2">
        <v>45726</v>
      </c>
      <c r="Z689" s="2"/>
      <c r="AA689" t="s">
        <v>285</v>
      </c>
      <c r="AB689">
        <v>8252</v>
      </c>
      <c r="AC689">
        <v>65841</v>
      </c>
      <c r="AD689" t="s">
        <v>892</v>
      </c>
      <c r="AE689" s="2">
        <v>45675</v>
      </c>
      <c r="AF689">
        <v>8</v>
      </c>
      <c r="AG689" s="17">
        <v>0.33333333333333298</v>
      </c>
      <c r="AH689" s="2">
        <v>45685</v>
      </c>
    </row>
    <row r="690" spans="1:34" hidden="1" x14ac:dyDescent="0.25">
      <c r="A690" s="12">
        <v>8252</v>
      </c>
      <c r="B690" s="12">
        <v>308</v>
      </c>
      <c r="C690" t="s">
        <v>284</v>
      </c>
      <c r="D690">
        <v>247795</v>
      </c>
      <c r="E690" s="8" t="s">
        <v>75</v>
      </c>
      <c r="F690" s="12">
        <v>21</v>
      </c>
      <c r="G690" s="8" t="s">
        <v>44</v>
      </c>
      <c r="H690" s="12">
        <v>3200</v>
      </c>
      <c r="I690" t="s">
        <v>50</v>
      </c>
      <c r="K690" t="s">
        <v>63</v>
      </c>
      <c r="N690" s="12"/>
      <c r="O690" s="8"/>
      <c r="P690">
        <v>1</v>
      </c>
      <c r="Q690" s="8">
        <v>1</v>
      </c>
      <c r="R690" s="12">
        <v>3</v>
      </c>
      <c r="S690" s="8">
        <v>3</v>
      </c>
      <c r="T690" s="12"/>
      <c r="U690" s="8"/>
      <c r="V690" s="2">
        <v>45658</v>
      </c>
      <c r="W690" s="2">
        <v>1</v>
      </c>
      <c r="X690" s="2">
        <v>45716</v>
      </c>
      <c r="Y690" s="2">
        <v>45726</v>
      </c>
      <c r="Z690" s="2"/>
      <c r="AA690" t="s">
        <v>285</v>
      </c>
      <c r="AB690">
        <v>8252</v>
      </c>
      <c r="AC690">
        <v>65819</v>
      </c>
      <c r="AD690" t="s">
        <v>893</v>
      </c>
      <c r="AE690" s="2">
        <v>45674</v>
      </c>
      <c r="AF690">
        <v>0.5</v>
      </c>
      <c r="AG690" s="17">
        <v>2.0833333333333301E-2</v>
      </c>
      <c r="AH690" s="2">
        <v>45685</v>
      </c>
    </row>
    <row r="691" spans="1:34" hidden="1" x14ac:dyDescent="0.25">
      <c r="A691" s="12">
        <v>8252</v>
      </c>
      <c r="B691" s="12">
        <v>308</v>
      </c>
      <c r="C691" t="s">
        <v>284</v>
      </c>
      <c r="D691">
        <v>247795</v>
      </c>
      <c r="E691" s="8" t="s">
        <v>75</v>
      </c>
      <c r="F691" s="12">
        <v>21</v>
      </c>
      <c r="G691" s="8" t="s">
        <v>44</v>
      </c>
      <c r="H691" s="12">
        <v>3200</v>
      </c>
      <c r="I691" t="s">
        <v>50</v>
      </c>
      <c r="K691" t="s">
        <v>63</v>
      </c>
      <c r="N691" s="12"/>
      <c r="O691" s="8"/>
      <c r="P691">
        <v>1</v>
      </c>
      <c r="Q691" s="8">
        <v>1</v>
      </c>
      <c r="R691" s="12">
        <v>3</v>
      </c>
      <c r="S691" s="8">
        <v>3</v>
      </c>
      <c r="T691" s="12"/>
      <c r="U691" s="8"/>
      <c r="V691" s="2">
        <v>45658</v>
      </c>
      <c r="W691" s="2">
        <v>1</v>
      </c>
      <c r="X691" s="2">
        <v>45716</v>
      </c>
      <c r="Y691" s="2">
        <v>45726</v>
      </c>
      <c r="Z691" s="2"/>
      <c r="AA691" t="s">
        <v>285</v>
      </c>
      <c r="AB691">
        <v>8252</v>
      </c>
      <c r="AC691">
        <v>65820</v>
      </c>
      <c r="AD691" t="s">
        <v>894</v>
      </c>
      <c r="AE691" s="2">
        <v>45673</v>
      </c>
      <c r="AF691">
        <v>1</v>
      </c>
      <c r="AG691" s="17">
        <v>4.1666666666666602E-2</v>
      </c>
      <c r="AH691" s="2">
        <v>45685</v>
      </c>
    </row>
    <row r="692" spans="1:34" hidden="1" x14ac:dyDescent="0.25">
      <c r="A692" s="12">
        <v>8278</v>
      </c>
      <c r="B692" s="12">
        <v>339</v>
      </c>
      <c r="C692" t="s">
        <v>288</v>
      </c>
      <c r="E692" s="8"/>
      <c r="F692" s="12">
        <v>21</v>
      </c>
      <c r="G692" s="8" t="s">
        <v>44</v>
      </c>
      <c r="H692" s="12">
        <v>3203</v>
      </c>
      <c r="I692" t="s">
        <v>47</v>
      </c>
      <c r="J692" t="s">
        <v>62</v>
      </c>
      <c r="K692" t="s">
        <v>63</v>
      </c>
      <c r="N692" s="12"/>
      <c r="O692" s="8"/>
      <c r="P692">
        <v>1</v>
      </c>
      <c r="Q692" s="8">
        <v>1</v>
      </c>
      <c r="R692" s="12">
        <v>2</v>
      </c>
      <c r="S692" s="8">
        <v>2</v>
      </c>
      <c r="T692" s="12"/>
      <c r="U692" s="8"/>
      <c r="V692" s="2">
        <v>45658</v>
      </c>
      <c r="W692" s="2">
        <v>45658</v>
      </c>
      <c r="X692" s="2">
        <v>45716</v>
      </c>
      <c r="Y692" s="2">
        <v>45716</v>
      </c>
      <c r="Z692" s="2"/>
      <c r="AA692" t="s">
        <v>289</v>
      </c>
      <c r="AE692" s="2"/>
      <c r="AG692" s="17"/>
      <c r="AH692" s="2"/>
    </row>
    <row r="693" spans="1:34" hidden="1" x14ac:dyDescent="0.25">
      <c r="A693" s="12">
        <v>8309</v>
      </c>
      <c r="B693" s="12">
        <v>0</v>
      </c>
      <c r="C693" t="s">
        <v>292</v>
      </c>
      <c r="D693">
        <v>247417</v>
      </c>
      <c r="E693" s="8" t="s">
        <v>156</v>
      </c>
      <c r="F693" s="12">
        <v>21</v>
      </c>
      <c r="G693" s="8" t="s">
        <v>44</v>
      </c>
      <c r="H693" s="12">
        <v>3202</v>
      </c>
      <c r="I693" t="s">
        <v>49</v>
      </c>
      <c r="J693" t="s">
        <v>62</v>
      </c>
      <c r="K693" t="s">
        <v>63</v>
      </c>
      <c r="L693">
        <v>4</v>
      </c>
      <c r="M693" t="s">
        <v>207</v>
      </c>
      <c r="N693" s="12">
        <v>1</v>
      </c>
      <c r="O693" s="8" t="s">
        <v>193</v>
      </c>
      <c r="P693">
        <v>1</v>
      </c>
      <c r="Q693" s="8">
        <v>1</v>
      </c>
      <c r="R693" s="12">
        <v>2</v>
      </c>
      <c r="S693" s="8">
        <v>2</v>
      </c>
      <c r="T693" s="12">
        <v>1</v>
      </c>
      <c r="U693" s="8" t="s">
        <v>194</v>
      </c>
      <c r="V693" s="2">
        <v>45692</v>
      </c>
      <c r="W693" s="2">
        <v>45692</v>
      </c>
      <c r="X693" s="2">
        <v>45693</v>
      </c>
      <c r="Y693" s="2">
        <v>45693</v>
      </c>
      <c r="Z693" s="2">
        <v>45693</v>
      </c>
      <c r="AB693">
        <v>8309</v>
      </c>
      <c r="AC693">
        <v>69091</v>
      </c>
      <c r="AD693" t="s">
        <v>443</v>
      </c>
      <c r="AE693" s="2">
        <v>45693</v>
      </c>
      <c r="AF693">
        <v>4</v>
      </c>
      <c r="AG693" s="17">
        <v>0.16666666666666599</v>
      </c>
      <c r="AH693" s="2">
        <v>45696</v>
      </c>
    </row>
    <row r="694" spans="1:34" hidden="1" x14ac:dyDescent="0.25">
      <c r="A694" s="12">
        <v>8309</v>
      </c>
      <c r="B694" s="12">
        <v>0</v>
      </c>
      <c r="C694" t="s">
        <v>292</v>
      </c>
      <c r="D694">
        <v>247417</v>
      </c>
      <c r="E694" s="8" t="s">
        <v>156</v>
      </c>
      <c r="F694" s="12">
        <v>21</v>
      </c>
      <c r="G694" s="8" t="s">
        <v>44</v>
      </c>
      <c r="H694" s="12">
        <v>3202</v>
      </c>
      <c r="I694" t="s">
        <v>49</v>
      </c>
      <c r="K694" t="s">
        <v>63</v>
      </c>
      <c r="L694">
        <v>4</v>
      </c>
      <c r="M694" t="s">
        <v>207</v>
      </c>
      <c r="N694" s="12">
        <v>1</v>
      </c>
      <c r="O694" s="8" t="s">
        <v>193</v>
      </c>
      <c r="P694">
        <v>1</v>
      </c>
      <c r="Q694" s="8">
        <v>1</v>
      </c>
      <c r="R694" s="12">
        <v>2</v>
      </c>
      <c r="S694" s="8">
        <v>2</v>
      </c>
      <c r="T694" s="12">
        <v>1</v>
      </c>
      <c r="U694" s="8" t="s">
        <v>194</v>
      </c>
      <c r="V694" s="2">
        <v>45692</v>
      </c>
      <c r="W694" s="2">
        <v>45692</v>
      </c>
      <c r="X694" s="2">
        <v>45693</v>
      </c>
      <c r="Y694" s="2">
        <v>45693</v>
      </c>
      <c r="Z694" s="2">
        <v>45693</v>
      </c>
      <c r="AB694">
        <v>8309</v>
      </c>
      <c r="AC694">
        <v>69090</v>
      </c>
      <c r="AD694" t="s">
        <v>895</v>
      </c>
      <c r="AE694" s="2">
        <v>45693</v>
      </c>
      <c r="AF694">
        <v>2</v>
      </c>
      <c r="AG694" s="17">
        <v>8.3333333333333301E-2</v>
      </c>
      <c r="AH694" s="2">
        <v>45696</v>
      </c>
    </row>
    <row r="695" spans="1:34" hidden="1" x14ac:dyDescent="0.25">
      <c r="A695" s="12">
        <v>8309</v>
      </c>
      <c r="B695" s="12">
        <v>0</v>
      </c>
      <c r="C695" t="s">
        <v>292</v>
      </c>
      <c r="D695">
        <v>247417</v>
      </c>
      <c r="E695" s="8" t="s">
        <v>156</v>
      </c>
      <c r="F695" s="12">
        <v>21</v>
      </c>
      <c r="G695" s="8" t="s">
        <v>44</v>
      </c>
      <c r="H695" s="12">
        <v>3202</v>
      </c>
      <c r="I695" t="s">
        <v>49</v>
      </c>
      <c r="K695" t="s">
        <v>63</v>
      </c>
      <c r="L695">
        <v>4</v>
      </c>
      <c r="M695" t="s">
        <v>207</v>
      </c>
      <c r="N695" s="12">
        <v>1</v>
      </c>
      <c r="O695" s="8" t="s">
        <v>193</v>
      </c>
      <c r="P695">
        <v>1</v>
      </c>
      <c r="Q695" s="8">
        <v>1</v>
      </c>
      <c r="R695" s="12">
        <v>2</v>
      </c>
      <c r="S695" s="8">
        <v>2</v>
      </c>
      <c r="T695" s="12">
        <v>1</v>
      </c>
      <c r="U695" s="8" t="s">
        <v>194</v>
      </c>
      <c r="V695" s="2">
        <v>45692</v>
      </c>
      <c r="W695" s="2">
        <v>45692</v>
      </c>
      <c r="X695" s="2">
        <v>45693</v>
      </c>
      <c r="Y695" s="2">
        <v>45693</v>
      </c>
      <c r="Z695" s="2">
        <v>45693</v>
      </c>
      <c r="AB695">
        <v>8309</v>
      </c>
      <c r="AC695">
        <v>69089</v>
      </c>
      <c r="AD695" t="s">
        <v>896</v>
      </c>
      <c r="AE695" s="2">
        <v>45692</v>
      </c>
      <c r="AF695">
        <v>3</v>
      </c>
      <c r="AG695" s="17">
        <v>0.125</v>
      </c>
      <c r="AH695" s="2">
        <v>45696</v>
      </c>
    </row>
    <row r="696" spans="1:34" hidden="1" x14ac:dyDescent="0.25">
      <c r="A696" s="12">
        <v>8549</v>
      </c>
      <c r="B696" s="12">
        <v>0</v>
      </c>
      <c r="C696" t="s">
        <v>386</v>
      </c>
      <c r="D696">
        <v>289006</v>
      </c>
      <c r="E696" s="8" t="s">
        <v>241</v>
      </c>
      <c r="F696" s="12">
        <v>21</v>
      </c>
      <c r="G696" s="8" t="s">
        <v>44</v>
      </c>
      <c r="H696" s="12">
        <v>3204</v>
      </c>
      <c r="I696" t="s">
        <v>52</v>
      </c>
      <c r="J696" t="s">
        <v>62</v>
      </c>
      <c r="K696" t="s">
        <v>101</v>
      </c>
      <c r="L696">
        <v>4</v>
      </c>
      <c r="M696" t="s">
        <v>207</v>
      </c>
      <c r="N696" s="12">
        <v>2</v>
      </c>
      <c r="O696" s="8" t="s">
        <v>158</v>
      </c>
      <c r="P696">
        <v>2</v>
      </c>
      <c r="Q696" s="8">
        <v>2</v>
      </c>
      <c r="R696" s="12"/>
      <c r="S696" s="8"/>
      <c r="T696" s="12"/>
      <c r="U696" s="8"/>
      <c r="V696" s="2">
        <v>45726</v>
      </c>
      <c r="W696" s="2">
        <v>45726</v>
      </c>
      <c r="X696" s="2">
        <v>45726</v>
      </c>
      <c r="Y696" s="2">
        <v>45726</v>
      </c>
      <c r="Z696" s="2">
        <v>45726</v>
      </c>
      <c r="AB696">
        <v>8549</v>
      </c>
      <c r="AC696">
        <v>76989</v>
      </c>
      <c r="AD696" t="s">
        <v>345</v>
      </c>
      <c r="AE696" s="2">
        <v>45726</v>
      </c>
      <c r="AF696">
        <v>3</v>
      </c>
      <c r="AG696" s="17">
        <v>0.125</v>
      </c>
      <c r="AH696" s="2">
        <v>45726</v>
      </c>
    </row>
    <row r="697" spans="1:34" hidden="1" x14ac:dyDescent="0.25">
      <c r="A697" s="12">
        <v>8468</v>
      </c>
      <c r="B697" s="12">
        <v>0</v>
      </c>
      <c r="C697" t="s">
        <v>283</v>
      </c>
      <c r="D697">
        <v>247541</v>
      </c>
      <c r="E697" s="8" t="s">
        <v>72</v>
      </c>
      <c r="F697" s="12">
        <v>21</v>
      </c>
      <c r="G697" s="8" t="s">
        <v>44</v>
      </c>
      <c r="H697" s="12">
        <v>3198</v>
      </c>
      <c r="I697" t="s">
        <v>43</v>
      </c>
      <c r="J697" t="s">
        <v>62</v>
      </c>
      <c r="K697" t="s">
        <v>101</v>
      </c>
      <c r="L697">
        <v>1</v>
      </c>
      <c r="M697" t="s">
        <v>198</v>
      </c>
      <c r="N697" s="12">
        <v>1</v>
      </c>
      <c r="O697" s="8" t="s">
        <v>193</v>
      </c>
      <c r="P697">
        <v>3</v>
      </c>
      <c r="Q697" s="8">
        <v>3</v>
      </c>
      <c r="R697" s="12">
        <v>3</v>
      </c>
      <c r="S697" s="8">
        <v>3</v>
      </c>
      <c r="T697" s="12"/>
      <c r="U697" s="8"/>
      <c r="V697" s="2">
        <v>45707</v>
      </c>
      <c r="W697" s="2">
        <v>45712</v>
      </c>
      <c r="X697" s="2">
        <v>45712</v>
      </c>
      <c r="Y697" s="2"/>
      <c r="Z697" s="2">
        <v>45716</v>
      </c>
      <c r="AE697" s="2"/>
      <c r="AG697" s="17"/>
      <c r="AH697" s="2"/>
    </row>
    <row r="698" spans="1:34" hidden="1" x14ac:dyDescent="0.25">
      <c r="A698" s="12">
        <v>8277</v>
      </c>
      <c r="B698" s="12">
        <v>336</v>
      </c>
      <c r="C698" t="s">
        <v>294</v>
      </c>
      <c r="E698" s="8"/>
      <c r="F698" s="12">
        <v>21</v>
      </c>
      <c r="G698" s="8" t="s">
        <v>44</v>
      </c>
      <c r="H698" s="12">
        <v>3203</v>
      </c>
      <c r="I698" t="s">
        <v>47</v>
      </c>
      <c r="J698" t="s">
        <v>62</v>
      </c>
      <c r="K698" t="s">
        <v>63</v>
      </c>
      <c r="N698" s="12"/>
      <c r="O698" s="8"/>
      <c r="P698">
        <v>3</v>
      </c>
      <c r="Q698" s="8">
        <v>3</v>
      </c>
      <c r="R698" s="12">
        <v>2</v>
      </c>
      <c r="S698" s="8">
        <v>2</v>
      </c>
      <c r="T698" s="12"/>
      <c r="U698" s="8"/>
      <c r="V698" s="2">
        <v>45658</v>
      </c>
      <c r="W698" s="2">
        <v>1</v>
      </c>
      <c r="X698" s="2">
        <v>45716</v>
      </c>
      <c r="Y698" s="2">
        <v>45716</v>
      </c>
      <c r="Z698" s="2"/>
      <c r="AA698" t="s">
        <v>295</v>
      </c>
      <c r="AB698">
        <v>8277</v>
      </c>
      <c r="AC698">
        <v>71501</v>
      </c>
      <c r="AD698" t="s">
        <v>345</v>
      </c>
      <c r="AE698" s="2">
        <v>45706</v>
      </c>
      <c r="AF698">
        <v>5</v>
      </c>
      <c r="AG698" s="17">
        <v>0.20833333333333301</v>
      </c>
      <c r="AH698" s="2">
        <v>45706</v>
      </c>
    </row>
    <row r="699" spans="1:34" hidden="1" x14ac:dyDescent="0.25">
      <c r="A699" s="12">
        <v>8277</v>
      </c>
      <c r="B699" s="12">
        <v>336</v>
      </c>
      <c r="C699" t="s">
        <v>294</v>
      </c>
      <c r="E699" s="8"/>
      <c r="F699" s="12">
        <v>21</v>
      </c>
      <c r="G699" s="8" t="s">
        <v>44</v>
      </c>
      <c r="H699" s="12">
        <v>3203</v>
      </c>
      <c r="I699" t="s">
        <v>47</v>
      </c>
      <c r="K699" t="s">
        <v>63</v>
      </c>
      <c r="N699" s="12"/>
      <c r="O699" s="8"/>
      <c r="P699">
        <v>3</v>
      </c>
      <c r="Q699" s="8">
        <v>3</v>
      </c>
      <c r="R699" s="12">
        <v>2</v>
      </c>
      <c r="S699" s="8">
        <v>2</v>
      </c>
      <c r="T699" s="12"/>
      <c r="U699" s="8"/>
      <c r="V699" s="2">
        <v>45658</v>
      </c>
      <c r="W699" s="2">
        <v>1</v>
      </c>
      <c r="X699" s="2">
        <v>45716</v>
      </c>
      <c r="Y699" s="2">
        <v>45716</v>
      </c>
      <c r="Z699" s="2"/>
      <c r="AA699" t="s">
        <v>295</v>
      </c>
      <c r="AB699">
        <v>8277</v>
      </c>
      <c r="AC699">
        <v>71387</v>
      </c>
      <c r="AD699" t="s">
        <v>345</v>
      </c>
      <c r="AE699" s="2">
        <v>45705</v>
      </c>
      <c r="AF699">
        <v>2</v>
      </c>
      <c r="AG699" s="17">
        <v>8.3333333333333301E-2</v>
      </c>
      <c r="AH699" s="2">
        <v>45705</v>
      </c>
    </row>
    <row r="700" spans="1:34" hidden="1" x14ac:dyDescent="0.25">
      <c r="A700" s="12">
        <v>8277</v>
      </c>
      <c r="B700" s="12">
        <v>336</v>
      </c>
      <c r="C700" t="s">
        <v>294</v>
      </c>
      <c r="E700" s="8"/>
      <c r="F700" s="12">
        <v>21</v>
      </c>
      <c r="G700" s="8" t="s">
        <v>44</v>
      </c>
      <c r="H700" s="12">
        <v>3203</v>
      </c>
      <c r="I700" t="s">
        <v>47</v>
      </c>
      <c r="K700" t="s">
        <v>63</v>
      </c>
      <c r="N700" s="12"/>
      <c r="O700" s="8"/>
      <c r="P700">
        <v>3</v>
      </c>
      <c r="Q700" s="8">
        <v>3</v>
      </c>
      <c r="R700" s="12">
        <v>2</v>
      </c>
      <c r="S700" s="8">
        <v>2</v>
      </c>
      <c r="T700" s="12"/>
      <c r="U700" s="8"/>
      <c r="V700" s="2">
        <v>45658</v>
      </c>
      <c r="W700" s="2">
        <v>1</v>
      </c>
      <c r="X700" s="2">
        <v>45716</v>
      </c>
      <c r="Y700" s="2">
        <v>45716</v>
      </c>
      <c r="Z700" s="2"/>
      <c r="AA700" t="s">
        <v>295</v>
      </c>
      <c r="AB700">
        <v>8277</v>
      </c>
      <c r="AC700">
        <v>69258</v>
      </c>
      <c r="AD700" t="s">
        <v>345</v>
      </c>
      <c r="AE700" s="2">
        <v>45698</v>
      </c>
      <c r="AF700">
        <v>1</v>
      </c>
      <c r="AG700" s="17">
        <v>4.1666666666666602E-2</v>
      </c>
      <c r="AH700" s="2">
        <v>45698</v>
      </c>
    </row>
    <row r="701" spans="1:34" hidden="1" x14ac:dyDescent="0.25">
      <c r="A701" s="12">
        <v>8277</v>
      </c>
      <c r="B701" s="12">
        <v>336</v>
      </c>
      <c r="C701" t="s">
        <v>294</v>
      </c>
      <c r="E701" s="8"/>
      <c r="F701" s="12">
        <v>21</v>
      </c>
      <c r="G701" s="8" t="s">
        <v>44</v>
      </c>
      <c r="H701" s="12">
        <v>3203</v>
      </c>
      <c r="I701" t="s">
        <v>47</v>
      </c>
      <c r="K701" t="s">
        <v>63</v>
      </c>
      <c r="N701" s="12"/>
      <c r="O701" s="8"/>
      <c r="P701">
        <v>3</v>
      </c>
      <c r="Q701" s="8">
        <v>3</v>
      </c>
      <c r="R701" s="12">
        <v>2</v>
      </c>
      <c r="S701" s="8">
        <v>2</v>
      </c>
      <c r="T701" s="12"/>
      <c r="U701" s="8"/>
      <c r="V701" s="2">
        <v>45658</v>
      </c>
      <c r="W701" s="2">
        <v>1</v>
      </c>
      <c r="X701" s="2">
        <v>45716</v>
      </c>
      <c r="Y701" s="2">
        <v>45716</v>
      </c>
      <c r="Z701" s="2"/>
      <c r="AA701" t="s">
        <v>295</v>
      </c>
      <c r="AB701">
        <v>8277</v>
      </c>
      <c r="AC701">
        <v>68238</v>
      </c>
      <c r="AD701" t="s">
        <v>345</v>
      </c>
      <c r="AE701" s="2">
        <v>45694</v>
      </c>
      <c r="AF701">
        <v>4</v>
      </c>
      <c r="AG701" s="17">
        <v>0.16666666666666599</v>
      </c>
      <c r="AH701" s="2">
        <v>45694</v>
      </c>
    </row>
    <row r="702" spans="1:34" hidden="1" x14ac:dyDescent="0.25">
      <c r="A702" s="12">
        <v>8301</v>
      </c>
      <c r="B702" s="12">
        <v>366</v>
      </c>
      <c r="C702" t="s">
        <v>252</v>
      </c>
      <c r="E702" s="8"/>
      <c r="F702" s="12">
        <v>21</v>
      </c>
      <c r="G702" s="8" t="s">
        <v>44</v>
      </c>
      <c r="H702" s="12">
        <v>195</v>
      </c>
      <c r="I702" t="s">
        <v>346</v>
      </c>
      <c r="J702" t="s">
        <v>62</v>
      </c>
      <c r="K702" t="s">
        <v>101</v>
      </c>
      <c r="N702" s="12"/>
      <c r="O702" s="8"/>
      <c r="Q702" s="8"/>
      <c r="R702" s="12">
        <v>1</v>
      </c>
      <c r="S702" s="8">
        <v>1</v>
      </c>
      <c r="T702" s="12"/>
      <c r="U702" s="8"/>
      <c r="V702" s="2">
        <v>45658</v>
      </c>
      <c r="W702" s="2">
        <v>1</v>
      </c>
      <c r="X702" s="2">
        <v>45688</v>
      </c>
      <c r="Y702" s="2">
        <v>45688</v>
      </c>
      <c r="Z702" s="2"/>
      <c r="AB702">
        <v>8301</v>
      </c>
      <c r="AC702">
        <v>70172</v>
      </c>
      <c r="AD702" t="s">
        <v>446</v>
      </c>
      <c r="AE702" s="2">
        <v>45700</v>
      </c>
      <c r="AF702">
        <v>1</v>
      </c>
      <c r="AG702" s="17">
        <v>4.1666666666666602E-2</v>
      </c>
      <c r="AH702" s="2">
        <v>45701</v>
      </c>
    </row>
    <row r="703" spans="1:34" hidden="1" x14ac:dyDescent="0.25">
      <c r="A703" s="12">
        <v>8447</v>
      </c>
      <c r="B703" s="12">
        <v>0</v>
      </c>
      <c r="C703" t="s">
        <v>291</v>
      </c>
      <c r="D703">
        <v>289030</v>
      </c>
      <c r="E703" s="8" t="s">
        <v>197</v>
      </c>
      <c r="F703" s="12">
        <v>21</v>
      </c>
      <c r="G703" s="8" t="s">
        <v>44</v>
      </c>
      <c r="H703" s="12">
        <v>3198</v>
      </c>
      <c r="I703" t="s">
        <v>43</v>
      </c>
      <c r="J703" t="s">
        <v>62</v>
      </c>
      <c r="K703" t="s">
        <v>101</v>
      </c>
      <c r="L703">
        <v>3</v>
      </c>
      <c r="M703" t="s">
        <v>192</v>
      </c>
      <c r="N703" s="12">
        <v>1</v>
      </c>
      <c r="O703" s="8" t="s">
        <v>193</v>
      </c>
      <c r="P703">
        <v>2</v>
      </c>
      <c r="Q703" s="8">
        <v>2</v>
      </c>
      <c r="R703" s="12">
        <v>1</v>
      </c>
      <c r="S703" s="8">
        <v>1</v>
      </c>
      <c r="T703" s="12">
        <v>1</v>
      </c>
      <c r="U703" s="8" t="s">
        <v>194</v>
      </c>
      <c r="V703" s="2">
        <v>45705</v>
      </c>
      <c r="W703" s="2">
        <v>45705</v>
      </c>
      <c r="X703" s="2">
        <v>45705</v>
      </c>
      <c r="Y703" s="2"/>
      <c r="Z703" s="2"/>
      <c r="AE703" s="2"/>
      <c r="AG703" s="17"/>
      <c r="AH703" s="2"/>
    </row>
    <row r="704" spans="1:34" hidden="1" x14ac:dyDescent="0.25">
      <c r="A704" s="12">
        <v>8521</v>
      </c>
      <c r="B704" s="12">
        <v>0</v>
      </c>
      <c r="C704" t="s">
        <v>425</v>
      </c>
      <c r="D704">
        <v>289036</v>
      </c>
      <c r="E704" s="8" t="s">
        <v>280</v>
      </c>
      <c r="F704" s="12">
        <v>21</v>
      </c>
      <c r="G704" s="8" t="s">
        <v>44</v>
      </c>
      <c r="H704" s="12">
        <v>3204</v>
      </c>
      <c r="I704" t="s">
        <v>52</v>
      </c>
      <c r="J704" t="s">
        <v>62</v>
      </c>
      <c r="K704" t="s">
        <v>101</v>
      </c>
      <c r="L704">
        <v>4</v>
      </c>
      <c r="M704" t="s">
        <v>207</v>
      </c>
      <c r="N704" s="12">
        <v>1</v>
      </c>
      <c r="O704" s="8" t="s">
        <v>193</v>
      </c>
      <c r="P704">
        <v>2</v>
      </c>
      <c r="Q704" s="8">
        <v>2</v>
      </c>
      <c r="R704" s="12"/>
      <c r="S704" s="8"/>
      <c r="T704" s="12"/>
      <c r="U704" s="8"/>
      <c r="V704" s="2">
        <v>45694</v>
      </c>
      <c r="W704" s="2">
        <v>45694</v>
      </c>
      <c r="X704" s="2">
        <v>45695</v>
      </c>
      <c r="Y704" s="2">
        <v>45695</v>
      </c>
      <c r="Z704" s="2">
        <v>45695</v>
      </c>
      <c r="AB704">
        <v>8521</v>
      </c>
      <c r="AC704">
        <v>75558</v>
      </c>
      <c r="AD704" t="s">
        <v>345</v>
      </c>
      <c r="AE704" s="2">
        <v>45695</v>
      </c>
      <c r="AF704">
        <v>1</v>
      </c>
      <c r="AG704" s="17">
        <v>4.1666666666666602E-2</v>
      </c>
      <c r="AH704" s="2">
        <v>45721</v>
      </c>
    </row>
    <row r="705" spans="1:34" hidden="1" x14ac:dyDescent="0.25">
      <c r="A705" s="12">
        <v>8521</v>
      </c>
      <c r="B705" s="12">
        <v>0</v>
      </c>
      <c r="C705" t="s">
        <v>425</v>
      </c>
      <c r="D705">
        <v>289036</v>
      </c>
      <c r="E705" s="8" t="s">
        <v>280</v>
      </c>
      <c r="F705" s="12">
        <v>21</v>
      </c>
      <c r="G705" s="8" t="s">
        <v>44</v>
      </c>
      <c r="H705" s="12">
        <v>3204</v>
      </c>
      <c r="I705" t="s">
        <v>52</v>
      </c>
      <c r="K705" t="s">
        <v>101</v>
      </c>
      <c r="L705">
        <v>4</v>
      </c>
      <c r="M705" t="s">
        <v>207</v>
      </c>
      <c r="N705" s="12">
        <v>1</v>
      </c>
      <c r="O705" s="8" t="s">
        <v>193</v>
      </c>
      <c r="P705">
        <v>2</v>
      </c>
      <c r="Q705" s="8">
        <v>2</v>
      </c>
      <c r="R705" s="12"/>
      <c r="S705" s="8"/>
      <c r="T705" s="12"/>
      <c r="U705" s="8"/>
      <c r="V705" s="2">
        <v>45694</v>
      </c>
      <c r="W705" s="2">
        <v>45694</v>
      </c>
      <c r="X705" s="2">
        <v>45695</v>
      </c>
      <c r="Y705" s="2">
        <v>45695</v>
      </c>
      <c r="Z705" s="2">
        <v>45695</v>
      </c>
      <c r="AB705">
        <v>8521</v>
      </c>
      <c r="AC705">
        <v>75557</v>
      </c>
      <c r="AD705" t="s">
        <v>345</v>
      </c>
      <c r="AE705" s="2">
        <v>45694</v>
      </c>
      <c r="AF705">
        <v>1</v>
      </c>
      <c r="AG705" s="17">
        <v>4.1666666666666602E-2</v>
      </c>
      <c r="AH705" s="2">
        <v>45721</v>
      </c>
    </row>
    <row r="706" spans="1:34" hidden="1" x14ac:dyDescent="0.25">
      <c r="A706" s="12">
        <v>8336</v>
      </c>
      <c r="B706" s="12">
        <v>0</v>
      </c>
      <c r="C706" t="s">
        <v>298</v>
      </c>
      <c r="D706">
        <v>247897</v>
      </c>
      <c r="E706" s="8" t="s">
        <v>231</v>
      </c>
      <c r="F706" s="12">
        <v>21</v>
      </c>
      <c r="G706" s="8" t="s">
        <v>44</v>
      </c>
      <c r="H706" s="12">
        <v>3202</v>
      </c>
      <c r="I706" t="s">
        <v>49</v>
      </c>
      <c r="J706" t="s">
        <v>62</v>
      </c>
      <c r="K706" t="s">
        <v>101</v>
      </c>
      <c r="L706">
        <v>4</v>
      </c>
      <c r="M706" t="s">
        <v>207</v>
      </c>
      <c r="N706" s="12">
        <v>1</v>
      </c>
      <c r="O706" s="8" t="s">
        <v>193</v>
      </c>
      <c r="P706">
        <v>2</v>
      </c>
      <c r="Q706" s="8">
        <v>2</v>
      </c>
      <c r="R706" s="12">
        <v>2</v>
      </c>
      <c r="S706" s="8">
        <v>2</v>
      </c>
      <c r="T706" s="12">
        <v>1</v>
      </c>
      <c r="U706" s="8" t="s">
        <v>194</v>
      </c>
      <c r="V706" s="2">
        <v>45701</v>
      </c>
      <c r="W706" s="2">
        <v>45701</v>
      </c>
      <c r="X706" s="2">
        <v>45701</v>
      </c>
      <c r="Y706" s="2">
        <v>45701</v>
      </c>
      <c r="Z706" s="2">
        <v>45701</v>
      </c>
      <c r="AB706">
        <v>8336</v>
      </c>
      <c r="AC706">
        <v>70826</v>
      </c>
      <c r="AD706" t="s">
        <v>448</v>
      </c>
      <c r="AE706" s="2">
        <v>45701</v>
      </c>
      <c r="AF706">
        <v>0.5</v>
      </c>
      <c r="AG706" s="17">
        <v>2.0833333333333301E-2</v>
      </c>
      <c r="AH706" s="2">
        <v>45702</v>
      </c>
    </row>
    <row r="707" spans="1:34" hidden="1" x14ac:dyDescent="0.25">
      <c r="A707" s="12">
        <v>8260</v>
      </c>
      <c r="B707" s="12">
        <v>299</v>
      </c>
      <c r="C707" t="s">
        <v>302</v>
      </c>
      <c r="E707" s="8"/>
      <c r="F707" s="12">
        <v>21</v>
      </c>
      <c r="G707" s="8" t="s">
        <v>44</v>
      </c>
      <c r="H707" s="12">
        <v>3202</v>
      </c>
      <c r="I707" t="s">
        <v>49</v>
      </c>
      <c r="J707" t="s">
        <v>62</v>
      </c>
      <c r="K707" t="s">
        <v>63</v>
      </c>
      <c r="N707" s="12"/>
      <c r="O707" s="8"/>
      <c r="P707">
        <v>1</v>
      </c>
      <c r="Q707" s="8">
        <v>1</v>
      </c>
      <c r="R707" s="12">
        <v>1</v>
      </c>
      <c r="S707" s="8">
        <v>1</v>
      </c>
      <c r="T707" s="12"/>
      <c r="U707" s="8"/>
      <c r="V707" s="2">
        <v>45658</v>
      </c>
      <c r="W707" s="2">
        <v>1</v>
      </c>
      <c r="X707" s="2">
        <v>45702</v>
      </c>
      <c r="Y707" s="2">
        <v>45702</v>
      </c>
      <c r="Z707" s="2">
        <v>45708</v>
      </c>
      <c r="AE707" s="2"/>
      <c r="AG707" s="17"/>
      <c r="AH707" s="2"/>
    </row>
    <row r="708" spans="1:34" hidden="1" x14ac:dyDescent="0.25">
      <c r="A708" s="12">
        <v>8478</v>
      </c>
      <c r="B708" s="12">
        <v>0</v>
      </c>
      <c r="C708" t="s">
        <v>297</v>
      </c>
      <c r="D708">
        <v>247541</v>
      </c>
      <c r="E708" s="8" t="s">
        <v>72</v>
      </c>
      <c r="F708" s="12">
        <v>21</v>
      </c>
      <c r="G708" s="8" t="s">
        <v>44</v>
      </c>
      <c r="H708" s="12">
        <v>3198</v>
      </c>
      <c r="I708" t="s">
        <v>43</v>
      </c>
      <c r="J708" t="s">
        <v>62</v>
      </c>
      <c r="K708" t="s">
        <v>101</v>
      </c>
      <c r="L708">
        <v>1</v>
      </c>
      <c r="M708" t="s">
        <v>198</v>
      </c>
      <c r="N708" s="12">
        <v>1</v>
      </c>
      <c r="O708" s="8" t="s">
        <v>193</v>
      </c>
      <c r="P708">
        <v>3</v>
      </c>
      <c r="Q708" s="8">
        <v>3</v>
      </c>
      <c r="R708" s="12">
        <v>3</v>
      </c>
      <c r="S708" s="8">
        <v>3</v>
      </c>
      <c r="T708" s="12">
        <v>1</v>
      </c>
      <c r="U708" s="8" t="s">
        <v>194</v>
      </c>
      <c r="V708" s="2">
        <v>45707</v>
      </c>
      <c r="W708" s="2">
        <v>45709</v>
      </c>
      <c r="X708" s="2">
        <v>45714</v>
      </c>
      <c r="Y708" s="2"/>
      <c r="Z708" s="2"/>
      <c r="AB708">
        <v>8478</v>
      </c>
      <c r="AC708">
        <v>72710</v>
      </c>
      <c r="AD708" t="s">
        <v>449</v>
      </c>
      <c r="AE708" s="2">
        <v>45709</v>
      </c>
      <c r="AF708">
        <v>4</v>
      </c>
      <c r="AG708" s="17">
        <v>0.16666666666666599</v>
      </c>
      <c r="AH708" s="2">
        <v>45709</v>
      </c>
    </row>
    <row r="709" spans="1:34" hidden="1" x14ac:dyDescent="0.25">
      <c r="A709" s="12">
        <v>8520</v>
      </c>
      <c r="B709" s="12">
        <v>0</v>
      </c>
      <c r="C709" t="s">
        <v>433</v>
      </c>
      <c r="D709">
        <v>246862</v>
      </c>
      <c r="E709" s="8" t="s">
        <v>434</v>
      </c>
      <c r="F709" s="12">
        <v>21</v>
      </c>
      <c r="G709" s="8" t="s">
        <v>44</v>
      </c>
      <c r="H709" s="12">
        <v>3204</v>
      </c>
      <c r="I709" t="s">
        <v>52</v>
      </c>
      <c r="J709" t="s">
        <v>62</v>
      </c>
      <c r="K709" t="s">
        <v>101</v>
      </c>
      <c r="L709">
        <v>2</v>
      </c>
      <c r="M709" t="s">
        <v>157</v>
      </c>
      <c r="N709" s="12">
        <v>2</v>
      </c>
      <c r="O709" s="8" t="s">
        <v>158</v>
      </c>
      <c r="P709">
        <v>2</v>
      </c>
      <c r="Q709" s="8">
        <v>2</v>
      </c>
      <c r="R709" s="12"/>
      <c r="S709" s="8"/>
      <c r="T709" s="12"/>
      <c r="U709" s="8"/>
      <c r="V709" s="2">
        <v>45693</v>
      </c>
      <c r="W709" s="2">
        <v>45693</v>
      </c>
      <c r="X709" s="2">
        <v>45693</v>
      </c>
      <c r="Y709" s="2">
        <v>45693</v>
      </c>
      <c r="Z709" s="2">
        <v>45693</v>
      </c>
      <c r="AB709">
        <v>8520</v>
      </c>
      <c r="AC709">
        <v>75552</v>
      </c>
      <c r="AD709" t="s">
        <v>345</v>
      </c>
      <c r="AE709" s="2">
        <v>45693</v>
      </c>
      <c r="AF709">
        <v>1.5</v>
      </c>
      <c r="AG709" s="17">
        <v>6.25E-2</v>
      </c>
      <c r="AH709" s="2">
        <v>45721</v>
      </c>
    </row>
    <row r="710" spans="1:34" hidden="1" x14ac:dyDescent="0.25">
      <c r="A710" s="12">
        <v>8334</v>
      </c>
      <c r="B710" s="12">
        <v>0</v>
      </c>
      <c r="C710" t="s">
        <v>281</v>
      </c>
      <c r="D710">
        <v>247857</v>
      </c>
      <c r="E710" s="8" t="s">
        <v>66</v>
      </c>
      <c r="F710" s="12">
        <v>21</v>
      </c>
      <c r="G710" s="8" t="s">
        <v>44</v>
      </c>
      <c r="H710" s="12">
        <v>195</v>
      </c>
      <c r="I710" t="s">
        <v>346</v>
      </c>
      <c r="J710" t="s">
        <v>62</v>
      </c>
      <c r="K710" t="s">
        <v>101</v>
      </c>
      <c r="L710">
        <v>2</v>
      </c>
      <c r="M710" t="s">
        <v>157</v>
      </c>
      <c r="N710" s="12">
        <v>2</v>
      </c>
      <c r="O710" s="8" t="s">
        <v>158</v>
      </c>
      <c r="P710">
        <v>2</v>
      </c>
      <c r="Q710" s="8">
        <v>2</v>
      </c>
      <c r="R710" s="12">
        <v>2</v>
      </c>
      <c r="S710" s="8">
        <v>2</v>
      </c>
      <c r="T710" s="12">
        <v>2</v>
      </c>
      <c r="U710" s="8" t="s">
        <v>199</v>
      </c>
      <c r="V710" s="2">
        <v>45689</v>
      </c>
      <c r="W710" s="2">
        <v>45689</v>
      </c>
      <c r="X710" s="2">
        <v>45702</v>
      </c>
      <c r="Y710" s="2">
        <v>45702</v>
      </c>
      <c r="Z710" s="2"/>
      <c r="AA710" t="s">
        <v>282</v>
      </c>
      <c r="AB710">
        <v>8334</v>
      </c>
      <c r="AC710">
        <v>70181</v>
      </c>
      <c r="AD710" t="s">
        <v>361</v>
      </c>
      <c r="AE710" s="2">
        <v>45701</v>
      </c>
      <c r="AF710">
        <v>1</v>
      </c>
      <c r="AG710" s="17">
        <v>4.1666666666666602E-2</v>
      </c>
      <c r="AH710" s="2">
        <v>45701</v>
      </c>
    </row>
    <row r="711" spans="1:34" hidden="1" x14ac:dyDescent="0.25">
      <c r="A711" s="12">
        <v>8334</v>
      </c>
      <c r="B711" s="12">
        <v>0</v>
      </c>
      <c r="C711" t="s">
        <v>281</v>
      </c>
      <c r="D711">
        <v>247857</v>
      </c>
      <c r="E711" s="8" t="s">
        <v>66</v>
      </c>
      <c r="F711" s="12">
        <v>21</v>
      </c>
      <c r="G711" s="8" t="s">
        <v>44</v>
      </c>
      <c r="H711" s="12">
        <v>195</v>
      </c>
      <c r="I711" t="s">
        <v>346</v>
      </c>
      <c r="K711" t="s">
        <v>101</v>
      </c>
      <c r="L711">
        <v>2</v>
      </c>
      <c r="M711" t="s">
        <v>157</v>
      </c>
      <c r="N711" s="12">
        <v>2</v>
      </c>
      <c r="O711" s="8" t="s">
        <v>158</v>
      </c>
      <c r="P711">
        <v>2</v>
      </c>
      <c r="Q711" s="8">
        <v>2</v>
      </c>
      <c r="R711" s="12">
        <v>2</v>
      </c>
      <c r="S711" s="8">
        <v>2</v>
      </c>
      <c r="T711" s="12">
        <v>2</v>
      </c>
      <c r="U711" s="8" t="s">
        <v>199</v>
      </c>
      <c r="V711" s="2">
        <v>45689</v>
      </c>
      <c r="W711" s="2">
        <v>45689</v>
      </c>
      <c r="X711" s="2">
        <v>45702</v>
      </c>
      <c r="Y711" s="2">
        <v>45702</v>
      </c>
      <c r="Z711" s="2"/>
      <c r="AA711" t="s">
        <v>282</v>
      </c>
      <c r="AB711">
        <v>8334</v>
      </c>
      <c r="AC711">
        <v>70177</v>
      </c>
      <c r="AD711" t="s">
        <v>898</v>
      </c>
      <c r="AE711" s="2">
        <v>45700</v>
      </c>
      <c r="AF711">
        <v>4</v>
      </c>
      <c r="AG711" s="17">
        <v>0.16666666666666599</v>
      </c>
      <c r="AH711" s="2">
        <v>45701</v>
      </c>
    </row>
    <row r="712" spans="1:34" hidden="1" x14ac:dyDescent="0.25">
      <c r="A712" s="12">
        <v>8334</v>
      </c>
      <c r="B712" s="12">
        <v>0</v>
      </c>
      <c r="C712" t="s">
        <v>281</v>
      </c>
      <c r="D712">
        <v>247857</v>
      </c>
      <c r="E712" s="8" t="s">
        <v>66</v>
      </c>
      <c r="F712" s="12">
        <v>21</v>
      </c>
      <c r="G712" s="8" t="s">
        <v>44</v>
      </c>
      <c r="H712" s="12">
        <v>195</v>
      </c>
      <c r="I712" t="s">
        <v>346</v>
      </c>
      <c r="K712" t="s">
        <v>101</v>
      </c>
      <c r="L712">
        <v>2</v>
      </c>
      <c r="M712" t="s">
        <v>157</v>
      </c>
      <c r="N712" s="12">
        <v>2</v>
      </c>
      <c r="O712" s="8" t="s">
        <v>158</v>
      </c>
      <c r="P712">
        <v>2</v>
      </c>
      <c r="Q712" s="8">
        <v>2</v>
      </c>
      <c r="R712" s="12">
        <v>2</v>
      </c>
      <c r="S712" s="8">
        <v>2</v>
      </c>
      <c r="T712" s="12">
        <v>2</v>
      </c>
      <c r="U712" s="8" t="s">
        <v>199</v>
      </c>
      <c r="V712" s="2">
        <v>45689</v>
      </c>
      <c r="W712" s="2">
        <v>45689</v>
      </c>
      <c r="X712" s="2">
        <v>45702</v>
      </c>
      <c r="Y712" s="2">
        <v>45702</v>
      </c>
      <c r="Z712" s="2"/>
      <c r="AA712" t="s">
        <v>282</v>
      </c>
      <c r="AB712">
        <v>8334</v>
      </c>
      <c r="AC712">
        <v>70176</v>
      </c>
      <c r="AD712" t="s">
        <v>899</v>
      </c>
      <c r="AE712" s="2">
        <v>45699</v>
      </c>
      <c r="AF712">
        <v>1</v>
      </c>
      <c r="AG712" s="17">
        <v>4.1666666666666602E-2</v>
      </c>
      <c r="AH712" s="2">
        <v>45701</v>
      </c>
    </row>
    <row r="713" spans="1:34" hidden="1" x14ac:dyDescent="0.25">
      <c r="A713" s="12">
        <v>8304</v>
      </c>
      <c r="B713" s="12">
        <v>332</v>
      </c>
      <c r="C713" t="s">
        <v>286</v>
      </c>
      <c r="D713">
        <v>247722</v>
      </c>
      <c r="E713" s="8" t="s">
        <v>134</v>
      </c>
      <c r="F713" s="12">
        <v>21</v>
      </c>
      <c r="G713" s="8" t="s">
        <v>44</v>
      </c>
      <c r="H713" s="12">
        <v>195</v>
      </c>
      <c r="I713" t="s">
        <v>346</v>
      </c>
      <c r="J713" t="s">
        <v>62</v>
      </c>
      <c r="K713" t="s">
        <v>63</v>
      </c>
      <c r="N713" s="12"/>
      <c r="O713" s="8"/>
      <c r="P713">
        <v>1</v>
      </c>
      <c r="Q713" s="8">
        <v>1</v>
      </c>
      <c r="R713" s="12">
        <v>2</v>
      </c>
      <c r="S713" s="8">
        <v>2</v>
      </c>
      <c r="T713" s="12"/>
      <c r="U713" s="8"/>
      <c r="V713" s="2">
        <v>45658</v>
      </c>
      <c r="W713" s="2">
        <v>1</v>
      </c>
      <c r="X713" s="2">
        <v>45702</v>
      </c>
      <c r="Y713" s="2">
        <v>45726</v>
      </c>
      <c r="Z713" s="2"/>
      <c r="AA713" t="s">
        <v>287</v>
      </c>
      <c r="AB713">
        <v>8304</v>
      </c>
      <c r="AC713">
        <v>72811</v>
      </c>
      <c r="AD713" t="s">
        <v>345</v>
      </c>
      <c r="AE713" s="2">
        <v>45709</v>
      </c>
      <c r="AF713">
        <v>0</v>
      </c>
      <c r="AG713" s="17">
        <v>0</v>
      </c>
      <c r="AH713" s="2">
        <v>45709</v>
      </c>
    </row>
    <row r="714" spans="1:34" hidden="1" x14ac:dyDescent="0.25">
      <c r="A714" s="12">
        <v>8304</v>
      </c>
      <c r="B714" s="12">
        <v>332</v>
      </c>
      <c r="C714" t="s">
        <v>286</v>
      </c>
      <c r="D714">
        <v>247722</v>
      </c>
      <c r="E714" s="8" t="s">
        <v>134</v>
      </c>
      <c r="F714" s="12">
        <v>21</v>
      </c>
      <c r="G714" s="8" t="s">
        <v>44</v>
      </c>
      <c r="H714" s="12">
        <v>195</v>
      </c>
      <c r="I714" t="s">
        <v>346</v>
      </c>
      <c r="K714" t="s">
        <v>63</v>
      </c>
      <c r="N714" s="12"/>
      <c r="O714" s="8"/>
      <c r="P714">
        <v>1</v>
      </c>
      <c r="Q714" s="8">
        <v>1</v>
      </c>
      <c r="R714" s="12">
        <v>2</v>
      </c>
      <c r="S714" s="8">
        <v>2</v>
      </c>
      <c r="T714" s="12"/>
      <c r="U714" s="8"/>
      <c r="V714" s="2">
        <v>45658</v>
      </c>
      <c r="W714" s="2">
        <v>1</v>
      </c>
      <c r="X714" s="2">
        <v>45702</v>
      </c>
      <c r="Y714" s="2">
        <v>45726</v>
      </c>
      <c r="Z714" s="2"/>
      <c r="AA714" t="s">
        <v>287</v>
      </c>
      <c r="AB714">
        <v>8304</v>
      </c>
      <c r="AC714">
        <v>72810</v>
      </c>
      <c r="AD714" t="s">
        <v>900</v>
      </c>
      <c r="AE714" s="2">
        <v>45709</v>
      </c>
      <c r="AF714">
        <v>2</v>
      </c>
      <c r="AG714" s="17">
        <v>8.3333333333333301E-2</v>
      </c>
      <c r="AH714" s="2">
        <v>45709</v>
      </c>
    </row>
    <row r="715" spans="1:34" hidden="1" x14ac:dyDescent="0.25">
      <c r="A715" s="12">
        <v>8304</v>
      </c>
      <c r="B715" s="12">
        <v>332</v>
      </c>
      <c r="C715" t="s">
        <v>286</v>
      </c>
      <c r="D715">
        <v>247722</v>
      </c>
      <c r="E715" s="8" t="s">
        <v>134</v>
      </c>
      <c r="F715" s="12">
        <v>21</v>
      </c>
      <c r="G715" s="8" t="s">
        <v>44</v>
      </c>
      <c r="H715" s="12">
        <v>195</v>
      </c>
      <c r="I715" t="s">
        <v>346</v>
      </c>
      <c r="K715" t="s">
        <v>63</v>
      </c>
      <c r="N715" s="12"/>
      <c r="O715" s="8"/>
      <c r="P715">
        <v>1</v>
      </c>
      <c r="Q715" s="8">
        <v>1</v>
      </c>
      <c r="R715" s="12">
        <v>2</v>
      </c>
      <c r="S715" s="8">
        <v>2</v>
      </c>
      <c r="T715" s="12"/>
      <c r="U715" s="8"/>
      <c r="V715" s="2">
        <v>45658</v>
      </c>
      <c r="W715" s="2">
        <v>1</v>
      </c>
      <c r="X715" s="2">
        <v>45702</v>
      </c>
      <c r="Y715" s="2">
        <v>45726</v>
      </c>
      <c r="Z715" s="2"/>
      <c r="AA715" t="s">
        <v>287</v>
      </c>
      <c r="AB715">
        <v>8304</v>
      </c>
      <c r="AC715">
        <v>72809</v>
      </c>
      <c r="AD715" t="s">
        <v>901</v>
      </c>
      <c r="AE715" s="2">
        <v>45709</v>
      </c>
      <c r="AF715">
        <v>3</v>
      </c>
      <c r="AG715" s="17">
        <v>0.125</v>
      </c>
      <c r="AH715" s="2">
        <v>45709</v>
      </c>
    </row>
    <row r="716" spans="1:34" hidden="1" x14ac:dyDescent="0.25">
      <c r="A716" s="12">
        <v>8304</v>
      </c>
      <c r="B716" s="12">
        <v>332</v>
      </c>
      <c r="C716" t="s">
        <v>286</v>
      </c>
      <c r="D716">
        <v>247722</v>
      </c>
      <c r="E716" s="8" t="s">
        <v>134</v>
      </c>
      <c r="F716" s="12">
        <v>21</v>
      </c>
      <c r="G716" s="8" t="s">
        <v>44</v>
      </c>
      <c r="H716" s="12">
        <v>195</v>
      </c>
      <c r="I716" t="s">
        <v>346</v>
      </c>
      <c r="K716" t="s">
        <v>63</v>
      </c>
      <c r="N716" s="12"/>
      <c r="O716" s="8"/>
      <c r="P716">
        <v>1</v>
      </c>
      <c r="Q716" s="8">
        <v>1</v>
      </c>
      <c r="R716" s="12">
        <v>2</v>
      </c>
      <c r="S716" s="8">
        <v>2</v>
      </c>
      <c r="T716" s="12"/>
      <c r="U716" s="8"/>
      <c r="V716" s="2">
        <v>45658</v>
      </c>
      <c r="W716" s="2">
        <v>1</v>
      </c>
      <c r="X716" s="2">
        <v>45702</v>
      </c>
      <c r="Y716" s="2">
        <v>45726</v>
      </c>
      <c r="Z716" s="2"/>
      <c r="AA716" t="s">
        <v>287</v>
      </c>
      <c r="AB716">
        <v>8304</v>
      </c>
      <c r="AC716">
        <v>72808</v>
      </c>
      <c r="AD716" t="s">
        <v>902</v>
      </c>
      <c r="AE716" s="2">
        <v>45709</v>
      </c>
      <c r="AF716">
        <v>2.5</v>
      </c>
      <c r="AG716" s="17">
        <v>0.10416666666666601</v>
      </c>
      <c r="AH716" s="2">
        <v>45709</v>
      </c>
    </row>
    <row r="717" spans="1:34" hidden="1" x14ac:dyDescent="0.25">
      <c r="A717" s="12">
        <v>8304</v>
      </c>
      <c r="B717" s="12">
        <v>332</v>
      </c>
      <c r="C717" t="s">
        <v>286</v>
      </c>
      <c r="D717">
        <v>247722</v>
      </c>
      <c r="E717" s="8" t="s">
        <v>134</v>
      </c>
      <c r="F717" s="12">
        <v>21</v>
      </c>
      <c r="G717" s="8" t="s">
        <v>44</v>
      </c>
      <c r="H717" s="12">
        <v>195</v>
      </c>
      <c r="I717" t="s">
        <v>346</v>
      </c>
      <c r="K717" t="s">
        <v>63</v>
      </c>
      <c r="N717" s="12"/>
      <c r="O717" s="8"/>
      <c r="P717">
        <v>1</v>
      </c>
      <c r="Q717" s="8">
        <v>1</v>
      </c>
      <c r="R717" s="12">
        <v>2</v>
      </c>
      <c r="S717" s="8">
        <v>2</v>
      </c>
      <c r="T717" s="12"/>
      <c r="U717" s="8"/>
      <c r="V717" s="2">
        <v>45658</v>
      </c>
      <c r="W717" s="2">
        <v>1</v>
      </c>
      <c r="X717" s="2">
        <v>45702</v>
      </c>
      <c r="Y717" s="2">
        <v>45726</v>
      </c>
      <c r="Z717" s="2"/>
      <c r="AA717" t="s">
        <v>287</v>
      </c>
      <c r="AB717">
        <v>8304</v>
      </c>
      <c r="AC717">
        <v>72718</v>
      </c>
      <c r="AD717" t="s">
        <v>903</v>
      </c>
      <c r="AE717" s="2">
        <v>45706</v>
      </c>
      <c r="AF717">
        <v>2.5</v>
      </c>
      <c r="AG717" s="17">
        <v>0.10416666666666601</v>
      </c>
      <c r="AH717" s="2">
        <v>45709</v>
      </c>
    </row>
    <row r="718" spans="1:34" hidden="1" x14ac:dyDescent="0.25">
      <c r="A718" s="12">
        <v>8304</v>
      </c>
      <c r="B718" s="12">
        <v>332</v>
      </c>
      <c r="C718" t="s">
        <v>286</v>
      </c>
      <c r="D718">
        <v>247722</v>
      </c>
      <c r="E718" s="8" t="s">
        <v>134</v>
      </c>
      <c r="F718" s="12">
        <v>21</v>
      </c>
      <c r="G718" s="8" t="s">
        <v>44</v>
      </c>
      <c r="H718" s="12">
        <v>195</v>
      </c>
      <c r="I718" t="s">
        <v>346</v>
      </c>
      <c r="K718" t="s">
        <v>63</v>
      </c>
      <c r="N718" s="12"/>
      <c r="O718" s="8"/>
      <c r="P718">
        <v>1</v>
      </c>
      <c r="Q718" s="8">
        <v>1</v>
      </c>
      <c r="R718" s="12">
        <v>2</v>
      </c>
      <c r="S718" s="8">
        <v>2</v>
      </c>
      <c r="T718" s="12"/>
      <c r="U718" s="8"/>
      <c r="V718" s="2">
        <v>45658</v>
      </c>
      <c r="W718" s="2">
        <v>1</v>
      </c>
      <c r="X718" s="2">
        <v>45702</v>
      </c>
      <c r="Y718" s="2">
        <v>45726</v>
      </c>
      <c r="Z718" s="2"/>
      <c r="AA718" t="s">
        <v>287</v>
      </c>
      <c r="AB718">
        <v>8304</v>
      </c>
      <c r="AC718">
        <v>72714</v>
      </c>
      <c r="AD718" t="s">
        <v>904</v>
      </c>
      <c r="AE718" s="2">
        <v>45706</v>
      </c>
      <c r="AF718">
        <v>3</v>
      </c>
      <c r="AG718" s="17">
        <v>0.125</v>
      </c>
      <c r="AH718" s="2">
        <v>45709</v>
      </c>
    </row>
    <row r="719" spans="1:34" hidden="1" x14ac:dyDescent="0.25">
      <c r="A719" s="12">
        <v>8304</v>
      </c>
      <c r="B719" s="12">
        <v>332</v>
      </c>
      <c r="C719" t="s">
        <v>286</v>
      </c>
      <c r="D719">
        <v>247722</v>
      </c>
      <c r="E719" s="8" t="s">
        <v>134</v>
      </c>
      <c r="F719" s="12">
        <v>21</v>
      </c>
      <c r="G719" s="8" t="s">
        <v>44</v>
      </c>
      <c r="H719" s="12">
        <v>195</v>
      </c>
      <c r="I719" t="s">
        <v>346</v>
      </c>
      <c r="K719" t="s">
        <v>63</v>
      </c>
      <c r="N719" s="12"/>
      <c r="O719" s="8"/>
      <c r="P719">
        <v>1</v>
      </c>
      <c r="Q719" s="8">
        <v>1</v>
      </c>
      <c r="R719" s="12">
        <v>2</v>
      </c>
      <c r="S719" s="8">
        <v>2</v>
      </c>
      <c r="T719" s="12"/>
      <c r="U719" s="8"/>
      <c r="V719" s="2">
        <v>45658</v>
      </c>
      <c r="W719" s="2">
        <v>1</v>
      </c>
      <c r="X719" s="2">
        <v>45702</v>
      </c>
      <c r="Y719" s="2">
        <v>45726</v>
      </c>
      <c r="Z719" s="2"/>
      <c r="AA719" t="s">
        <v>287</v>
      </c>
      <c r="AB719">
        <v>8304</v>
      </c>
      <c r="AC719">
        <v>72713</v>
      </c>
      <c r="AD719" t="s">
        <v>905</v>
      </c>
      <c r="AE719" s="2">
        <v>45705</v>
      </c>
      <c r="AF719">
        <v>1</v>
      </c>
      <c r="AG719" s="17">
        <v>4.1666666666666602E-2</v>
      </c>
      <c r="AH719" s="2">
        <v>45709</v>
      </c>
    </row>
    <row r="720" spans="1:34" hidden="1" x14ac:dyDescent="0.25">
      <c r="A720" s="12">
        <v>8304</v>
      </c>
      <c r="B720" s="12">
        <v>332</v>
      </c>
      <c r="C720" t="s">
        <v>286</v>
      </c>
      <c r="D720">
        <v>247722</v>
      </c>
      <c r="E720" s="8" t="s">
        <v>134</v>
      </c>
      <c r="F720" s="12">
        <v>21</v>
      </c>
      <c r="G720" s="8" t="s">
        <v>44</v>
      </c>
      <c r="H720" s="12">
        <v>195</v>
      </c>
      <c r="I720" t="s">
        <v>346</v>
      </c>
      <c r="K720" t="s">
        <v>63</v>
      </c>
      <c r="N720" s="12"/>
      <c r="O720" s="8"/>
      <c r="P720">
        <v>1</v>
      </c>
      <c r="Q720" s="8">
        <v>1</v>
      </c>
      <c r="R720" s="12">
        <v>2</v>
      </c>
      <c r="S720" s="8">
        <v>2</v>
      </c>
      <c r="T720" s="12"/>
      <c r="U720" s="8"/>
      <c r="V720" s="2">
        <v>45658</v>
      </c>
      <c r="W720" s="2">
        <v>1</v>
      </c>
      <c r="X720" s="2">
        <v>45702</v>
      </c>
      <c r="Y720" s="2">
        <v>45726</v>
      </c>
      <c r="Z720" s="2"/>
      <c r="AA720" t="s">
        <v>287</v>
      </c>
      <c r="AB720">
        <v>8304</v>
      </c>
      <c r="AC720">
        <v>72712</v>
      </c>
      <c r="AD720" t="s">
        <v>906</v>
      </c>
      <c r="AE720" s="2">
        <v>45705</v>
      </c>
      <c r="AF720">
        <v>3</v>
      </c>
      <c r="AG720" s="17">
        <v>0.125</v>
      </c>
      <c r="AH720" s="2">
        <v>45709</v>
      </c>
    </row>
    <row r="721" spans="1:34" hidden="1" x14ac:dyDescent="0.25">
      <c r="A721" s="12">
        <v>8304</v>
      </c>
      <c r="B721" s="12">
        <v>332</v>
      </c>
      <c r="C721" t="s">
        <v>286</v>
      </c>
      <c r="D721">
        <v>247722</v>
      </c>
      <c r="E721" s="8" t="s">
        <v>134</v>
      </c>
      <c r="F721" s="12">
        <v>21</v>
      </c>
      <c r="G721" s="8" t="s">
        <v>44</v>
      </c>
      <c r="H721" s="12">
        <v>195</v>
      </c>
      <c r="I721" t="s">
        <v>346</v>
      </c>
      <c r="K721" t="s">
        <v>63</v>
      </c>
      <c r="N721" s="12"/>
      <c r="O721" s="8"/>
      <c r="P721">
        <v>1</v>
      </c>
      <c r="Q721" s="8">
        <v>1</v>
      </c>
      <c r="R721" s="12">
        <v>2</v>
      </c>
      <c r="S721" s="8">
        <v>2</v>
      </c>
      <c r="T721" s="12"/>
      <c r="U721" s="8"/>
      <c r="V721" s="2">
        <v>45658</v>
      </c>
      <c r="W721" s="2">
        <v>1</v>
      </c>
      <c r="X721" s="2">
        <v>45702</v>
      </c>
      <c r="Y721" s="2">
        <v>45726</v>
      </c>
      <c r="Z721" s="2"/>
      <c r="AA721" t="s">
        <v>287</v>
      </c>
      <c r="AB721">
        <v>8304</v>
      </c>
      <c r="AC721">
        <v>72711</v>
      </c>
      <c r="AD721" t="s">
        <v>907</v>
      </c>
      <c r="AE721" s="2">
        <v>45705</v>
      </c>
      <c r="AF721">
        <v>3.5</v>
      </c>
      <c r="AG721" s="17">
        <v>0.14583333333333301</v>
      </c>
      <c r="AH721" s="2">
        <v>45709</v>
      </c>
    </row>
    <row r="722" spans="1:34" hidden="1" x14ac:dyDescent="0.25">
      <c r="A722" s="12">
        <v>8304</v>
      </c>
      <c r="B722" s="12">
        <v>332</v>
      </c>
      <c r="C722" t="s">
        <v>286</v>
      </c>
      <c r="D722">
        <v>247722</v>
      </c>
      <c r="E722" s="8" t="s">
        <v>134</v>
      </c>
      <c r="F722" s="12">
        <v>21</v>
      </c>
      <c r="G722" s="8" t="s">
        <v>44</v>
      </c>
      <c r="H722" s="12">
        <v>195</v>
      </c>
      <c r="I722" t="s">
        <v>346</v>
      </c>
      <c r="K722" t="s">
        <v>63</v>
      </c>
      <c r="N722" s="12"/>
      <c r="O722" s="8"/>
      <c r="P722">
        <v>1</v>
      </c>
      <c r="Q722" s="8">
        <v>1</v>
      </c>
      <c r="R722" s="12">
        <v>2</v>
      </c>
      <c r="S722" s="8">
        <v>2</v>
      </c>
      <c r="T722" s="12"/>
      <c r="U722" s="8"/>
      <c r="V722" s="2">
        <v>45658</v>
      </c>
      <c r="W722" s="2">
        <v>1</v>
      </c>
      <c r="X722" s="2">
        <v>45702</v>
      </c>
      <c r="Y722" s="2">
        <v>45726</v>
      </c>
      <c r="Z722" s="2"/>
      <c r="AA722" t="s">
        <v>287</v>
      </c>
      <c r="AB722">
        <v>8304</v>
      </c>
      <c r="AC722">
        <v>70184</v>
      </c>
      <c r="AD722" t="s">
        <v>908</v>
      </c>
      <c r="AE722" s="2">
        <v>45700</v>
      </c>
      <c r="AF722">
        <v>1.5</v>
      </c>
      <c r="AG722" s="17">
        <v>6.25E-2</v>
      </c>
      <c r="AH722" s="2">
        <v>45701</v>
      </c>
    </row>
    <row r="723" spans="1:34" hidden="1" x14ac:dyDescent="0.25">
      <c r="A723" s="12">
        <v>8304</v>
      </c>
      <c r="B723" s="12">
        <v>332</v>
      </c>
      <c r="C723" t="s">
        <v>286</v>
      </c>
      <c r="D723">
        <v>247722</v>
      </c>
      <c r="E723" s="8" t="s">
        <v>134</v>
      </c>
      <c r="F723" s="12">
        <v>21</v>
      </c>
      <c r="G723" s="8" t="s">
        <v>44</v>
      </c>
      <c r="H723" s="12">
        <v>195</v>
      </c>
      <c r="I723" t="s">
        <v>346</v>
      </c>
      <c r="K723" t="s">
        <v>63</v>
      </c>
      <c r="N723" s="12"/>
      <c r="O723" s="8"/>
      <c r="P723">
        <v>1</v>
      </c>
      <c r="Q723" s="8">
        <v>1</v>
      </c>
      <c r="R723" s="12">
        <v>2</v>
      </c>
      <c r="S723" s="8">
        <v>2</v>
      </c>
      <c r="T723" s="12"/>
      <c r="U723" s="8"/>
      <c r="V723" s="2">
        <v>45658</v>
      </c>
      <c r="W723" s="2">
        <v>1</v>
      </c>
      <c r="X723" s="2">
        <v>45702</v>
      </c>
      <c r="Y723" s="2">
        <v>45726</v>
      </c>
      <c r="Z723" s="2"/>
      <c r="AA723" t="s">
        <v>287</v>
      </c>
      <c r="AB723">
        <v>8304</v>
      </c>
      <c r="AC723">
        <v>70132</v>
      </c>
      <c r="AD723" t="s">
        <v>909</v>
      </c>
      <c r="AE723" s="2">
        <v>45699</v>
      </c>
      <c r="AF723">
        <v>4.5</v>
      </c>
      <c r="AG723" s="17">
        <v>0.1875</v>
      </c>
      <c r="AH723" s="2">
        <v>45701</v>
      </c>
    </row>
    <row r="724" spans="1:34" hidden="1" x14ac:dyDescent="0.25">
      <c r="A724" s="12">
        <v>8304</v>
      </c>
      <c r="B724" s="12">
        <v>332</v>
      </c>
      <c r="C724" t="s">
        <v>286</v>
      </c>
      <c r="D724">
        <v>247722</v>
      </c>
      <c r="E724" s="8" t="s">
        <v>134</v>
      </c>
      <c r="F724" s="12">
        <v>21</v>
      </c>
      <c r="G724" s="8" t="s">
        <v>44</v>
      </c>
      <c r="H724" s="12">
        <v>195</v>
      </c>
      <c r="I724" t="s">
        <v>346</v>
      </c>
      <c r="K724" t="s">
        <v>63</v>
      </c>
      <c r="N724" s="12"/>
      <c r="O724" s="8"/>
      <c r="P724">
        <v>1</v>
      </c>
      <c r="Q724" s="8">
        <v>1</v>
      </c>
      <c r="R724" s="12">
        <v>2</v>
      </c>
      <c r="S724" s="8">
        <v>2</v>
      </c>
      <c r="T724" s="12"/>
      <c r="U724" s="8"/>
      <c r="V724" s="2">
        <v>45658</v>
      </c>
      <c r="W724" s="2">
        <v>1</v>
      </c>
      <c r="X724" s="2">
        <v>45702</v>
      </c>
      <c r="Y724" s="2">
        <v>45726</v>
      </c>
      <c r="Z724" s="2"/>
      <c r="AA724" t="s">
        <v>287</v>
      </c>
      <c r="AB724">
        <v>8304</v>
      </c>
      <c r="AC724">
        <v>70131</v>
      </c>
      <c r="AD724" t="s">
        <v>910</v>
      </c>
      <c r="AE724" s="2">
        <v>45698</v>
      </c>
      <c r="AF724">
        <v>3</v>
      </c>
      <c r="AG724" s="17">
        <v>0.125</v>
      </c>
      <c r="AH724" s="2">
        <v>45701</v>
      </c>
    </row>
    <row r="725" spans="1:34" hidden="1" x14ac:dyDescent="0.25">
      <c r="A725" s="12">
        <v>8304</v>
      </c>
      <c r="B725" s="12">
        <v>332</v>
      </c>
      <c r="C725" t="s">
        <v>286</v>
      </c>
      <c r="D725">
        <v>247722</v>
      </c>
      <c r="E725" s="8" t="s">
        <v>134</v>
      </c>
      <c r="F725" s="12">
        <v>21</v>
      </c>
      <c r="G725" s="8" t="s">
        <v>44</v>
      </c>
      <c r="H725" s="12">
        <v>195</v>
      </c>
      <c r="I725" t="s">
        <v>346</v>
      </c>
      <c r="K725" t="s">
        <v>63</v>
      </c>
      <c r="N725" s="12"/>
      <c r="O725" s="8"/>
      <c r="P725">
        <v>1</v>
      </c>
      <c r="Q725" s="8">
        <v>1</v>
      </c>
      <c r="R725" s="12">
        <v>2</v>
      </c>
      <c r="S725" s="8">
        <v>2</v>
      </c>
      <c r="T725" s="12"/>
      <c r="U725" s="8"/>
      <c r="V725" s="2">
        <v>45658</v>
      </c>
      <c r="W725" s="2">
        <v>1</v>
      </c>
      <c r="X725" s="2">
        <v>45702</v>
      </c>
      <c r="Y725" s="2">
        <v>45726</v>
      </c>
      <c r="Z725" s="2"/>
      <c r="AA725" t="s">
        <v>287</v>
      </c>
      <c r="AB725">
        <v>8304</v>
      </c>
      <c r="AC725">
        <v>70130</v>
      </c>
      <c r="AD725" t="s">
        <v>911</v>
      </c>
      <c r="AE725" s="2">
        <v>45698</v>
      </c>
      <c r="AF725">
        <v>3</v>
      </c>
      <c r="AG725" s="17">
        <v>0.125</v>
      </c>
      <c r="AH725" s="2">
        <v>45701</v>
      </c>
    </row>
    <row r="726" spans="1:34" hidden="1" x14ac:dyDescent="0.25">
      <c r="A726" s="12">
        <v>8304</v>
      </c>
      <c r="B726" s="12">
        <v>332</v>
      </c>
      <c r="C726" t="s">
        <v>286</v>
      </c>
      <c r="D726">
        <v>247722</v>
      </c>
      <c r="E726" s="8" t="s">
        <v>134</v>
      </c>
      <c r="F726" s="12">
        <v>21</v>
      </c>
      <c r="G726" s="8" t="s">
        <v>44</v>
      </c>
      <c r="H726" s="12">
        <v>195</v>
      </c>
      <c r="I726" t="s">
        <v>346</v>
      </c>
      <c r="K726" t="s">
        <v>63</v>
      </c>
      <c r="N726" s="12"/>
      <c r="O726" s="8"/>
      <c r="P726">
        <v>1</v>
      </c>
      <c r="Q726" s="8">
        <v>1</v>
      </c>
      <c r="R726" s="12">
        <v>2</v>
      </c>
      <c r="S726" s="8">
        <v>2</v>
      </c>
      <c r="T726" s="12"/>
      <c r="U726" s="8"/>
      <c r="V726" s="2">
        <v>45658</v>
      </c>
      <c r="W726" s="2">
        <v>1</v>
      </c>
      <c r="X726" s="2">
        <v>45702</v>
      </c>
      <c r="Y726" s="2">
        <v>45726</v>
      </c>
      <c r="Z726" s="2"/>
      <c r="AA726" t="s">
        <v>287</v>
      </c>
      <c r="AB726">
        <v>8304</v>
      </c>
      <c r="AC726">
        <v>68598</v>
      </c>
      <c r="AD726" t="s">
        <v>912</v>
      </c>
      <c r="AE726" s="2">
        <v>45694</v>
      </c>
      <c r="AF726">
        <v>1.5</v>
      </c>
      <c r="AG726" s="17">
        <v>6.25E-2</v>
      </c>
      <c r="AH726" s="2">
        <v>45695</v>
      </c>
    </row>
    <row r="727" spans="1:34" hidden="1" x14ac:dyDescent="0.25">
      <c r="A727" s="12">
        <v>8304</v>
      </c>
      <c r="B727" s="12">
        <v>332</v>
      </c>
      <c r="C727" t="s">
        <v>286</v>
      </c>
      <c r="D727">
        <v>247722</v>
      </c>
      <c r="E727" s="8" t="s">
        <v>134</v>
      </c>
      <c r="F727" s="12">
        <v>21</v>
      </c>
      <c r="G727" s="8" t="s">
        <v>44</v>
      </c>
      <c r="H727" s="12">
        <v>195</v>
      </c>
      <c r="I727" t="s">
        <v>346</v>
      </c>
      <c r="K727" t="s">
        <v>63</v>
      </c>
      <c r="N727" s="12"/>
      <c r="O727" s="8"/>
      <c r="P727">
        <v>1</v>
      </c>
      <c r="Q727" s="8">
        <v>1</v>
      </c>
      <c r="R727" s="12">
        <v>2</v>
      </c>
      <c r="S727" s="8">
        <v>2</v>
      </c>
      <c r="T727" s="12"/>
      <c r="U727" s="8"/>
      <c r="V727" s="2">
        <v>45658</v>
      </c>
      <c r="W727" s="2">
        <v>1</v>
      </c>
      <c r="X727" s="2">
        <v>45702</v>
      </c>
      <c r="Y727" s="2">
        <v>45726</v>
      </c>
      <c r="Z727" s="2"/>
      <c r="AA727" t="s">
        <v>287</v>
      </c>
      <c r="AB727">
        <v>8304</v>
      </c>
      <c r="AC727">
        <v>68597</v>
      </c>
      <c r="AD727" t="s">
        <v>913</v>
      </c>
      <c r="AE727" s="2">
        <v>45694</v>
      </c>
      <c r="AF727">
        <v>3</v>
      </c>
      <c r="AG727" s="17">
        <v>0.125</v>
      </c>
      <c r="AH727" s="2">
        <v>45695</v>
      </c>
    </row>
    <row r="728" spans="1:34" hidden="1" x14ac:dyDescent="0.25">
      <c r="A728" s="12">
        <v>8304</v>
      </c>
      <c r="B728" s="12">
        <v>332</v>
      </c>
      <c r="C728" t="s">
        <v>286</v>
      </c>
      <c r="D728">
        <v>247722</v>
      </c>
      <c r="E728" s="8" t="s">
        <v>134</v>
      </c>
      <c r="F728" s="12">
        <v>21</v>
      </c>
      <c r="G728" s="8" t="s">
        <v>44</v>
      </c>
      <c r="H728" s="12">
        <v>195</v>
      </c>
      <c r="I728" t="s">
        <v>346</v>
      </c>
      <c r="K728" t="s">
        <v>63</v>
      </c>
      <c r="N728" s="12"/>
      <c r="O728" s="8"/>
      <c r="P728">
        <v>1</v>
      </c>
      <c r="Q728" s="8">
        <v>1</v>
      </c>
      <c r="R728" s="12">
        <v>2</v>
      </c>
      <c r="S728" s="8">
        <v>2</v>
      </c>
      <c r="T728" s="12"/>
      <c r="U728" s="8"/>
      <c r="V728" s="2">
        <v>45658</v>
      </c>
      <c r="W728" s="2">
        <v>1</v>
      </c>
      <c r="X728" s="2">
        <v>45702</v>
      </c>
      <c r="Y728" s="2">
        <v>45726</v>
      </c>
      <c r="Z728" s="2"/>
      <c r="AA728" t="s">
        <v>287</v>
      </c>
      <c r="AB728">
        <v>8304</v>
      </c>
      <c r="AC728">
        <v>68596</v>
      </c>
      <c r="AD728" t="s">
        <v>914</v>
      </c>
      <c r="AE728" s="2">
        <v>45694</v>
      </c>
      <c r="AF728">
        <v>2</v>
      </c>
      <c r="AG728" s="17">
        <v>8.3333333333333301E-2</v>
      </c>
      <c r="AH728" s="2">
        <v>45695</v>
      </c>
    </row>
    <row r="729" spans="1:34" hidden="1" x14ac:dyDescent="0.25">
      <c r="A729" s="12">
        <v>8304</v>
      </c>
      <c r="B729" s="12">
        <v>332</v>
      </c>
      <c r="C729" t="s">
        <v>286</v>
      </c>
      <c r="D729">
        <v>247722</v>
      </c>
      <c r="E729" s="8" t="s">
        <v>134</v>
      </c>
      <c r="F729" s="12">
        <v>21</v>
      </c>
      <c r="G729" s="8" t="s">
        <v>44</v>
      </c>
      <c r="H729" s="12">
        <v>195</v>
      </c>
      <c r="I729" t="s">
        <v>346</v>
      </c>
      <c r="K729" t="s">
        <v>63</v>
      </c>
      <c r="N729" s="12"/>
      <c r="O729" s="8"/>
      <c r="P729">
        <v>1</v>
      </c>
      <c r="Q729" s="8">
        <v>1</v>
      </c>
      <c r="R729" s="12">
        <v>2</v>
      </c>
      <c r="S729" s="8">
        <v>2</v>
      </c>
      <c r="T729" s="12"/>
      <c r="U729" s="8"/>
      <c r="V729" s="2">
        <v>45658</v>
      </c>
      <c r="W729" s="2">
        <v>1</v>
      </c>
      <c r="X729" s="2">
        <v>45702</v>
      </c>
      <c r="Y729" s="2">
        <v>45726</v>
      </c>
      <c r="Z729" s="2"/>
      <c r="AA729" t="s">
        <v>287</v>
      </c>
      <c r="AB729">
        <v>8304</v>
      </c>
      <c r="AC729">
        <v>68074</v>
      </c>
      <c r="AD729" t="s">
        <v>915</v>
      </c>
      <c r="AE729" s="2">
        <v>45693</v>
      </c>
      <c r="AF729">
        <v>2</v>
      </c>
      <c r="AG729" s="17">
        <v>8.3333333333333301E-2</v>
      </c>
      <c r="AH729" s="2">
        <v>45693</v>
      </c>
    </row>
    <row r="730" spans="1:34" hidden="1" x14ac:dyDescent="0.25">
      <c r="A730" s="12">
        <v>8304</v>
      </c>
      <c r="B730" s="12">
        <v>332</v>
      </c>
      <c r="C730" t="s">
        <v>286</v>
      </c>
      <c r="D730">
        <v>247722</v>
      </c>
      <c r="E730" s="8" t="s">
        <v>134</v>
      </c>
      <c r="F730" s="12">
        <v>21</v>
      </c>
      <c r="G730" s="8" t="s">
        <v>44</v>
      </c>
      <c r="H730" s="12">
        <v>195</v>
      </c>
      <c r="I730" t="s">
        <v>346</v>
      </c>
      <c r="K730" t="s">
        <v>63</v>
      </c>
      <c r="N730" s="12"/>
      <c r="O730" s="8"/>
      <c r="P730">
        <v>1</v>
      </c>
      <c r="Q730" s="8">
        <v>1</v>
      </c>
      <c r="R730" s="12">
        <v>2</v>
      </c>
      <c r="S730" s="8">
        <v>2</v>
      </c>
      <c r="T730" s="12"/>
      <c r="U730" s="8"/>
      <c r="V730" s="2">
        <v>45658</v>
      </c>
      <c r="W730" s="2">
        <v>1</v>
      </c>
      <c r="X730" s="2">
        <v>45702</v>
      </c>
      <c r="Y730" s="2">
        <v>45726</v>
      </c>
      <c r="Z730" s="2"/>
      <c r="AA730" t="s">
        <v>287</v>
      </c>
      <c r="AB730">
        <v>8304</v>
      </c>
      <c r="AC730">
        <v>68069</v>
      </c>
      <c r="AD730" t="s">
        <v>916</v>
      </c>
      <c r="AE730" s="2">
        <v>45693</v>
      </c>
      <c r="AF730">
        <v>2</v>
      </c>
      <c r="AG730" s="17">
        <v>8.3333333333333301E-2</v>
      </c>
      <c r="AH730" s="2">
        <v>45693</v>
      </c>
    </row>
    <row r="731" spans="1:34" hidden="1" x14ac:dyDescent="0.25">
      <c r="A731" s="12">
        <v>8519</v>
      </c>
      <c r="B731" s="12">
        <v>0</v>
      </c>
      <c r="C731" t="s">
        <v>439</v>
      </c>
      <c r="D731">
        <v>247318</v>
      </c>
      <c r="E731" s="8" t="s">
        <v>440</v>
      </c>
      <c r="F731" s="12">
        <v>21</v>
      </c>
      <c r="G731" s="8" t="s">
        <v>44</v>
      </c>
      <c r="H731" s="12">
        <v>3204</v>
      </c>
      <c r="I731" t="s">
        <v>52</v>
      </c>
      <c r="J731" t="s">
        <v>62</v>
      </c>
      <c r="K731" t="s">
        <v>101</v>
      </c>
      <c r="L731">
        <v>4</v>
      </c>
      <c r="M731" t="s">
        <v>207</v>
      </c>
      <c r="N731" s="12">
        <v>1</v>
      </c>
      <c r="O731" s="8" t="s">
        <v>193</v>
      </c>
      <c r="P731">
        <v>2</v>
      </c>
      <c r="Q731" s="8">
        <v>2</v>
      </c>
      <c r="R731" s="12"/>
      <c r="S731" s="8"/>
      <c r="T731" s="12"/>
      <c r="U731" s="8"/>
      <c r="V731" s="2">
        <v>45693</v>
      </c>
      <c r="W731" s="2">
        <v>45693</v>
      </c>
      <c r="X731" s="2">
        <v>45693</v>
      </c>
      <c r="Y731" s="2">
        <v>45693</v>
      </c>
      <c r="Z731" s="2">
        <v>45693</v>
      </c>
      <c r="AB731">
        <v>8519</v>
      </c>
      <c r="AC731">
        <v>75559</v>
      </c>
      <c r="AD731" t="s">
        <v>441</v>
      </c>
      <c r="AE731" s="2">
        <v>45695</v>
      </c>
      <c r="AF731">
        <v>3</v>
      </c>
      <c r="AG731" s="17">
        <v>0.125</v>
      </c>
      <c r="AH731" s="2">
        <v>45721</v>
      </c>
    </row>
    <row r="732" spans="1:34" hidden="1" x14ac:dyDescent="0.25">
      <c r="A732" s="12">
        <v>8519</v>
      </c>
      <c r="B732" s="12">
        <v>0</v>
      </c>
      <c r="C732" t="s">
        <v>439</v>
      </c>
      <c r="D732">
        <v>247318</v>
      </c>
      <c r="E732" s="8" t="s">
        <v>440</v>
      </c>
      <c r="F732" s="12">
        <v>21</v>
      </c>
      <c r="G732" s="8" t="s">
        <v>44</v>
      </c>
      <c r="H732" s="12">
        <v>3204</v>
      </c>
      <c r="I732" t="s">
        <v>52</v>
      </c>
      <c r="K732" t="s">
        <v>101</v>
      </c>
      <c r="L732">
        <v>4</v>
      </c>
      <c r="M732" t="s">
        <v>207</v>
      </c>
      <c r="N732" s="12">
        <v>1</v>
      </c>
      <c r="O732" s="8" t="s">
        <v>193</v>
      </c>
      <c r="P732">
        <v>2</v>
      </c>
      <c r="Q732" s="8">
        <v>2</v>
      </c>
      <c r="R732" s="12"/>
      <c r="S732" s="8"/>
      <c r="T732" s="12"/>
      <c r="U732" s="8"/>
      <c r="V732" s="2">
        <v>45693</v>
      </c>
      <c r="W732" s="2">
        <v>45693</v>
      </c>
      <c r="X732" s="2">
        <v>45693</v>
      </c>
      <c r="Y732" s="2">
        <v>45693</v>
      </c>
      <c r="Z732" s="2">
        <v>45693</v>
      </c>
      <c r="AB732">
        <v>8519</v>
      </c>
      <c r="AC732">
        <v>75550</v>
      </c>
      <c r="AD732" t="s">
        <v>345</v>
      </c>
      <c r="AE732" s="2">
        <v>45693</v>
      </c>
      <c r="AF732">
        <v>2</v>
      </c>
      <c r="AG732" s="17">
        <v>8.3333333333333301E-2</v>
      </c>
      <c r="AH732" s="2">
        <v>45721</v>
      </c>
    </row>
    <row r="733" spans="1:34" hidden="1" x14ac:dyDescent="0.25">
      <c r="A733" s="12">
        <v>8297</v>
      </c>
      <c r="B733" s="12">
        <v>373</v>
      </c>
      <c r="C733" t="s">
        <v>290</v>
      </c>
      <c r="E733" s="8"/>
      <c r="F733" s="12">
        <v>21</v>
      </c>
      <c r="G733" s="8" t="s">
        <v>44</v>
      </c>
      <c r="H733" s="12">
        <v>195</v>
      </c>
      <c r="I733" t="s">
        <v>346</v>
      </c>
      <c r="J733" t="s">
        <v>62</v>
      </c>
      <c r="K733" t="s">
        <v>101</v>
      </c>
      <c r="N733" s="12"/>
      <c r="O733" s="8"/>
      <c r="Q733" s="8"/>
      <c r="R733" s="12">
        <v>1</v>
      </c>
      <c r="S733" s="8">
        <v>1</v>
      </c>
      <c r="T733" s="12"/>
      <c r="U733" s="8"/>
      <c r="V733" s="2">
        <v>45658</v>
      </c>
      <c r="W733" s="2">
        <v>1</v>
      </c>
      <c r="X733" s="2">
        <v>45672</v>
      </c>
      <c r="Y733" s="2">
        <v>45675</v>
      </c>
      <c r="Z733" s="2"/>
      <c r="AB733">
        <v>8297</v>
      </c>
      <c r="AC733">
        <v>70054</v>
      </c>
      <c r="AD733" t="s">
        <v>452</v>
      </c>
      <c r="AE733" s="2">
        <v>45701</v>
      </c>
      <c r="AF733">
        <v>0.5</v>
      </c>
      <c r="AG733" s="17">
        <v>2.0833333333333301E-2</v>
      </c>
      <c r="AH733" s="2">
        <v>45701</v>
      </c>
    </row>
    <row r="734" spans="1:34" hidden="1" x14ac:dyDescent="0.25">
      <c r="A734" s="12">
        <v>8297</v>
      </c>
      <c r="B734" s="12">
        <v>373</v>
      </c>
      <c r="C734" t="s">
        <v>290</v>
      </c>
      <c r="E734" s="8"/>
      <c r="F734" s="12">
        <v>21</v>
      </c>
      <c r="G734" s="8" t="s">
        <v>44</v>
      </c>
      <c r="H734" s="12">
        <v>195</v>
      </c>
      <c r="I734" t="s">
        <v>346</v>
      </c>
      <c r="K734" t="s">
        <v>101</v>
      </c>
      <c r="N734" s="12"/>
      <c r="O734" s="8"/>
      <c r="Q734" s="8"/>
      <c r="R734" s="12">
        <v>1</v>
      </c>
      <c r="S734" s="8">
        <v>1</v>
      </c>
      <c r="T734" s="12"/>
      <c r="U734" s="8"/>
      <c r="V734" s="2">
        <v>45658</v>
      </c>
      <c r="W734" s="2">
        <v>1</v>
      </c>
      <c r="X734" s="2">
        <v>45672</v>
      </c>
      <c r="Y734" s="2">
        <v>45675</v>
      </c>
      <c r="Z734" s="2"/>
      <c r="AB734">
        <v>8297</v>
      </c>
      <c r="AC734">
        <v>70053</v>
      </c>
      <c r="AD734" t="s">
        <v>452</v>
      </c>
      <c r="AE734" s="2">
        <v>45700</v>
      </c>
      <c r="AF734">
        <v>0.5</v>
      </c>
      <c r="AG734" s="17">
        <v>2.0833333333333301E-2</v>
      </c>
      <c r="AH734" s="2">
        <v>45701</v>
      </c>
    </row>
    <row r="735" spans="1:34" hidden="1" x14ac:dyDescent="0.25">
      <c r="A735" s="12">
        <v>8297</v>
      </c>
      <c r="B735" s="12">
        <v>373</v>
      </c>
      <c r="C735" t="s">
        <v>290</v>
      </c>
      <c r="E735" s="8"/>
      <c r="F735" s="12">
        <v>21</v>
      </c>
      <c r="G735" s="8" t="s">
        <v>44</v>
      </c>
      <c r="H735" s="12">
        <v>195</v>
      </c>
      <c r="I735" t="s">
        <v>346</v>
      </c>
      <c r="K735" t="s">
        <v>101</v>
      </c>
      <c r="N735" s="12"/>
      <c r="O735" s="8"/>
      <c r="Q735" s="8"/>
      <c r="R735" s="12">
        <v>1</v>
      </c>
      <c r="S735" s="8">
        <v>1</v>
      </c>
      <c r="T735" s="12"/>
      <c r="U735" s="8"/>
      <c r="V735" s="2">
        <v>45658</v>
      </c>
      <c r="W735" s="2">
        <v>1</v>
      </c>
      <c r="X735" s="2">
        <v>45672</v>
      </c>
      <c r="Y735" s="2">
        <v>45675</v>
      </c>
      <c r="Z735" s="2"/>
      <c r="AB735">
        <v>8297</v>
      </c>
      <c r="AC735">
        <v>70052</v>
      </c>
      <c r="AD735" t="s">
        <v>452</v>
      </c>
      <c r="AE735" s="2">
        <v>45699</v>
      </c>
      <c r="AF735">
        <v>0.5</v>
      </c>
      <c r="AG735" s="17">
        <v>2.0833333333333301E-2</v>
      </c>
      <c r="AH735" s="2">
        <v>45701</v>
      </c>
    </row>
    <row r="736" spans="1:34" hidden="1" x14ac:dyDescent="0.25">
      <c r="A736" s="12">
        <v>8297</v>
      </c>
      <c r="B736" s="12">
        <v>373</v>
      </c>
      <c r="C736" t="s">
        <v>290</v>
      </c>
      <c r="E736" s="8"/>
      <c r="F736" s="12">
        <v>21</v>
      </c>
      <c r="G736" s="8" t="s">
        <v>44</v>
      </c>
      <c r="H736" s="12">
        <v>195</v>
      </c>
      <c r="I736" t="s">
        <v>346</v>
      </c>
      <c r="K736" t="s">
        <v>101</v>
      </c>
      <c r="N736" s="12"/>
      <c r="O736" s="8"/>
      <c r="Q736" s="8"/>
      <c r="R736" s="12">
        <v>1</v>
      </c>
      <c r="S736" s="8">
        <v>1</v>
      </c>
      <c r="T736" s="12"/>
      <c r="U736" s="8"/>
      <c r="V736" s="2">
        <v>45658</v>
      </c>
      <c r="W736" s="2">
        <v>1</v>
      </c>
      <c r="X736" s="2">
        <v>45672</v>
      </c>
      <c r="Y736" s="2">
        <v>45675</v>
      </c>
      <c r="Z736" s="2"/>
      <c r="AB736">
        <v>8297</v>
      </c>
      <c r="AC736">
        <v>70051</v>
      </c>
      <c r="AD736" t="s">
        <v>452</v>
      </c>
      <c r="AE736" s="2">
        <v>45698</v>
      </c>
      <c r="AF736">
        <v>0.5</v>
      </c>
      <c r="AG736" s="17">
        <v>2.0833333333333301E-2</v>
      </c>
      <c r="AH736" s="2">
        <v>45701</v>
      </c>
    </row>
    <row r="737" spans="1:34" hidden="1" x14ac:dyDescent="0.25">
      <c r="A737" s="12">
        <v>8297</v>
      </c>
      <c r="B737" s="12">
        <v>373</v>
      </c>
      <c r="C737" t="s">
        <v>290</v>
      </c>
      <c r="E737" s="8"/>
      <c r="F737" s="12">
        <v>21</v>
      </c>
      <c r="G737" s="8" t="s">
        <v>44</v>
      </c>
      <c r="H737" s="12">
        <v>195</v>
      </c>
      <c r="I737" t="s">
        <v>346</v>
      </c>
      <c r="K737" t="s">
        <v>101</v>
      </c>
      <c r="N737" s="12"/>
      <c r="O737" s="8"/>
      <c r="Q737" s="8"/>
      <c r="R737" s="12">
        <v>1</v>
      </c>
      <c r="S737" s="8">
        <v>1</v>
      </c>
      <c r="T737" s="12"/>
      <c r="U737" s="8"/>
      <c r="V737" s="2">
        <v>45658</v>
      </c>
      <c r="W737" s="2">
        <v>1</v>
      </c>
      <c r="X737" s="2">
        <v>45672</v>
      </c>
      <c r="Y737" s="2">
        <v>45675</v>
      </c>
      <c r="Z737" s="2"/>
      <c r="AB737">
        <v>8297</v>
      </c>
      <c r="AC737">
        <v>68933</v>
      </c>
      <c r="AD737" t="s">
        <v>917</v>
      </c>
      <c r="AE737" s="2">
        <v>45695</v>
      </c>
      <c r="AF737">
        <v>0.75</v>
      </c>
      <c r="AG737" s="17">
        <v>3.125E-2</v>
      </c>
      <c r="AH737" s="2">
        <v>45695</v>
      </c>
    </row>
    <row r="738" spans="1:34" hidden="1" x14ac:dyDescent="0.25">
      <c r="A738" s="12">
        <v>8297</v>
      </c>
      <c r="B738" s="12">
        <v>373</v>
      </c>
      <c r="C738" t="s">
        <v>290</v>
      </c>
      <c r="E738" s="8"/>
      <c r="F738" s="12">
        <v>21</v>
      </c>
      <c r="G738" s="8" t="s">
        <v>44</v>
      </c>
      <c r="H738" s="12">
        <v>195</v>
      </c>
      <c r="I738" t="s">
        <v>346</v>
      </c>
      <c r="K738" t="s">
        <v>101</v>
      </c>
      <c r="N738" s="12"/>
      <c r="O738" s="8"/>
      <c r="Q738" s="8"/>
      <c r="R738" s="12">
        <v>1</v>
      </c>
      <c r="S738" s="8">
        <v>1</v>
      </c>
      <c r="T738" s="12"/>
      <c r="U738" s="8"/>
      <c r="V738" s="2">
        <v>45658</v>
      </c>
      <c r="W738" s="2">
        <v>1</v>
      </c>
      <c r="X738" s="2">
        <v>45672</v>
      </c>
      <c r="Y738" s="2">
        <v>45675</v>
      </c>
      <c r="Z738" s="2"/>
      <c r="AB738">
        <v>8297</v>
      </c>
      <c r="AC738">
        <v>68932</v>
      </c>
      <c r="AD738" t="s">
        <v>918</v>
      </c>
      <c r="AE738" s="2">
        <v>45695</v>
      </c>
      <c r="AF738">
        <v>0.5</v>
      </c>
      <c r="AG738" s="17">
        <v>2.0833333333333301E-2</v>
      </c>
      <c r="AH738" s="2">
        <v>45695</v>
      </c>
    </row>
    <row r="739" spans="1:34" hidden="1" x14ac:dyDescent="0.25">
      <c r="A739" s="12">
        <v>8518</v>
      </c>
      <c r="B739" s="12">
        <v>0</v>
      </c>
      <c r="C739" t="s">
        <v>444</v>
      </c>
      <c r="D739">
        <v>246863</v>
      </c>
      <c r="E739" s="8" t="s">
        <v>445</v>
      </c>
      <c r="F739" s="12">
        <v>21</v>
      </c>
      <c r="G739" s="8" t="s">
        <v>44</v>
      </c>
      <c r="H739" s="12">
        <v>3204</v>
      </c>
      <c r="I739" t="s">
        <v>52</v>
      </c>
      <c r="J739" t="s">
        <v>62</v>
      </c>
      <c r="K739" t="s">
        <v>63</v>
      </c>
      <c r="L739">
        <v>2</v>
      </c>
      <c r="M739" t="s">
        <v>157</v>
      </c>
      <c r="N739" s="12">
        <v>1</v>
      </c>
      <c r="O739" s="8" t="s">
        <v>193</v>
      </c>
      <c r="P739">
        <v>2</v>
      </c>
      <c r="Q739" s="8">
        <v>2</v>
      </c>
      <c r="R739" s="12">
        <v>2</v>
      </c>
      <c r="S739" s="8">
        <v>2</v>
      </c>
      <c r="T739" s="12"/>
      <c r="U739" s="8"/>
      <c r="V739" s="2">
        <v>45692</v>
      </c>
      <c r="W739" s="2">
        <v>45692</v>
      </c>
      <c r="X739" s="2">
        <v>45692</v>
      </c>
      <c r="Y739" s="2">
        <v>45692</v>
      </c>
      <c r="Z739" s="2">
        <v>45692</v>
      </c>
      <c r="AB739">
        <v>8518</v>
      </c>
      <c r="AC739">
        <v>75549</v>
      </c>
      <c r="AD739" t="s">
        <v>345</v>
      </c>
      <c r="AE739" s="2">
        <v>45692</v>
      </c>
      <c r="AF739">
        <v>1.5</v>
      </c>
      <c r="AG739" s="17">
        <v>6.25E-2</v>
      </c>
      <c r="AH739" s="2">
        <v>45721</v>
      </c>
    </row>
    <row r="740" spans="1:34" hidden="1" x14ac:dyDescent="0.25">
      <c r="A740" s="12">
        <v>8299</v>
      </c>
      <c r="B740" s="12">
        <v>370</v>
      </c>
      <c r="C740" t="s">
        <v>296</v>
      </c>
      <c r="D740">
        <v>247614</v>
      </c>
      <c r="E740" s="8" t="s">
        <v>243</v>
      </c>
      <c r="F740" s="12">
        <v>21</v>
      </c>
      <c r="G740" s="8" t="s">
        <v>44</v>
      </c>
      <c r="H740" s="12">
        <v>195</v>
      </c>
      <c r="I740" t="s">
        <v>346</v>
      </c>
      <c r="J740" t="s">
        <v>62</v>
      </c>
      <c r="K740" t="s">
        <v>101</v>
      </c>
      <c r="N740" s="12"/>
      <c r="O740" s="8"/>
      <c r="Q740" s="8"/>
      <c r="R740" s="12">
        <v>2</v>
      </c>
      <c r="S740" s="8">
        <v>2</v>
      </c>
      <c r="T740" s="12"/>
      <c r="U740" s="8"/>
      <c r="V740" s="2">
        <v>45678</v>
      </c>
      <c r="W740" s="2">
        <v>1</v>
      </c>
      <c r="X740" s="2">
        <v>45678</v>
      </c>
      <c r="Y740" s="2">
        <v>45688</v>
      </c>
      <c r="Z740" s="2">
        <v>45695</v>
      </c>
      <c r="AE740" s="2"/>
      <c r="AG740" s="17"/>
      <c r="AH740" s="2"/>
    </row>
    <row r="741" spans="1:34" hidden="1" x14ac:dyDescent="0.25">
      <c r="A741" s="12">
        <v>8517</v>
      </c>
      <c r="B741" s="12">
        <v>0</v>
      </c>
      <c r="C741" t="s">
        <v>447</v>
      </c>
      <c r="D741">
        <v>247884</v>
      </c>
      <c r="E741" s="8" t="s">
        <v>316</v>
      </c>
      <c r="F741" s="12">
        <v>21</v>
      </c>
      <c r="G741" s="8" t="s">
        <v>44</v>
      </c>
      <c r="H741" s="12">
        <v>3204</v>
      </c>
      <c r="I741" t="s">
        <v>52</v>
      </c>
      <c r="J741" t="s">
        <v>62</v>
      </c>
      <c r="K741" t="s">
        <v>101</v>
      </c>
      <c r="L741">
        <v>4</v>
      </c>
      <c r="M741" t="s">
        <v>207</v>
      </c>
      <c r="N741" s="12">
        <v>1</v>
      </c>
      <c r="O741" s="8" t="s">
        <v>193</v>
      </c>
      <c r="P741">
        <v>2</v>
      </c>
      <c r="Q741" s="8">
        <v>2</v>
      </c>
      <c r="R741" s="12"/>
      <c r="S741" s="8"/>
      <c r="T741" s="12"/>
      <c r="U741" s="8"/>
      <c r="V741" s="2">
        <v>45692</v>
      </c>
      <c r="W741" s="2">
        <v>45692</v>
      </c>
      <c r="X741" s="2">
        <v>45692</v>
      </c>
      <c r="Y741" s="2">
        <v>45692</v>
      </c>
      <c r="Z741" s="2">
        <v>45692</v>
      </c>
      <c r="AB741">
        <v>8517</v>
      </c>
      <c r="AC741">
        <v>75547</v>
      </c>
      <c r="AD741" t="s">
        <v>345</v>
      </c>
      <c r="AE741" s="2">
        <v>45692</v>
      </c>
      <c r="AF741">
        <v>1</v>
      </c>
      <c r="AG741" s="17">
        <v>4.1666666666666602E-2</v>
      </c>
      <c r="AH741" s="2">
        <v>45721</v>
      </c>
    </row>
    <row r="742" spans="1:34" hidden="1" x14ac:dyDescent="0.25">
      <c r="A742" s="12">
        <v>8303</v>
      </c>
      <c r="B742" s="12">
        <v>292</v>
      </c>
      <c r="C742" t="s">
        <v>301</v>
      </c>
      <c r="E742" s="8"/>
      <c r="F742" s="12">
        <v>21</v>
      </c>
      <c r="G742" s="8" t="s">
        <v>44</v>
      </c>
      <c r="H742" s="12">
        <v>195</v>
      </c>
      <c r="I742" t="s">
        <v>346</v>
      </c>
      <c r="J742" t="s">
        <v>62</v>
      </c>
      <c r="K742" t="s">
        <v>63</v>
      </c>
      <c r="N742" s="12"/>
      <c r="O742" s="8"/>
      <c r="P742">
        <v>1</v>
      </c>
      <c r="Q742" s="8">
        <v>1</v>
      </c>
      <c r="R742" s="12">
        <v>2</v>
      </c>
      <c r="S742" s="8">
        <v>2</v>
      </c>
      <c r="T742" s="12"/>
      <c r="U742" s="8"/>
      <c r="V742" s="2">
        <v>45658</v>
      </c>
      <c r="W742" s="2">
        <v>1</v>
      </c>
      <c r="X742" s="2">
        <v>45688</v>
      </c>
      <c r="Y742" s="2">
        <v>45688</v>
      </c>
      <c r="Z742" s="2"/>
      <c r="AE742" s="2"/>
      <c r="AG742" s="17"/>
      <c r="AH742" s="2"/>
    </row>
    <row r="743" spans="1:34" hidden="1" x14ac:dyDescent="0.25">
      <c r="A743" s="12">
        <v>8516</v>
      </c>
      <c r="B743" s="12">
        <v>0</v>
      </c>
      <c r="C743" t="s">
        <v>450</v>
      </c>
      <c r="D743">
        <v>289006</v>
      </c>
      <c r="E743" s="8" t="s">
        <v>241</v>
      </c>
      <c r="F743" s="12">
        <v>21</v>
      </c>
      <c r="G743" s="8" t="s">
        <v>44</v>
      </c>
      <c r="H743" s="12">
        <v>3204</v>
      </c>
      <c r="I743" t="s">
        <v>52</v>
      </c>
      <c r="J743" t="s">
        <v>62</v>
      </c>
      <c r="K743" t="s">
        <v>101</v>
      </c>
      <c r="L743">
        <v>4</v>
      </c>
      <c r="M743" t="s">
        <v>207</v>
      </c>
      <c r="N743" s="12">
        <v>2</v>
      </c>
      <c r="O743" s="8" t="s">
        <v>158</v>
      </c>
      <c r="P743">
        <v>2</v>
      </c>
      <c r="Q743" s="8">
        <v>2</v>
      </c>
      <c r="R743" s="12"/>
      <c r="S743" s="8"/>
      <c r="T743" s="12"/>
      <c r="U743" s="8"/>
      <c r="V743" s="2">
        <v>45692</v>
      </c>
      <c r="W743" s="2">
        <v>45692</v>
      </c>
      <c r="X743" s="2">
        <v>45692</v>
      </c>
      <c r="Y743" s="2">
        <v>45692</v>
      </c>
      <c r="Z743" s="2">
        <v>45692</v>
      </c>
      <c r="AB743">
        <v>8516</v>
      </c>
      <c r="AC743">
        <v>75554</v>
      </c>
      <c r="AD743" t="s">
        <v>345</v>
      </c>
      <c r="AE743" s="2">
        <v>45693</v>
      </c>
      <c r="AF743">
        <v>3.5</v>
      </c>
      <c r="AG743" s="17">
        <v>0.14583333333333301</v>
      </c>
      <c r="AH743" s="2">
        <v>45721</v>
      </c>
    </row>
    <row r="744" spans="1:34" hidden="1" x14ac:dyDescent="0.25">
      <c r="A744" s="12">
        <v>8516</v>
      </c>
      <c r="B744" s="12">
        <v>0</v>
      </c>
      <c r="C744" t="s">
        <v>450</v>
      </c>
      <c r="D744">
        <v>289006</v>
      </c>
      <c r="E744" s="8" t="s">
        <v>241</v>
      </c>
      <c r="F744" s="12">
        <v>21</v>
      </c>
      <c r="G744" s="8" t="s">
        <v>44</v>
      </c>
      <c r="H744" s="12">
        <v>3204</v>
      </c>
      <c r="I744" t="s">
        <v>52</v>
      </c>
      <c r="K744" t="s">
        <v>101</v>
      </c>
      <c r="L744">
        <v>4</v>
      </c>
      <c r="M744" t="s">
        <v>207</v>
      </c>
      <c r="N744" s="12">
        <v>2</v>
      </c>
      <c r="O744" s="8" t="s">
        <v>158</v>
      </c>
      <c r="P744">
        <v>2</v>
      </c>
      <c r="Q744" s="8">
        <v>2</v>
      </c>
      <c r="R744" s="12"/>
      <c r="S744" s="8"/>
      <c r="T744" s="12"/>
      <c r="U744" s="8"/>
      <c r="V744" s="2">
        <v>45692</v>
      </c>
      <c r="W744" s="2">
        <v>45692</v>
      </c>
      <c r="X744" s="2">
        <v>45692</v>
      </c>
      <c r="Y744" s="2">
        <v>45692</v>
      </c>
      <c r="Z744" s="2">
        <v>45692</v>
      </c>
      <c r="AB744">
        <v>8516</v>
      </c>
      <c r="AC744">
        <v>75542</v>
      </c>
      <c r="AD744" t="s">
        <v>897</v>
      </c>
      <c r="AE744" s="2">
        <v>45692</v>
      </c>
      <c r="AF744">
        <v>5</v>
      </c>
      <c r="AG744" s="17">
        <v>0.20833333333333301</v>
      </c>
      <c r="AH744" s="2">
        <v>45721</v>
      </c>
    </row>
    <row r="745" spans="1:34" hidden="1" x14ac:dyDescent="0.25">
      <c r="A745" s="12">
        <v>8269</v>
      </c>
      <c r="B745" s="12">
        <v>290</v>
      </c>
      <c r="C745" t="s">
        <v>305</v>
      </c>
      <c r="D745">
        <v>247828</v>
      </c>
      <c r="E745" s="8" t="s">
        <v>61</v>
      </c>
      <c r="F745" s="12">
        <v>21</v>
      </c>
      <c r="G745" s="8" t="s">
        <v>44</v>
      </c>
      <c r="H745" s="12">
        <v>195</v>
      </c>
      <c r="I745" t="s">
        <v>346</v>
      </c>
      <c r="J745" t="s">
        <v>62</v>
      </c>
      <c r="K745" t="s">
        <v>63</v>
      </c>
      <c r="N745" s="12"/>
      <c r="O745" s="8"/>
      <c r="P745">
        <v>1</v>
      </c>
      <c r="Q745" s="8">
        <v>1</v>
      </c>
      <c r="R745" s="12">
        <v>1</v>
      </c>
      <c r="S745" s="8">
        <v>1</v>
      </c>
      <c r="T745" s="12"/>
      <c r="U745" s="8"/>
      <c r="V745" s="2">
        <v>45658</v>
      </c>
      <c r="W745" s="2">
        <v>1</v>
      </c>
      <c r="X745" s="2">
        <v>45688</v>
      </c>
      <c r="Y745" s="2">
        <v>45688</v>
      </c>
      <c r="Z745" s="2"/>
      <c r="AA745" t="s">
        <v>306</v>
      </c>
      <c r="AB745">
        <v>8269</v>
      </c>
      <c r="AC745">
        <v>66030</v>
      </c>
      <c r="AD745" t="s">
        <v>345</v>
      </c>
      <c r="AE745" s="2">
        <v>45680</v>
      </c>
      <c r="AF745">
        <v>4.5</v>
      </c>
      <c r="AG745" s="17">
        <v>0.1875</v>
      </c>
      <c r="AH745" s="2">
        <v>45686</v>
      </c>
    </row>
    <row r="746" spans="1:34" hidden="1" x14ac:dyDescent="0.25">
      <c r="A746" s="12">
        <v>8514</v>
      </c>
      <c r="B746" s="12">
        <v>0</v>
      </c>
      <c r="C746" t="s">
        <v>451</v>
      </c>
      <c r="D746">
        <v>247884</v>
      </c>
      <c r="E746" s="8" t="s">
        <v>316</v>
      </c>
      <c r="F746" s="12">
        <v>21</v>
      </c>
      <c r="G746" s="8" t="s">
        <v>44</v>
      </c>
      <c r="H746" s="12">
        <v>3204</v>
      </c>
      <c r="I746" t="s">
        <v>52</v>
      </c>
      <c r="J746" t="s">
        <v>62</v>
      </c>
      <c r="K746" t="s">
        <v>101</v>
      </c>
      <c r="L746">
        <v>4</v>
      </c>
      <c r="M746" t="s">
        <v>207</v>
      </c>
      <c r="N746" s="12">
        <v>2</v>
      </c>
      <c r="O746" s="8" t="s">
        <v>158</v>
      </c>
      <c r="P746">
        <v>2</v>
      </c>
      <c r="Q746" s="8">
        <v>2</v>
      </c>
      <c r="R746" s="12">
        <v>2</v>
      </c>
      <c r="S746" s="8">
        <v>2</v>
      </c>
      <c r="T746" s="12"/>
      <c r="U746" s="8"/>
      <c r="V746" s="2">
        <v>45691</v>
      </c>
      <c r="W746" s="2">
        <v>45691</v>
      </c>
      <c r="X746" s="2">
        <v>45691</v>
      </c>
      <c r="Y746" s="2">
        <v>45691</v>
      </c>
      <c r="Z746" s="2">
        <v>45691</v>
      </c>
      <c r="AB746">
        <v>8514</v>
      </c>
      <c r="AC746">
        <v>75536</v>
      </c>
      <c r="AD746" t="s">
        <v>345</v>
      </c>
      <c r="AE746" s="2">
        <v>45691</v>
      </c>
      <c r="AF746">
        <v>2</v>
      </c>
      <c r="AG746" s="17">
        <v>8.3333333333333301E-2</v>
      </c>
      <c r="AH746" s="2">
        <v>45721</v>
      </c>
    </row>
    <row r="747" spans="1:34" hidden="1" x14ac:dyDescent="0.25">
      <c r="A747" s="12">
        <v>8300</v>
      </c>
      <c r="B747" s="12">
        <v>371</v>
      </c>
      <c r="C747" t="s">
        <v>309</v>
      </c>
      <c r="E747" s="8"/>
      <c r="F747" s="12">
        <v>21</v>
      </c>
      <c r="G747" s="8" t="s">
        <v>44</v>
      </c>
      <c r="H747" s="12">
        <v>195</v>
      </c>
      <c r="I747" t="s">
        <v>346</v>
      </c>
      <c r="J747" t="s">
        <v>62</v>
      </c>
      <c r="K747" t="s">
        <v>101</v>
      </c>
      <c r="N747" s="12"/>
      <c r="O747" s="8"/>
      <c r="Q747" s="8"/>
      <c r="R747" s="12">
        <v>1</v>
      </c>
      <c r="S747" s="8">
        <v>1</v>
      </c>
      <c r="T747" s="12"/>
      <c r="U747" s="8"/>
      <c r="V747" s="2">
        <v>45663</v>
      </c>
      <c r="W747" s="2">
        <v>1</v>
      </c>
      <c r="X747" s="2">
        <v>45688</v>
      </c>
      <c r="Y747" s="2">
        <v>45688</v>
      </c>
      <c r="Z747" s="2"/>
      <c r="AE747" s="2"/>
      <c r="AG747" s="17"/>
      <c r="AH747" s="2"/>
    </row>
    <row r="748" spans="1:34" hidden="1" x14ac:dyDescent="0.25">
      <c r="A748" s="12">
        <v>8515</v>
      </c>
      <c r="B748" s="12">
        <v>0</v>
      </c>
      <c r="C748" t="s">
        <v>453</v>
      </c>
      <c r="D748">
        <v>254970</v>
      </c>
      <c r="E748" s="8" t="s">
        <v>321</v>
      </c>
      <c r="F748" s="12">
        <v>21</v>
      </c>
      <c r="G748" s="8" t="s">
        <v>44</v>
      </c>
      <c r="H748" s="12">
        <v>3204</v>
      </c>
      <c r="I748" t="s">
        <v>52</v>
      </c>
      <c r="J748" t="s">
        <v>62</v>
      </c>
      <c r="K748" t="s">
        <v>101</v>
      </c>
      <c r="L748">
        <v>4</v>
      </c>
      <c r="M748" t="s">
        <v>207</v>
      </c>
      <c r="N748" s="12">
        <v>2</v>
      </c>
      <c r="O748" s="8" t="s">
        <v>158</v>
      </c>
      <c r="P748">
        <v>2</v>
      </c>
      <c r="Q748" s="8">
        <v>2</v>
      </c>
      <c r="R748" s="12">
        <v>2</v>
      </c>
      <c r="S748" s="8">
        <v>2</v>
      </c>
      <c r="T748" s="12"/>
      <c r="U748" s="8"/>
      <c r="V748" s="2">
        <v>45691</v>
      </c>
      <c r="W748" s="2">
        <v>45691</v>
      </c>
      <c r="X748" s="2"/>
      <c r="Y748" s="2">
        <v>45691</v>
      </c>
      <c r="Z748" s="2">
        <v>45691</v>
      </c>
      <c r="AB748">
        <v>8515</v>
      </c>
      <c r="AC748">
        <v>75540</v>
      </c>
      <c r="AD748" t="s">
        <v>345</v>
      </c>
      <c r="AE748" s="2">
        <v>45691</v>
      </c>
      <c r="AF748">
        <v>2</v>
      </c>
      <c r="AG748" s="17">
        <v>8.3333333333333301E-2</v>
      </c>
      <c r="AH748" s="2">
        <v>45721</v>
      </c>
    </row>
    <row r="749" spans="1:34" hidden="1" x14ac:dyDescent="0.25">
      <c r="A749" s="12">
        <v>8453</v>
      </c>
      <c r="B749" s="12">
        <v>372</v>
      </c>
      <c r="C749" t="s">
        <v>311</v>
      </c>
      <c r="D749">
        <v>289036</v>
      </c>
      <c r="E749" s="8" t="s">
        <v>280</v>
      </c>
      <c r="F749" s="12">
        <v>21</v>
      </c>
      <c r="G749" s="8" t="s">
        <v>44</v>
      </c>
      <c r="H749" s="12">
        <v>195</v>
      </c>
      <c r="I749" t="s">
        <v>346</v>
      </c>
      <c r="J749" t="s">
        <v>62</v>
      </c>
      <c r="K749" t="s">
        <v>101</v>
      </c>
      <c r="N749" s="12"/>
      <c r="O749" s="8"/>
      <c r="Q749" s="8"/>
      <c r="R749" s="12">
        <v>1</v>
      </c>
      <c r="S749" s="8">
        <v>1</v>
      </c>
      <c r="T749" s="12"/>
      <c r="U749" s="8"/>
      <c r="V749" s="2">
        <v>45673</v>
      </c>
      <c r="W749" s="2">
        <v>1</v>
      </c>
      <c r="X749" s="2">
        <v>45675</v>
      </c>
      <c r="Y749" s="2">
        <v>45675</v>
      </c>
      <c r="Z749" s="2"/>
      <c r="AE749" s="2"/>
      <c r="AG749" s="17"/>
      <c r="AH749" s="2"/>
    </row>
    <row r="750" spans="1:34" hidden="1" x14ac:dyDescent="0.25">
      <c r="A750" s="12">
        <v>8513</v>
      </c>
      <c r="B750" s="12">
        <v>0</v>
      </c>
      <c r="C750" t="s">
        <v>454</v>
      </c>
      <c r="D750">
        <v>247885</v>
      </c>
      <c r="E750" s="8" t="s">
        <v>82</v>
      </c>
      <c r="F750" s="12">
        <v>21</v>
      </c>
      <c r="G750" s="8" t="s">
        <v>44</v>
      </c>
      <c r="H750" s="12">
        <v>3204</v>
      </c>
      <c r="I750" t="s">
        <v>52</v>
      </c>
      <c r="J750" t="s">
        <v>62</v>
      </c>
      <c r="K750" t="s">
        <v>101</v>
      </c>
      <c r="L750">
        <v>4</v>
      </c>
      <c r="M750" t="s">
        <v>207</v>
      </c>
      <c r="N750" s="12">
        <v>2</v>
      </c>
      <c r="O750" s="8" t="s">
        <v>158</v>
      </c>
      <c r="P750">
        <v>2</v>
      </c>
      <c r="Q750" s="8">
        <v>2</v>
      </c>
      <c r="R750" s="12"/>
      <c r="S750" s="8"/>
      <c r="T750" s="12"/>
      <c r="U750" s="8"/>
      <c r="V750" s="2">
        <v>45691</v>
      </c>
      <c r="W750" s="2">
        <v>45691</v>
      </c>
      <c r="X750" s="2">
        <v>45691</v>
      </c>
      <c r="Y750" s="2">
        <v>45691</v>
      </c>
      <c r="Z750" s="2">
        <v>45691</v>
      </c>
      <c r="AB750">
        <v>8513</v>
      </c>
      <c r="AC750">
        <v>75535</v>
      </c>
      <c r="AD750" t="s">
        <v>345</v>
      </c>
      <c r="AE750" s="2">
        <v>45691</v>
      </c>
      <c r="AF750">
        <v>1</v>
      </c>
      <c r="AG750" s="17">
        <v>4.1666666666666602E-2</v>
      </c>
      <c r="AH750" s="2">
        <v>45721</v>
      </c>
    </row>
    <row r="751" spans="1:34" hidden="1" x14ac:dyDescent="0.25">
      <c r="A751" s="12">
        <v>8513</v>
      </c>
      <c r="B751" s="12">
        <v>0</v>
      </c>
      <c r="C751" t="s">
        <v>454</v>
      </c>
      <c r="D751">
        <v>247885</v>
      </c>
      <c r="E751" s="8" t="s">
        <v>82</v>
      </c>
      <c r="F751" s="12">
        <v>21</v>
      </c>
      <c r="G751" s="8" t="s">
        <v>44</v>
      </c>
      <c r="H751" s="12">
        <v>3204</v>
      </c>
      <c r="I751" t="s">
        <v>52</v>
      </c>
      <c r="K751" t="s">
        <v>101</v>
      </c>
      <c r="L751">
        <v>4</v>
      </c>
      <c r="M751" t="s">
        <v>207</v>
      </c>
      <c r="N751" s="12">
        <v>2</v>
      </c>
      <c r="O751" s="8" t="s">
        <v>158</v>
      </c>
      <c r="P751">
        <v>2</v>
      </c>
      <c r="Q751" s="8">
        <v>2</v>
      </c>
      <c r="R751" s="12"/>
      <c r="S751" s="8"/>
      <c r="T751" s="12"/>
      <c r="U751" s="8"/>
      <c r="V751" s="2">
        <v>45691</v>
      </c>
      <c r="W751" s="2">
        <v>45691</v>
      </c>
      <c r="X751" s="2">
        <v>45691</v>
      </c>
      <c r="Y751" s="2">
        <v>45691</v>
      </c>
      <c r="Z751" s="2">
        <v>45691</v>
      </c>
      <c r="AB751">
        <v>8513</v>
      </c>
      <c r="AC751">
        <v>75534</v>
      </c>
      <c r="AD751" t="s">
        <v>345</v>
      </c>
      <c r="AE751" s="2">
        <v>45691</v>
      </c>
      <c r="AF751">
        <v>2</v>
      </c>
      <c r="AG751" s="17">
        <v>8.3333333333333301E-2</v>
      </c>
      <c r="AH751" s="2">
        <v>45721</v>
      </c>
    </row>
    <row r="752" spans="1:34" hidden="1" x14ac:dyDescent="0.25">
      <c r="A752" s="12">
        <v>8512</v>
      </c>
      <c r="B752" s="12">
        <v>0</v>
      </c>
      <c r="C752" t="s">
        <v>455</v>
      </c>
      <c r="D752">
        <v>246832</v>
      </c>
      <c r="E752" s="8" t="s">
        <v>300</v>
      </c>
      <c r="F752" s="12">
        <v>21</v>
      </c>
      <c r="G752" s="8" t="s">
        <v>44</v>
      </c>
      <c r="H752" s="12">
        <v>3204</v>
      </c>
      <c r="I752" t="s">
        <v>52</v>
      </c>
      <c r="J752" t="s">
        <v>62</v>
      </c>
      <c r="K752" t="s">
        <v>101</v>
      </c>
      <c r="L752">
        <v>4</v>
      </c>
      <c r="M752" t="s">
        <v>207</v>
      </c>
      <c r="N752" s="12">
        <v>2</v>
      </c>
      <c r="O752" s="8" t="s">
        <v>158</v>
      </c>
      <c r="P752">
        <v>2</v>
      </c>
      <c r="Q752" s="8">
        <v>2</v>
      </c>
      <c r="R752" s="12">
        <v>2</v>
      </c>
      <c r="S752" s="8">
        <v>2</v>
      </c>
      <c r="T752" s="12"/>
      <c r="U752" s="8"/>
      <c r="V752" s="2">
        <v>45691</v>
      </c>
      <c r="W752" s="2">
        <v>45691</v>
      </c>
      <c r="X752" s="2">
        <v>45691</v>
      </c>
      <c r="Y752" s="2">
        <v>45691</v>
      </c>
      <c r="Z752" s="2">
        <v>45691</v>
      </c>
      <c r="AB752">
        <v>8512</v>
      </c>
      <c r="AC752">
        <v>75532</v>
      </c>
      <c r="AD752" t="s">
        <v>345</v>
      </c>
      <c r="AE752" s="2">
        <v>45691</v>
      </c>
      <c r="AF752">
        <v>2</v>
      </c>
      <c r="AG752" s="17">
        <v>8.3333333333333301E-2</v>
      </c>
      <c r="AH752" s="2">
        <v>45721</v>
      </c>
    </row>
    <row r="753" spans="1:34" hidden="1" x14ac:dyDescent="0.25">
      <c r="A753" s="12">
        <v>8305</v>
      </c>
      <c r="B753" s="12">
        <v>344</v>
      </c>
      <c r="C753" t="s">
        <v>155</v>
      </c>
      <c r="D753">
        <v>247417</v>
      </c>
      <c r="E753" s="8" t="s">
        <v>156</v>
      </c>
      <c r="F753" s="12">
        <v>21</v>
      </c>
      <c r="G753" s="8" t="s">
        <v>44</v>
      </c>
      <c r="H753" s="12">
        <v>3204</v>
      </c>
      <c r="I753" t="s">
        <v>52</v>
      </c>
      <c r="J753" t="s">
        <v>62</v>
      </c>
      <c r="K753" t="s">
        <v>63</v>
      </c>
      <c r="L753">
        <v>2</v>
      </c>
      <c r="M753" t="s">
        <v>157</v>
      </c>
      <c r="N753" s="12">
        <v>2</v>
      </c>
      <c r="O753" s="8" t="s">
        <v>158</v>
      </c>
      <c r="P753">
        <v>1</v>
      </c>
      <c r="Q753" s="8">
        <v>1</v>
      </c>
      <c r="R753" s="12">
        <v>3</v>
      </c>
      <c r="S753" s="8">
        <v>3</v>
      </c>
      <c r="T753" s="12"/>
      <c r="U753" s="8"/>
      <c r="V753" s="2">
        <v>45658</v>
      </c>
      <c r="W753" s="2">
        <v>1</v>
      </c>
      <c r="X753" s="2">
        <v>45716</v>
      </c>
      <c r="Y753" s="2">
        <v>45716</v>
      </c>
      <c r="Z753" s="2"/>
      <c r="AB753">
        <v>8305</v>
      </c>
      <c r="AC753">
        <v>74673</v>
      </c>
      <c r="AD753" t="s">
        <v>345</v>
      </c>
      <c r="AE753" s="2">
        <v>45716</v>
      </c>
      <c r="AF753">
        <v>4</v>
      </c>
      <c r="AG753" s="17">
        <v>0.16666666666666599</v>
      </c>
      <c r="AH753" s="2">
        <v>45716</v>
      </c>
    </row>
    <row r="754" spans="1:34" hidden="1" x14ac:dyDescent="0.25">
      <c r="A754" s="12">
        <v>8305</v>
      </c>
      <c r="B754" s="12">
        <v>344</v>
      </c>
      <c r="C754" t="s">
        <v>155</v>
      </c>
      <c r="D754">
        <v>247417</v>
      </c>
      <c r="E754" s="8" t="s">
        <v>156</v>
      </c>
      <c r="F754" s="12">
        <v>21</v>
      </c>
      <c r="G754" s="8" t="s">
        <v>44</v>
      </c>
      <c r="H754" s="12">
        <v>3204</v>
      </c>
      <c r="I754" t="s">
        <v>52</v>
      </c>
      <c r="K754" t="s">
        <v>63</v>
      </c>
      <c r="L754">
        <v>2</v>
      </c>
      <c r="M754" t="s">
        <v>157</v>
      </c>
      <c r="N754" s="12">
        <v>2</v>
      </c>
      <c r="O754" s="8" t="s">
        <v>158</v>
      </c>
      <c r="P754">
        <v>1</v>
      </c>
      <c r="Q754" s="8">
        <v>1</v>
      </c>
      <c r="R754" s="12">
        <v>3</v>
      </c>
      <c r="S754" s="8">
        <v>3</v>
      </c>
      <c r="T754" s="12"/>
      <c r="U754" s="8"/>
      <c r="V754" s="2">
        <v>45658</v>
      </c>
      <c r="W754" s="2">
        <v>1</v>
      </c>
      <c r="X754" s="2">
        <v>45716</v>
      </c>
      <c r="Y754" s="2">
        <v>45716</v>
      </c>
      <c r="Z754" s="2"/>
      <c r="AB754">
        <v>8305</v>
      </c>
      <c r="AC754">
        <v>74647</v>
      </c>
      <c r="AD754" t="s">
        <v>345</v>
      </c>
      <c r="AE754" s="2">
        <v>45715</v>
      </c>
      <c r="AF754">
        <v>6</v>
      </c>
      <c r="AG754" s="17">
        <v>0.25</v>
      </c>
      <c r="AH754" s="2">
        <v>45716</v>
      </c>
    </row>
    <row r="755" spans="1:34" hidden="1" x14ac:dyDescent="0.25">
      <c r="A755" s="12">
        <v>8305</v>
      </c>
      <c r="B755" s="12">
        <v>344</v>
      </c>
      <c r="C755" t="s">
        <v>155</v>
      </c>
      <c r="D755">
        <v>247417</v>
      </c>
      <c r="E755" s="8" t="s">
        <v>156</v>
      </c>
      <c r="F755" s="12">
        <v>21</v>
      </c>
      <c r="G755" s="8" t="s">
        <v>44</v>
      </c>
      <c r="H755" s="12">
        <v>3204</v>
      </c>
      <c r="I755" t="s">
        <v>52</v>
      </c>
      <c r="K755" t="s">
        <v>63</v>
      </c>
      <c r="L755">
        <v>2</v>
      </c>
      <c r="M755" t="s">
        <v>157</v>
      </c>
      <c r="N755" s="12">
        <v>2</v>
      </c>
      <c r="O755" s="8" t="s">
        <v>158</v>
      </c>
      <c r="P755">
        <v>1</v>
      </c>
      <c r="Q755" s="8">
        <v>1</v>
      </c>
      <c r="R755" s="12">
        <v>3</v>
      </c>
      <c r="S755" s="8">
        <v>3</v>
      </c>
      <c r="T755" s="12"/>
      <c r="U755" s="8"/>
      <c r="V755" s="2">
        <v>45658</v>
      </c>
      <c r="W755" s="2">
        <v>1</v>
      </c>
      <c r="X755" s="2">
        <v>45716</v>
      </c>
      <c r="Y755" s="2">
        <v>45716</v>
      </c>
      <c r="Z755" s="2"/>
      <c r="AB755">
        <v>8305</v>
      </c>
      <c r="AC755">
        <v>74222</v>
      </c>
      <c r="AD755" t="s">
        <v>345</v>
      </c>
      <c r="AE755" s="2">
        <v>45714</v>
      </c>
      <c r="AF755">
        <v>6</v>
      </c>
      <c r="AG755" s="17">
        <v>0.25</v>
      </c>
      <c r="AH755" s="2">
        <v>45716</v>
      </c>
    </row>
    <row r="756" spans="1:34" hidden="1" x14ac:dyDescent="0.25">
      <c r="A756" s="12">
        <v>8305</v>
      </c>
      <c r="B756" s="12">
        <v>344</v>
      </c>
      <c r="C756" t="s">
        <v>155</v>
      </c>
      <c r="D756">
        <v>247417</v>
      </c>
      <c r="E756" s="8" t="s">
        <v>156</v>
      </c>
      <c r="F756" s="12">
        <v>21</v>
      </c>
      <c r="G756" s="8" t="s">
        <v>44</v>
      </c>
      <c r="H756" s="12">
        <v>3204</v>
      </c>
      <c r="I756" t="s">
        <v>52</v>
      </c>
      <c r="K756" t="s">
        <v>63</v>
      </c>
      <c r="L756">
        <v>2</v>
      </c>
      <c r="M756" t="s">
        <v>157</v>
      </c>
      <c r="N756" s="12">
        <v>2</v>
      </c>
      <c r="O756" s="8" t="s">
        <v>158</v>
      </c>
      <c r="P756">
        <v>1</v>
      </c>
      <c r="Q756" s="8">
        <v>1</v>
      </c>
      <c r="R756" s="12">
        <v>3</v>
      </c>
      <c r="S756" s="8">
        <v>3</v>
      </c>
      <c r="T756" s="12"/>
      <c r="U756" s="8"/>
      <c r="V756" s="2">
        <v>45658</v>
      </c>
      <c r="W756" s="2">
        <v>1</v>
      </c>
      <c r="X756" s="2">
        <v>45716</v>
      </c>
      <c r="Y756" s="2">
        <v>45716</v>
      </c>
      <c r="Z756" s="2"/>
      <c r="AB756">
        <v>8305</v>
      </c>
      <c r="AC756">
        <v>74219</v>
      </c>
      <c r="AD756" t="s">
        <v>919</v>
      </c>
      <c r="AE756" s="2">
        <v>45713</v>
      </c>
      <c r="AF756">
        <v>8</v>
      </c>
      <c r="AG756" s="17">
        <v>0.33333333333333298</v>
      </c>
      <c r="AH756" s="2">
        <v>45716</v>
      </c>
    </row>
    <row r="757" spans="1:34" hidden="1" x14ac:dyDescent="0.25">
      <c r="A757" s="12">
        <v>8305</v>
      </c>
      <c r="B757" s="12">
        <v>344</v>
      </c>
      <c r="C757" t="s">
        <v>155</v>
      </c>
      <c r="D757">
        <v>247417</v>
      </c>
      <c r="E757" s="8" t="s">
        <v>156</v>
      </c>
      <c r="F757" s="12">
        <v>21</v>
      </c>
      <c r="G757" s="8" t="s">
        <v>44</v>
      </c>
      <c r="H757" s="12">
        <v>3204</v>
      </c>
      <c r="I757" t="s">
        <v>52</v>
      </c>
      <c r="K757" t="s">
        <v>63</v>
      </c>
      <c r="L757">
        <v>2</v>
      </c>
      <c r="M757" t="s">
        <v>157</v>
      </c>
      <c r="N757" s="12">
        <v>2</v>
      </c>
      <c r="O757" s="8" t="s">
        <v>158</v>
      </c>
      <c r="P757">
        <v>1</v>
      </c>
      <c r="Q757" s="8">
        <v>1</v>
      </c>
      <c r="R757" s="12">
        <v>3</v>
      </c>
      <c r="S757" s="8">
        <v>3</v>
      </c>
      <c r="T757" s="12"/>
      <c r="U757" s="8"/>
      <c r="V757" s="2">
        <v>45658</v>
      </c>
      <c r="W757" s="2">
        <v>1</v>
      </c>
      <c r="X757" s="2">
        <v>45716</v>
      </c>
      <c r="Y757" s="2">
        <v>45716</v>
      </c>
      <c r="Z757" s="2"/>
      <c r="AB757">
        <v>8305</v>
      </c>
      <c r="AC757">
        <v>74218</v>
      </c>
      <c r="AD757" t="s">
        <v>345</v>
      </c>
      <c r="AE757" s="2">
        <v>45712</v>
      </c>
      <c r="AF757">
        <v>9</v>
      </c>
      <c r="AG757" s="17">
        <v>0.375</v>
      </c>
      <c r="AH757" s="2">
        <v>45716</v>
      </c>
    </row>
    <row r="758" spans="1:34" hidden="1" x14ac:dyDescent="0.25">
      <c r="A758" s="12">
        <v>8305</v>
      </c>
      <c r="B758" s="12">
        <v>344</v>
      </c>
      <c r="C758" t="s">
        <v>155</v>
      </c>
      <c r="D758">
        <v>247417</v>
      </c>
      <c r="E758" s="8" t="s">
        <v>156</v>
      </c>
      <c r="F758" s="12">
        <v>21</v>
      </c>
      <c r="G758" s="8" t="s">
        <v>44</v>
      </c>
      <c r="H758" s="12">
        <v>3204</v>
      </c>
      <c r="I758" t="s">
        <v>52</v>
      </c>
      <c r="K758" t="s">
        <v>63</v>
      </c>
      <c r="L758">
        <v>2</v>
      </c>
      <c r="M758" t="s">
        <v>157</v>
      </c>
      <c r="N758" s="12">
        <v>2</v>
      </c>
      <c r="O758" s="8" t="s">
        <v>158</v>
      </c>
      <c r="P758">
        <v>1</v>
      </c>
      <c r="Q758" s="8">
        <v>1</v>
      </c>
      <c r="R758" s="12">
        <v>3</v>
      </c>
      <c r="S758" s="8">
        <v>3</v>
      </c>
      <c r="T758" s="12"/>
      <c r="U758" s="8"/>
      <c r="V758" s="2">
        <v>45658</v>
      </c>
      <c r="W758" s="2">
        <v>1</v>
      </c>
      <c r="X758" s="2">
        <v>45716</v>
      </c>
      <c r="Y758" s="2">
        <v>45716</v>
      </c>
      <c r="Z758" s="2"/>
      <c r="AB758">
        <v>8305</v>
      </c>
      <c r="AC758">
        <v>73073</v>
      </c>
      <c r="AD758" t="s">
        <v>920</v>
      </c>
      <c r="AE758" s="2">
        <v>45709</v>
      </c>
      <c r="AF758">
        <v>8</v>
      </c>
      <c r="AG758" s="17">
        <v>0.33333333333333298</v>
      </c>
      <c r="AH758" s="2">
        <v>45712</v>
      </c>
    </row>
    <row r="759" spans="1:34" hidden="1" x14ac:dyDescent="0.25">
      <c r="A759" s="12">
        <v>8305</v>
      </c>
      <c r="B759" s="12">
        <v>344</v>
      </c>
      <c r="C759" t="s">
        <v>155</v>
      </c>
      <c r="D759">
        <v>247417</v>
      </c>
      <c r="E759" s="8" t="s">
        <v>156</v>
      </c>
      <c r="F759" s="12">
        <v>21</v>
      </c>
      <c r="G759" s="8" t="s">
        <v>44</v>
      </c>
      <c r="H759" s="12">
        <v>3204</v>
      </c>
      <c r="I759" t="s">
        <v>52</v>
      </c>
      <c r="K759" t="s">
        <v>63</v>
      </c>
      <c r="L759">
        <v>2</v>
      </c>
      <c r="M759" t="s">
        <v>157</v>
      </c>
      <c r="N759" s="12">
        <v>2</v>
      </c>
      <c r="O759" s="8" t="s">
        <v>158</v>
      </c>
      <c r="P759">
        <v>1</v>
      </c>
      <c r="Q759" s="8">
        <v>1</v>
      </c>
      <c r="R759" s="12">
        <v>3</v>
      </c>
      <c r="S759" s="8">
        <v>3</v>
      </c>
      <c r="T759" s="12"/>
      <c r="U759" s="8"/>
      <c r="V759" s="2">
        <v>45658</v>
      </c>
      <c r="W759" s="2">
        <v>1</v>
      </c>
      <c r="X759" s="2">
        <v>45716</v>
      </c>
      <c r="Y759" s="2">
        <v>45716</v>
      </c>
      <c r="Z759" s="2"/>
      <c r="AB759">
        <v>8305</v>
      </c>
      <c r="AC759">
        <v>73080</v>
      </c>
      <c r="AD759" t="s">
        <v>345</v>
      </c>
      <c r="AE759" s="2">
        <v>45708</v>
      </c>
      <c r="AF759">
        <v>3</v>
      </c>
      <c r="AG759" s="17">
        <v>0.125</v>
      </c>
      <c r="AH759" s="2">
        <v>45712</v>
      </c>
    </row>
    <row r="760" spans="1:34" hidden="1" x14ac:dyDescent="0.25">
      <c r="A760" s="12">
        <v>8305</v>
      </c>
      <c r="B760" s="12">
        <v>344</v>
      </c>
      <c r="C760" t="s">
        <v>155</v>
      </c>
      <c r="D760">
        <v>247417</v>
      </c>
      <c r="E760" s="8" t="s">
        <v>156</v>
      </c>
      <c r="F760" s="12">
        <v>21</v>
      </c>
      <c r="G760" s="8" t="s">
        <v>44</v>
      </c>
      <c r="H760" s="12">
        <v>3204</v>
      </c>
      <c r="I760" t="s">
        <v>52</v>
      </c>
      <c r="K760" t="s">
        <v>63</v>
      </c>
      <c r="L760">
        <v>2</v>
      </c>
      <c r="M760" t="s">
        <v>157</v>
      </c>
      <c r="N760" s="12">
        <v>2</v>
      </c>
      <c r="O760" s="8" t="s">
        <v>158</v>
      </c>
      <c r="P760">
        <v>1</v>
      </c>
      <c r="Q760" s="8">
        <v>1</v>
      </c>
      <c r="R760" s="12">
        <v>3</v>
      </c>
      <c r="S760" s="8">
        <v>3</v>
      </c>
      <c r="T760" s="12"/>
      <c r="U760" s="8"/>
      <c r="V760" s="2">
        <v>45658</v>
      </c>
      <c r="W760" s="2">
        <v>1</v>
      </c>
      <c r="X760" s="2">
        <v>45716</v>
      </c>
      <c r="Y760" s="2">
        <v>45716</v>
      </c>
      <c r="Z760" s="2"/>
      <c r="AB760">
        <v>8305</v>
      </c>
      <c r="AC760">
        <v>73078</v>
      </c>
      <c r="AD760" t="s">
        <v>921</v>
      </c>
      <c r="AE760" s="2">
        <v>45707</v>
      </c>
      <c r="AF760">
        <v>3</v>
      </c>
      <c r="AG760" s="17">
        <v>0.125</v>
      </c>
      <c r="AH760" s="2">
        <v>45712</v>
      </c>
    </row>
    <row r="761" spans="1:34" hidden="1" x14ac:dyDescent="0.25">
      <c r="A761" s="12">
        <v>8305</v>
      </c>
      <c r="B761" s="12">
        <v>344</v>
      </c>
      <c r="C761" t="s">
        <v>155</v>
      </c>
      <c r="D761">
        <v>247417</v>
      </c>
      <c r="E761" s="8" t="s">
        <v>156</v>
      </c>
      <c r="F761" s="12">
        <v>21</v>
      </c>
      <c r="G761" s="8" t="s">
        <v>44</v>
      </c>
      <c r="H761" s="12">
        <v>3204</v>
      </c>
      <c r="I761" t="s">
        <v>52</v>
      </c>
      <c r="K761" t="s">
        <v>63</v>
      </c>
      <c r="L761">
        <v>2</v>
      </c>
      <c r="M761" t="s">
        <v>157</v>
      </c>
      <c r="N761" s="12">
        <v>2</v>
      </c>
      <c r="O761" s="8" t="s">
        <v>158</v>
      </c>
      <c r="P761">
        <v>1</v>
      </c>
      <c r="Q761" s="8">
        <v>1</v>
      </c>
      <c r="R761" s="12">
        <v>3</v>
      </c>
      <c r="S761" s="8">
        <v>3</v>
      </c>
      <c r="T761" s="12"/>
      <c r="U761" s="8"/>
      <c r="V761" s="2">
        <v>45658</v>
      </c>
      <c r="W761" s="2">
        <v>1</v>
      </c>
      <c r="X761" s="2">
        <v>45716</v>
      </c>
      <c r="Y761" s="2">
        <v>45716</v>
      </c>
      <c r="Z761" s="2"/>
      <c r="AB761">
        <v>8305</v>
      </c>
      <c r="AC761">
        <v>73074</v>
      </c>
      <c r="AD761" t="s">
        <v>345</v>
      </c>
      <c r="AE761" s="2">
        <v>45705</v>
      </c>
      <c r="AF761">
        <v>1.5</v>
      </c>
      <c r="AG761" s="17">
        <v>6.25E-2</v>
      </c>
      <c r="AH761" s="2">
        <v>45712</v>
      </c>
    </row>
    <row r="762" spans="1:34" hidden="1" x14ac:dyDescent="0.25">
      <c r="A762" s="12">
        <v>8305</v>
      </c>
      <c r="B762" s="12">
        <v>344</v>
      </c>
      <c r="C762" t="s">
        <v>155</v>
      </c>
      <c r="D762">
        <v>247417</v>
      </c>
      <c r="E762" s="8" t="s">
        <v>156</v>
      </c>
      <c r="F762" s="12">
        <v>21</v>
      </c>
      <c r="G762" s="8" t="s">
        <v>44</v>
      </c>
      <c r="H762" s="12">
        <v>3204</v>
      </c>
      <c r="I762" t="s">
        <v>52</v>
      </c>
      <c r="K762" t="s">
        <v>63</v>
      </c>
      <c r="L762">
        <v>2</v>
      </c>
      <c r="M762" t="s">
        <v>157</v>
      </c>
      <c r="N762" s="12">
        <v>2</v>
      </c>
      <c r="O762" s="8" t="s">
        <v>158</v>
      </c>
      <c r="P762">
        <v>1</v>
      </c>
      <c r="Q762" s="8">
        <v>1</v>
      </c>
      <c r="R762" s="12">
        <v>3</v>
      </c>
      <c r="S762" s="8">
        <v>3</v>
      </c>
      <c r="T762" s="12"/>
      <c r="U762" s="8"/>
      <c r="V762" s="2">
        <v>45658</v>
      </c>
      <c r="W762" s="2">
        <v>1</v>
      </c>
      <c r="X762" s="2">
        <v>45716</v>
      </c>
      <c r="Y762" s="2">
        <v>45716</v>
      </c>
      <c r="Z762" s="2"/>
      <c r="AB762">
        <v>8305</v>
      </c>
      <c r="AC762">
        <v>71133</v>
      </c>
      <c r="AD762" t="s">
        <v>345</v>
      </c>
      <c r="AE762" s="2">
        <v>45702</v>
      </c>
      <c r="AF762">
        <v>1</v>
      </c>
      <c r="AG762" s="17">
        <v>4.1666666666666602E-2</v>
      </c>
      <c r="AH762" s="2">
        <v>45705</v>
      </c>
    </row>
    <row r="763" spans="1:34" hidden="1" x14ac:dyDescent="0.25">
      <c r="A763" s="12">
        <v>8305</v>
      </c>
      <c r="B763" s="12">
        <v>344</v>
      </c>
      <c r="C763" t="s">
        <v>155</v>
      </c>
      <c r="D763">
        <v>247417</v>
      </c>
      <c r="E763" s="8" t="s">
        <v>156</v>
      </c>
      <c r="F763" s="12">
        <v>21</v>
      </c>
      <c r="G763" s="8" t="s">
        <v>44</v>
      </c>
      <c r="H763" s="12">
        <v>3204</v>
      </c>
      <c r="I763" t="s">
        <v>52</v>
      </c>
      <c r="K763" t="s">
        <v>63</v>
      </c>
      <c r="L763">
        <v>2</v>
      </c>
      <c r="M763" t="s">
        <v>157</v>
      </c>
      <c r="N763" s="12">
        <v>2</v>
      </c>
      <c r="O763" s="8" t="s">
        <v>158</v>
      </c>
      <c r="P763">
        <v>1</v>
      </c>
      <c r="Q763" s="8">
        <v>1</v>
      </c>
      <c r="R763" s="12">
        <v>3</v>
      </c>
      <c r="S763" s="8">
        <v>3</v>
      </c>
      <c r="T763" s="12"/>
      <c r="U763" s="8"/>
      <c r="V763" s="2">
        <v>45658</v>
      </c>
      <c r="W763" s="2">
        <v>1</v>
      </c>
      <c r="X763" s="2">
        <v>45716</v>
      </c>
      <c r="Y763" s="2">
        <v>45716</v>
      </c>
      <c r="Z763" s="2"/>
      <c r="AB763">
        <v>8305</v>
      </c>
      <c r="AC763">
        <v>71132</v>
      </c>
      <c r="AD763" t="s">
        <v>345</v>
      </c>
      <c r="AE763" s="2">
        <v>45701</v>
      </c>
      <c r="AF763">
        <v>2</v>
      </c>
      <c r="AG763" s="17">
        <v>8.3333333333333301E-2</v>
      </c>
      <c r="AH763" s="2">
        <v>45705</v>
      </c>
    </row>
    <row r="764" spans="1:34" hidden="1" x14ac:dyDescent="0.25">
      <c r="A764" s="12">
        <v>8305</v>
      </c>
      <c r="B764" s="12">
        <v>344</v>
      </c>
      <c r="C764" t="s">
        <v>155</v>
      </c>
      <c r="D764">
        <v>247417</v>
      </c>
      <c r="E764" s="8" t="s">
        <v>156</v>
      </c>
      <c r="F764" s="12">
        <v>21</v>
      </c>
      <c r="G764" s="8" t="s">
        <v>44</v>
      </c>
      <c r="H764" s="12">
        <v>3204</v>
      </c>
      <c r="I764" t="s">
        <v>52</v>
      </c>
      <c r="K764" t="s">
        <v>63</v>
      </c>
      <c r="L764">
        <v>2</v>
      </c>
      <c r="M764" t="s">
        <v>157</v>
      </c>
      <c r="N764" s="12">
        <v>2</v>
      </c>
      <c r="O764" s="8" t="s">
        <v>158</v>
      </c>
      <c r="P764">
        <v>1</v>
      </c>
      <c r="Q764" s="8">
        <v>1</v>
      </c>
      <c r="R764" s="12">
        <v>3</v>
      </c>
      <c r="S764" s="8">
        <v>3</v>
      </c>
      <c r="T764" s="12"/>
      <c r="U764" s="8"/>
      <c r="V764" s="2">
        <v>45658</v>
      </c>
      <c r="W764" s="2">
        <v>1</v>
      </c>
      <c r="X764" s="2">
        <v>45716</v>
      </c>
      <c r="Y764" s="2">
        <v>45716</v>
      </c>
      <c r="Z764" s="2"/>
      <c r="AB764">
        <v>8305</v>
      </c>
      <c r="AC764">
        <v>70120</v>
      </c>
      <c r="AD764" t="s">
        <v>922</v>
      </c>
      <c r="AE764" s="2">
        <v>45700</v>
      </c>
      <c r="AF764">
        <v>3</v>
      </c>
      <c r="AG764" s="17">
        <v>0.125</v>
      </c>
      <c r="AH764" s="2">
        <v>45701</v>
      </c>
    </row>
    <row r="765" spans="1:34" hidden="1" x14ac:dyDescent="0.25">
      <c r="A765" s="12">
        <v>8305</v>
      </c>
      <c r="B765" s="12">
        <v>344</v>
      </c>
      <c r="C765" t="s">
        <v>155</v>
      </c>
      <c r="D765">
        <v>247417</v>
      </c>
      <c r="E765" s="8" t="s">
        <v>156</v>
      </c>
      <c r="F765" s="12">
        <v>21</v>
      </c>
      <c r="G765" s="8" t="s">
        <v>44</v>
      </c>
      <c r="H765" s="12">
        <v>3204</v>
      </c>
      <c r="I765" t="s">
        <v>52</v>
      </c>
      <c r="K765" t="s">
        <v>63</v>
      </c>
      <c r="L765">
        <v>2</v>
      </c>
      <c r="M765" t="s">
        <v>157</v>
      </c>
      <c r="N765" s="12">
        <v>2</v>
      </c>
      <c r="O765" s="8" t="s">
        <v>158</v>
      </c>
      <c r="P765">
        <v>1</v>
      </c>
      <c r="Q765" s="8">
        <v>1</v>
      </c>
      <c r="R765" s="12">
        <v>3</v>
      </c>
      <c r="S765" s="8">
        <v>3</v>
      </c>
      <c r="T765" s="12"/>
      <c r="U765" s="8"/>
      <c r="V765" s="2">
        <v>45658</v>
      </c>
      <c r="W765" s="2">
        <v>1</v>
      </c>
      <c r="X765" s="2">
        <v>45716</v>
      </c>
      <c r="Y765" s="2">
        <v>45716</v>
      </c>
      <c r="Z765" s="2"/>
      <c r="AB765">
        <v>8305</v>
      </c>
      <c r="AC765">
        <v>70114</v>
      </c>
      <c r="AD765" t="s">
        <v>345</v>
      </c>
      <c r="AE765" s="2">
        <v>45698</v>
      </c>
      <c r="AF765">
        <v>3</v>
      </c>
      <c r="AG765" s="17">
        <v>0.125</v>
      </c>
      <c r="AH765" s="2">
        <v>45701</v>
      </c>
    </row>
    <row r="766" spans="1:34" hidden="1" x14ac:dyDescent="0.25">
      <c r="A766" s="12">
        <v>8305</v>
      </c>
      <c r="B766" s="12">
        <v>344</v>
      </c>
      <c r="C766" t="s">
        <v>155</v>
      </c>
      <c r="D766">
        <v>247417</v>
      </c>
      <c r="E766" s="8" t="s">
        <v>156</v>
      </c>
      <c r="F766" s="12">
        <v>21</v>
      </c>
      <c r="G766" s="8" t="s">
        <v>44</v>
      </c>
      <c r="H766" s="12">
        <v>3204</v>
      </c>
      <c r="I766" t="s">
        <v>52</v>
      </c>
      <c r="K766" t="s">
        <v>63</v>
      </c>
      <c r="L766">
        <v>2</v>
      </c>
      <c r="M766" t="s">
        <v>157</v>
      </c>
      <c r="N766" s="12">
        <v>2</v>
      </c>
      <c r="O766" s="8" t="s">
        <v>158</v>
      </c>
      <c r="P766">
        <v>1</v>
      </c>
      <c r="Q766" s="8">
        <v>1</v>
      </c>
      <c r="R766" s="12">
        <v>3</v>
      </c>
      <c r="S766" s="8">
        <v>3</v>
      </c>
      <c r="T766" s="12"/>
      <c r="U766" s="8"/>
      <c r="V766" s="2">
        <v>45658</v>
      </c>
      <c r="W766" s="2">
        <v>1</v>
      </c>
      <c r="X766" s="2">
        <v>45716</v>
      </c>
      <c r="Y766" s="2">
        <v>45716</v>
      </c>
      <c r="Z766" s="2"/>
      <c r="AB766">
        <v>8305</v>
      </c>
      <c r="AC766">
        <v>75553</v>
      </c>
      <c r="AD766" t="s">
        <v>345</v>
      </c>
      <c r="AE766" s="2">
        <v>45693</v>
      </c>
      <c r="AF766">
        <v>2</v>
      </c>
      <c r="AG766" s="17">
        <v>8.3333333333333301E-2</v>
      </c>
      <c r="AH766" s="2">
        <v>45721</v>
      </c>
    </row>
    <row r="767" spans="1:34" hidden="1" x14ac:dyDescent="0.25">
      <c r="A767" s="12">
        <v>8494</v>
      </c>
      <c r="B767" s="12">
        <v>0</v>
      </c>
      <c r="C767" t="s">
        <v>206</v>
      </c>
      <c r="D767">
        <v>247857</v>
      </c>
      <c r="E767" s="8" t="s">
        <v>66</v>
      </c>
      <c r="F767" s="12">
        <v>21</v>
      </c>
      <c r="G767" s="8" t="s">
        <v>44</v>
      </c>
      <c r="H767" s="12">
        <v>3204</v>
      </c>
      <c r="I767" t="s">
        <v>52</v>
      </c>
      <c r="J767" t="s">
        <v>62</v>
      </c>
      <c r="K767" t="s">
        <v>101</v>
      </c>
      <c r="L767">
        <v>4</v>
      </c>
      <c r="M767" t="s">
        <v>207</v>
      </c>
      <c r="N767" s="12">
        <v>1</v>
      </c>
      <c r="O767" s="8" t="s">
        <v>193</v>
      </c>
      <c r="P767">
        <v>2</v>
      </c>
      <c r="Q767" s="8">
        <v>2</v>
      </c>
      <c r="R767" s="12"/>
      <c r="S767" s="8"/>
      <c r="T767" s="12"/>
      <c r="U767" s="8"/>
      <c r="V767" s="2">
        <v>45713</v>
      </c>
      <c r="W767" s="2">
        <v>45713</v>
      </c>
      <c r="X767" s="2"/>
      <c r="Y767" s="2">
        <v>45713</v>
      </c>
      <c r="Z767" s="2">
        <v>45713</v>
      </c>
      <c r="AB767">
        <v>8494</v>
      </c>
      <c r="AC767">
        <v>74221</v>
      </c>
      <c r="AD767" t="s">
        <v>345</v>
      </c>
      <c r="AE767" s="2">
        <v>45713</v>
      </c>
      <c r="AF767">
        <v>1</v>
      </c>
      <c r="AG767" s="17">
        <v>4.1666666666666602E-2</v>
      </c>
      <c r="AH767" s="2">
        <v>45716</v>
      </c>
    </row>
    <row r="768" spans="1:34" hidden="1" x14ac:dyDescent="0.25">
      <c r="A768" s="12">
        <v>8499</v>
      </c>
      <c r="B768" s="12">
        <v>0</v>
      </c>
      <c r="C768" t="s">
        <v>257</v>
      </c>
      <c r="D768">
        <v>247002</v>
      </c>
      <c r="E768" s="8" t="s">
        <v>105</v>
      </c>
      <c r="F768" s="12">
        <v>21</v>
      </c>
      <c r="G768" s="8" t="s">
        <v>44</v>
      </c>
      <c r="H768" s="12">
        <v>3204</v>
      </c>
      <c r="I768" t="s">
        <v>52</v>
      </c>
      <c r="J768" t="s">
        <v>62</v>
      </c>
      <c r="K768" t="s">
        <v>101</v>
      </c>
      <c r="L768">
        <v>4</v>
      </c>
      <c r="M768" t="s">
        <v>207</v>
      </c>
      <c r="N768" s="12">
        <v>1</v>
      </c>
      <c r="O768" s="8" t="s">
        <v>193</v>
      </c>
      <c r="P768">
        <v>2</v>
      </c>
      <c r="Q768" s="8">
        <v>2</v>
      </c>
      <c r="R768" s="12"/>
      <c r="S768" s="8"/>
      <c r="T768" s="12"/>
      <c r="U768" s="8"/>
      <c r="V768" s="2">
        <v>45716</v>
      </c>
      <c r="W768" s="2">
        <v>45716</v>
      </c>
      <c r="X768" s="2">
        <v>45716</v>
      </c>
      <c r="Y768" s="2">
        <v>45716</v>
      </c>
      <c r="Z768" s="2">
        <v>45716</v>
      </c>
      <c r="AB768">
        <v>8499</v>
      </c>
      <c r="AC768">
        <v>74669</v>
      </c>
      <c r="AD768" t="s">
        <v>345</v>
      </c>
      <c r="AE768" s="2">
        <v>45716</v>
      </c>
      <c r="AF768">
        <v>3</v>
      </c>
      <c r="AG768" s="17">
        <v>0.125</v>
      </c>
      <c r="AH768" s="2">
        <v>45716</v>
      </c>
    </row>
    <row r="769" spans="1:34" hidden="1" x14ac:dyDescent="0.25">
      <c r="A769" s="12">
        <v>8323</v>
      </c>
      <c r="B769" s="12">
        <v>0</v>
      </c>
      <c r="C769" t="s">
        <v>270</v>
      </c>
      <c r="D769">
        <v>247417</v>
      </c>
      <c r="E769" s="8" t="s">
        <v>156</v>
      </c>
      <c r="F769" s="12">
        <v>21</v>
      </c>
      <c r="G769" s="8" t="s">
        <v>44</v>
      </c>
      <c r="H769" s="12">
        <v>3204</v>
      </c>
      <c r="I769" t="s">
        <v>52</v>
      </c>
      <c r="J769" t="s">
        <v>62</v>
      </c>
      <c r="K769" t="s">
        <v>101</v>
      </c>
      <c r="L769">
        <v>4</v>
      </c>
      <c r="M769" t="s">
        <v>207</v>
      </c>
      <c r="N769" s="12"/>
      <c r="O769" s="8"/>
      <c r="Q769" s="8"/>
      <c r="R769" s="12"/>
      <c r="S769" s="8"/>
      <c r="T769" s="12"/>
      <c r="U769" s="8"/>
      <c r="V769" s="2">
        <v>45700</v>
      </c>
      <c r="W769" s="2">
        <v>45700</v>
      </c>
      <c r="X769" s="2">
        <v>45700</v>
      </c>
      <c r="Y769" s="2">
        <v>45700</v>
      </c>
      <c r="Z769" s="2">
        <v>45700</v>
      </c>
      <c r="AB769">
        <v>8323</v>
      </c>
      <c r="AC769">
        <v>72217</v>
      </c>
      <c r="AD769" t="s">
        <v>456</v>
      </c>
      <c r="AE769" s="2">
        <v>45708</v>
      </c>
      <c r="AF769">
        <v>1</v>
      </c>
      <c r="AG769" s="17">
        <v>4.1666666666666602E-2</v>
      </c>
      <c r="AH769" s="2">
        <v>45708</v>
      </c>
    </row>
    <row r="770" spans="1:34" hidden="1" x14ac:dyDescent="0.25">
      <c r="A770" s="12">
        <v>8323</v>
      </c>
      <c r="B770" s="12">
        <v>0</v>
      </c>
      <c r="C770" t="s">
        <v>270</v>
      </c>
      <c r="D770">
        <v>247417</v>
      </c>
      <c r="E770" s="8" t="s">
        <v>156</v>
      </c>
      <c r="F770" s="12">
        <v>21</v>
      </c>
      <c r="G770" s="8" t="s">
        <v>44</v>
      </c>
      <c r="H770" s="12">
        <v>3204</v>
      </c>
      <c r="I770" t="s">
        <v>52</v>
      </c>
      <c r="K770" t="s">
        <v>101</v>
      </c>
      <c r="L770">
        <v>4</v>
      </c>
      <c r="M770" t="s">
        <v>207</v>
      </c>
      <c r="N770" s="12"/>
      <c r="O770" s="8"/>
      <c r="Q770" s="8"/>
      <c r="R770" s="12"/>
      <c r="S770" s="8"/>
      <c r="T770" s="12"/>
      <c r="U770" s="8"/>
      <c r="V770" s="2">
        <v>45700</v>
      </c>
      <c r="W770" s="2">
        <v>45700</v>
      </c>
      <c r="X770" s="2">
        <v>45700</v>
      </c>
      <c r="Y770" s="2">
        <v>45700</v>
      </c>
      <c r="Z770" s="2">
        <v>45700</v>
      </c>
      <c r="AB770">
        <v>8323</v>
      </c>
      <c r="AC770">
        <v>72216</v>
      </c>
      <c r="AD770" t="s">
        <v>923</v>
      </c>
      <c r="AE770" s="2">
        <v>45707</v>
      </c>
      <c r="AF770">
        <v>2</v>
      </c>
      <c r="AG770" s="17">
        <v>8.3333333333333301E-2</v>
      </c>
      <c r="AH770" s="2">
        <v>45708</v>
      </c>
    </row>
    <row r="771" spans="1:34" hidden="1" x14ac:dyDescent="0.25">
      <c r="A771" s="12">
        <v>8323</v>
      </c>
      <c r="B771" s="12">
        <v>0</v>
      </c>
      <c r="C771" t="s">
        <v>270</v>
      </c>
      <c r="D771">
        <v>247417</v>
      </c>
      <c r="E771" s="8" t="s">
        <v>156</v>
      </c>
      <c r="F771" s="12">
        <v>21</v>
      </c>
      <c r="G771" s="8" t="s">
        <v>44</v>
      </c>
      <c r="H771" s="12">
        <v>3204</v>
      </c>
      <c r="I771" t="s">
        <v>52</v>
      </c>
      <c r="K771" t="s">
        <v>101</v>
      </c>
      <c r="L771">
        <v>4</v>
      </c>
      <c r="M771" t="s">
        <v>207</v>
      </c>
      <c r="N771" s="12"/>
      <c r="O771" s="8"/>
      <c r="Q771" s="8"/>
      <c r="R771" s="12"/>
      <c r="S771" s="8"/>
      <c r="T771" s="12"/>
      <c r="U771" s="8"/>
      <c r="V771" s="2">
        <v>45700</v>
      </c>
      <c r="W771" s="2">
        <v>45700</v>
      </c>
      <c r="X771" s="2">
        <v>45700</v>
      </c>
      <c r="Y771" s="2">
        <v>45700</v>
      </c>
      <c r="Z771" s="2">
        <v>45700</v>
      </c>
      <c r="AB771">
        <v>8323</v>
      </c>
      <c r="AC771">
        <v>69876</v>
      </c>
      <c r="AD771" t="s">
        <v>924</v>
      </c>
      <c r="AE771" s="2">
        <v>45700</v>
      </c>
      <c r="AF771">
        <v>2</v>
      </c>
      <c r="AG771" s="17">
        <v>8.3333333333333301E-2</v>
      </c>
      <c r="AH771" s="2">
        <v>45700</v>
      </c>
    </row>
    <row r="772" spans="1:34" hidden="1" x14ac:dyDescent="0.25">
      <c r="A772" s="12">
        <v>8320</v>
      </c>
      <c r="B772" s="12">
        <v>0</v>
      </c>
      <c r="C772" t="s">
        <v>279</v>
      </c>
      <c r="D772">
        <v>289036</v>
      </c>
      <c r="E772" s="8" t="s">
        <v>280</v>
      </c>
      <c r="F772" s="12">
        <v>21</v>
      </c>
      <c r="G772" s="8" t="s">
        <v>44</v>
      </c>
      <c r="H772" s="12">
        <v>3204</v>
      </c>
      <c r="I772" t="s">
        <v>52</v>
      </c>
      <c r="J772" t="s">
        <v>62</v>
      </c>
      <c r="K772" t="s">
        <v>101</v>
      </c>
      <c r="L772">
        <v>4</v>
      </c>
      <c r="M772" t="s">
        <v>207</v>
      </c>
      <c r="N772" s="12">
        <v>1</v>
      </c>
      <c r="O772" s="8" t="s">
        <v>193</v>
      </c>
      <c r="P772">
        <v>2</v>
      </c>
      <c r="Q772" s="8">
        <v>2</v>
      </c>
      <c r="R772" s="12">
        <v>2</v>
      </c>
      <c r="S772" s="8">
        <v>2</v>
      </c>
      <c r="T772" s="12">
        <v>1</v>
      </c>
      <c r="U772" s="8" t="s">
        <v>194</v>
      </c>
      <c r="V772" s="2">
        <v>45699</v>
      </c>
      <c r="W772" s="2">
        <v>45699</v>
      </c>
      <c r="X772" s="2">
        <v>45699</v>
      </c>
      <c r="Y772" s="2">
        <v>45699</v>
      </c>
      <c r="Z772" s="2">
        <v>45699</v>
      </c>
      <c r="AB772">
        <v>8320</v>
      </c>
      <c r="AC772">
        <v>74207</v>
      </c>
      <c r="AD772" t="s">
        <v>457</v>
      </c>
      <c r="AE772" s="2">
        <v>45715</v>
      </c>
      <c r="AF772">
        <v>1</v>
      </c>
      <c r="AG772" s="17">
        <v>4.1666666666666602E-2</v>
      </c>
      <c r="AH772" s="2">
        <v>45716</v>
      </c>
    </row>
    <row r="773" spans="1:34" hidden="1" x14ac:dyDescent="0.25">
      <c r="A773" s="12">
        <v>8320</v>
      </c>
      <c r="B773" s="12">
        <v>0</v>
      </c>
      <c r="C773" t="s">
        <v>279</v>
      </c>
      <c r="D773">
        <v>289036</v>
      </c>
      <c r="E773" s="8" t="s">
        <v>280</v>
      </c>
      <c r="F773" s="12">
        <v>21</v>
      </c>
      <c r="G773" s="8" t="s">
        <v>44</v>
      </c>
      <c r="H773" s="12">
        <v>3204</v>
      </c>
      <c r="I773" t="s">
        <v>52</v>
      </c>
      <c r="K773" t="s">
        <v>101</v>
      </c>
      <c r="L773">
        <v>4</v>
      </c>
      <c r="M773" t="s">
        <v>207</v>
      </c>
      <c r="N773" s="12">
        <v>1</v>
      </c>
      <c r="O773" s="8" t="s">
        <v>193</v>
      </c>
      <c r="P773">
        <v>2</v>
      </c>
      <c r="Q773" s="8">
        <v>2</v>
      </c>
      <c r="R773" s="12">
        <v>2</v>
      </c>
      <c r="S773" s="8">
        <v>2</v>
      </c>
      <c r="T773" s="12">
        <v>1</v>
      </c>
      <c r="U773" s="8" t="s">
        <v>194</v>
      </c>
      <c r="V773" s="2">
        <v>45699</v>
      </c>
      <c r="W773" s="2">
        <v>45699</v>
      </c>
      <c r="X773" s="2">
        <v>45699</v>
      </c>
      <c r="Y773" s="2">
        <v>45699</v>
      </c>
      <c r="Z773" s="2">
        <v>45699</v>
      </c>
      <c r="AB773">
        <v>8320</v>
      </c>
      <c r="AC773">
        <v>74206</v>
      </c>
      <c r="AD773" t="s">
        <v>925</v>
      </c>
      <c r="AE773" s="2">
        <v>45714</v>
      </c>
      <c r="AF773">
        <v>1</v>
      </c>
      <c r="AG773" s="17">
        <v>4.1666666666666602E-2</v>
      </c>
      <c r="AH773" s="2">
        <v>45716</v>
      </c>
    </row>
    <row r="774" spans="1:34" hidden="1" x14ac:dyDescent="0.25">
      <c r="A774" s="12">
        <v>8320</v>
      </c>
      <c r="B774" s="12">
        <v>0</v>
      </c>
      <c r="C774" t="s">
        <v>279</v>
      </c>
      <c r="D774">
        <v>289036</v>
      </c>
      <c r="E774" s="8" t="s">
        <v>280</v>
      </c>
      <c r="F774" s="12">
        <v>21</v>
      </c>
      <c r="G774" s="8" t="s">
        <v>44</v>
      </c>
      <c r="H774" s="12">
        <v>3204</v>
      </c>
      <c r="I774" t="s">
        <v>52</v>
      </c>
      <c r="K774" t="s">
        <v>101</v>
      </c>
      <c r="L774">
        <v>4</v>
      </c>
      <c r="M774" t="s">
        <v>207</v>
      </c>
      <c r="N774" s="12">
        <v>1</v>
      </c>
      <c r="O774" s="8" t="s">
        <v>193</v>
      </c>
      <c r="P774">
        <v>2</v>
      </c>
      <c r="Q774" s="8">
        <v>2</v>
      </c>
      <c r="R774" s="12">
        <v>2</v>
      </c>
      <c r="S774" s="8">
        <v>2</v>
      </c>
      <c r="T774" s="12">
        <v>1</v>
      </c>
      <c r="U774" s="8" t="s">
        <v>194</v>
      </c>
      <c r="V774" s="2">
        <v>45699</v>
      </c>
      <c r="W774" s="2">
        <v>45699</v>
      </c>
      <c r="X774" s="2">
        <v>45699</v>
      </c>
      <c r="Y774" s="2">
        <v>45699</v>
      </c>
      <c r="Z774" s="2">
        <v>45699</v>
      </c>
      <c r="AB774">
        <v>8320</v>
      </c>
      <c r="AC774">
        <v>69703</v>
      </c>
      <c r="AD774" t="s">
        <v>345</v>
      </c>
      <c r="AE774" s="2">
        <v>45699</v>
      </c>
      <c r="AF774">
        <v>0</v>
      </c>
      <c r="AG774" s="17">
        <v>0</v>
      </c>
      <c r="AH774" s="2">
        <v>45700</v>
      </c>
    </row>
    <row r="775" spans="1:34" hidden="1" x14ac:dyDescent="0.25">
      <c r="A775" s="12">
        <v>8320</v>
      </c>
      <c r="B775" s="12">
        <v>0</v>
      </c>
      <c r="C775" t="s">
        <v>279</v>
      </c>
      <c r="D775">
        <v>289036</v>
      </c>
      <c r="E775" s="8" t="s">
        <v>280</v>
      </c>
      <c r="F775" s="12">
        <v>21</v>
      </c>
      <c r="G775" s="8" t="s">
        <v>44</v>
      </c>
      <c r="H775" s="12">
        <v>3204</v>
      </c>
      <c r="I775" t="s">
        <v>52</v>
      </c>
      <c r="K775" t="s">
        <v>101</v>
      </c>
      <c r="L775">
        <v>4</v>
      </c>
      <c r="M775" t="s">
        <v>207</v>
      </c>
      <c r="N775" s="12">
        <v>1</v>
      </c>
      <c r="O775" s="8" t="s">
        <v>193</v>
      </c>
      <c r="P775">
        <v>2</v>
      </c>
      <c r="Q775" s="8">
        <v>2</v>
      </c>
      <c r="R775" s="12">
        <v>2</v>
      </c>
      <c r="S775" s="8">
        <v>2</v>
      </c>
      <c r="T775" s="12">
        <v>1</v>
      </c>
      <c r="U775" s="8" t="s">
        <v>194</v>
      </c>
      <c r="V775" s="2">
        <v>45699</v>
      </c>
      <c r="W775" s="2">
        <v>45699</v>
      </c>
      <c r="X775" s="2">
        <v>45699</v>
      </c>
      <c r="Y775" s="2">
        <v>45699</v>
      </c>
      <c r="Z775" s="2">
        <v>45699</v>
      </c>
      <c r="AB775">
        <v>8320</v>
      </c>
      <c r="AC775">
        <v>69702</v>
      </c>
      <c r="AD775" t="s">
        <v>345</v>
      </c>
      <c r="AE775" s="2">
        <v>45699</v>
      </c>
      <c r="AF775">
        <v>5</v>
      </c>
      <c r="AG775" s="17">
        <v>0.20833333333333301</v>
      </c>
      <c r="AH775" s="2">
        <v>45700</v>
      </c>
    </row>
    <row r="776" spans="1:34" hidden="1" x14ac:dyDescent="0.25">
      <c r="A776" s="12">
        <v>8322</v>
      </c>
      <c r="B776" s="12">
        <v>0</v>
      </c>
      <c r="C776" t="s">
        <v>293</v>
      </c>
      <c r="D776">
        <v>289006</v>
      </c>
      <c r="E776" s="8" t="s">
        <v>241</v>
      </c>
      <c r="F776" s="12">
        <v>21</v>
      </c>
      <c r="G776" s="8" t="s">
        <v>44</v>
      </c>
      <c r="H776" s="12">
        <v>3204</v>
      </c>
      <c r="I776" t="s">
        <v>52</v>
      </c>
      <c r="J776" t="s">
        <v>62</v>
      </c>
      <c r="K776" t="s">
        <v>101</v>
      </c>
      <c r="N776" s="12"/>
      <c r="O776" s="8"/>
      <c r="Q776" s="8"/>
      <c r="R776" s="12"/>
      <c r="S776" s="8"/>
      <c r="T776" s="12"/>
      <c r="U776" s="8"/>
      <c r="V776" s="2">
        <v>45700</v>
      </c>
      <c r="W776" s="2">
        <v>45700</v>
      </c>
      <c r="X776" s="2">
        <v>45700</v>
      </c>
      <c r="Y776" s="2">
        <v>45700</v>
      </c>
      <c r="Z776" s="2">
        <v>45700</v>
      </c>
      <c r="AB776">
        <v>8322</v>
      </c>
      <c r="AC776">
        <v>72065</v>
      </c>
      <c r="AD776" t="s">
        <v>345</v>
      </c>
      <c r="AE776" s="2">
        <v>45707</v>
      </c>
      <c r="AF776">
        <v>2</v>
      </c>
      <c r="AG776" s="17">
        <v>8.3333333333333301E-2</v>
      </c>
      <c r="AH776" s="2">
        <v>45708</v>
      </c>
    </row>
    <row r="777" spans="1:34" hidden="1" x14ac:dyDescent="0.25">
      <c r="A777" s="12">
        <v>8322</v>
      </c>
      <c r="B777" s="12">
        <v>0</v>
      </c>
      <c r="C777" t="s">
        <v>293</v>
      </c>
      <c r="D777">
        <v>289006</v>
      </c>
      <c r="E777" s="8" t="s">
        <v>241</v>
      </c>
      <c r="F777" s="12">
        <v>21</v>
      </c>
      <c r="G777" s="8" t="s">
        <v>44</v>
      </c>
      <c r="H777" s="12">
        <v>3204</v>
      </c>
      <c r="I777" t="s">
        <v>52</v>
      </c>
      <c r="K777" t="s">
        <v>101</v>
      </c>
      <c r="N777" s="12"/>
      <c r="O777" s="8"/>
      <c r="Q777" s="8"/>
      <c r="R777" s="12"/>
      <c r="S777" s="8"/>
      <c r="T777" s="12"/>
      <c r="U777" s="8"/>
      <c r="V777" s="2">
        <v>45700</v>
      </c>
      <c r="W777" s="2">
        <v>45700</v>
      </c>
      <c r="X777" s="2">
        <v>45700</v>
      </c>
      <c r="Y777" s="2">
        <v>45700</v>
      </c>
      <c r="Z777" s="2">
        <v>45700</v>
      </c>
      <c r="AB777">
        <v>8322</v>
      </c>
      <c r="AC777">
        <v>71576</v>
      </c>
      <c r="AD777" t="s">
        <v>926</v>
      </c>
      <c r="AE777" s="2">
        <v>45706</v>
      </c>
      <c r="AF777">
        <v>1.5</v>
      </c>
      <c r="AG777" s="17">
        <v>6.25E-2</v>
      </c>
      <c r="AH777" s="2">
        <v>45706</v>
      </c>
    </row>
    <row r="778" spans="1:34" hidden="1" x14ac:dyDescent="0.25">
      <c r="A778" s="12">
        <v>8322</v>
      </c>
      <c r="B778" s="12">
        <v>0</v>
      </c>
      <c r="C778" t="s">
        <v>293</v>
      </c>
      <c r="D778">
        <v>289006</v>
      </c>
      <c r="E778" s="8" t="s">
        <v>241</v>
      </c>
      <c r="F778" s="12">
        <v>21</v>
      </c>
      <c r="G778" s="8" t="s">
        <v>44</v>
      </c>
      <c r="H778" s="12">
        <v>3204</v>
      </c>
      <c r="I778" t="s">
        <v>52</v>
      </c>
      <c r="K778" t="s">
        <v>101</v>
      </c>
      <c r="N778" s="12"/>
      <c r="O778" s="8"/>
      <c r="Q778" s="8"/>
      <c r="R778" s="12"/>
      <c r="S778" s="8"/>
      <c r="T778" s="12"/>
      <c r="U778" s="8"/>
      <c r="V778" s="2">
        <v>45700</v>
      </c>
      <c r="W778" s="2">
        <v>45700</v>
      </c>
      <c r="X778" s="2">
        <v>45700</v>
      </c>
      <c r="Y778" s="2">
        <v>45700</v>
      </c>
      <c r="Z778" s="2">
        <v>45700</v>
      </c>
      <c r="AB778">
        <v>8322</v>
      </c>
      <c r="AC778">
        <v>71695</v>
      </c>
      <c r="AD778" t="s">
        <v>345</v>
      </c>
      <c r="AE778" s="2">
        <v>45705</v>
      </c>
      <c r="AF778">
        <v>2</v>
      </c>
      <c r="AG778" s="17">
        <v>8.3333333333333301E-2</v>
      </c>
      <c r="AH778" s="2">
        <v>45707</v>
      </c>
    </row>
    <row r="779" spans="1:34" hidden="1" x14ac:dyDescent="0.25">
      <c r="A779" s="12">
        <v>8322</v>
      </c>
      <c r="B779" s="12">
        <v>0</v>
      </c>
      <c r="C779" t="s">
        <v>293</v>
      </c>
      <c r="D779">
        <v>289006</v>
      </c>
      <c r="E779" s="8" t="s">
        <v>241</v>
      </c>
      <c r="F779" s="12">
        <v>21</v>
      </c>
      <c r="G779" s="8" t="s">
        <v>44</v>
      </c>
      <c r="H779" s="12">
        <v>3204</v>
      </c>
      <c r="I779" t="s">
        <v>52</v>
      </c>
      <c r="K779" t="s">
        <v>101</v>
      </c>
      <c r="N779" s="12"/>
      <c r="O779" s="8"/>
      <c r="Q779" s="8"/>
      <c r="R779" s="12"/>
      <c r="S779" s="8"/>
      <c r="T779" s="12"/>
      <c r="U779" s="8"/>
      <c r="V779" s="2">
        <v>45700</v>
      </c>
      <c r="W779" s="2">
        <v>45700</v>
      </c>
      <c r="X779" s="2">
        <v>45700</v>
      </c>
      <c r="Y779" s="2">
        <v>45700</v>
      </c>
      <c r="Z779" s="2">
        <v>45700</v>
      </c>
      <c r="AB779">
        <v>8322</v>
      </c>
      <c r="AC779">
        <v>70112</v>
      </c>
      <c r="AD779" t="s">
        <v>927</v>
      </c>
      <c r="AE779" s="2">
        <v>45701</v>
      </c>
      <c r="AF779">
        <v>2</v>
      </c>
      <c r="AG779" s="17">
        <v>8.3333333333333301E-2</v>
      </c>
      <c r="AH779" s="2">
        <v>45701</v>
      </c>
    </row>
    <row r="780" spans="1:34" hidden="1" x14ac:dyDescent="0.25">
      <c r="A780" s="12">
        <v>8322</v>
      </c>
      <c r="B780" s="12">
        <v>0</v>
      </c>
      <c r="C780" t="s">
        <v>293</v>
      </c>
      <c r="D780">
        <v>289006</v>
      </c>
      <c r="E780" s="8" t="s">
        <v>241</v>
      </c>
      <c r="F780" s="12">
        <v>21</v>
      </c>
      <c r="G780" s="8" t="s">
        <v>44</v>
      </c>
      <c r="H780" s="12">
        <v>3204</v>
      </c>
      <c r="I780" t="s">
        <v>52</v>
      </c>
      <c r="K780" t="s">
        <v>101</v>
      </c>
      <c r="N780" s="12"/>
      <c r="O780" s="8"/>
      <c r="Q780" s="8"/>
      <c r="R780" s="12"/>
      <c r="S780" s="8"/>
      <c r="T780" s="12"/>
      <c r="U780" s="8"/>
      <c r="V780" s="2">
        <v>45700</v>
      </c>
      <c r="W780" s="2">
        <v>45700</v>
      </c>
      <c r="X780" s="2">
        <v>45700</v>
      </c>
      <c r="Y780" s="2">
        <v>45700</v>
      </c>
      <c r="Z780" s="2">
        <v>45700</v>
      </c>
      <c r="AB780">
        <v>8322</v>
      </c>
      <c r="AC780">
        <v>69872</v>
      </c>
      <c r="AD780" t="s">
        <v>928</v>
      </c>
      <c r="AE780" s="2">
        <v>45700</v>
      </c>
      <c r="AF780">
        <v>2</v>
      </c>
      <c r="AG780" s="17">
        <v>8.3333333333333301E-2</v>
      </c>
      <c r="AH780" s="2">
        <v>45700</v>
      </c>
    </row>
    <row r="781" spans="1:34" hidden="1" x14ac:dyDescent="0.25">
      <c r="A781" s="12">
        <v>8322</v>
      </c>
      <c r="B781" s="12">
        <v>0</v>
      </c>
      <c r="C781" t="s">
        <v>293</v>
      </c>
      <c r="D781">
        <v>289006</v>
      </c>
      <c r="E781" s="8" t="s">
        <v>241</v>
      </c>
      <c r="F781" s="12">
        <v>21</v>
      </c>
      <c r="G781" s="8" t="s">
        <v>44</v>
      </c>
      <c r="H781" s="12">
        <v>3204</v>
      </c>
      <c r="I781" t="s">
        <v>52</v>
      </c>
      <c r="K781" t="s">
        <v>101</v>
      </c>
      <c r="N781" s="12"/>
      <c r="O781" s="8"/>
      <c r="Q781" s="8"/>
      <c r="R781" s="12"/>
      <c r="S781" s="8"/>
      <c r="T781" s="12"/>
      <c r="U781" s="8"/>
      <c r="V781" s="2">
        <v>45700</v>
      </c>
      <c r="W781" s="2">
        <v>45700</v>
      </c>
      <c r="X781" s="2">
        <v>45700</v>
      </c>
      <c r="Y781" s="2">
        <v>45700</v>
      </c>
      <c r="Z781" s="2">
        <v>45700</v>
      </c>
      <c r="AB781">
        <v>8322</v>
      </c>
      <c r="AC781">
        <v>75548</v>
      </c>
      <c r="AD781" t="s">
        <v>345</v>
      </c>
      <c r="AE781" s="2">
        <v>45692</v>
      </c>
      <c r="AF781">
        <v>1.5</v>
      </c>
      <c r="AG781" s="17">
        <v>6.25E-2</v>
      </c>
      <c r="AH781" s="2">
        <v>45721</v>
      </c>
    </row>
    <row r="782" spans="1:34" hidden="1" x14ac:dyDescent="0.25">
      <c r="A782" s="12">
        <v>8324</v>
      </c>
      <c r="B782" s="12">
        <v>0</v>
      </c>
      <c r="C782" t="s">
        <v>299</v>
      </c>
      <c r="D782">
        <v>246832</v>
      </c>
      <c r="E782" s="8" t="s">
        <v>300</v>
      </c>
      <c r="F782" s="12">
        <v>21</v>
      </c>
      <c r="G782" s="8" t="s">
        <v>44</v>
      </c>
      <c r="H782" s="12">
        <v>3204</v>
      </c>
      <c r="I782" t="s">
        <v>52</v>
      </c>
      <c r="J782" t="s">
        <v>62</v>
      </c>
      <c r="K782" t="s">
        <v>101</v>
      </c>
      <c r="L782">
        <v>4</v>
      </c>
      <c r="M782" t="s">
        <v>207</v>
      </c>
      <c r="N782" s="12"/>
      <c r="O782" s="8"/>
      <c r="Q782" s="8"/>
      <c r="R782" s="12"/>
      <c r="S782" s="8"/>
      <c r="T782" s="12"/>
      <c r="U782" s="8"/>
      <c r="V782" s="2">
        <v>45700</v>
      </c>
      <c r="W782" s="2">
        <v>45700</v>
      </c>
      <c r="X782" s="2">
        <v>45700</v>
      </c>
      <c r="Y782" s="2">
        <v>45700</v>
      </c>
      <c r="Z782" s="2">
        <v>45700</v>
      </c>
      <c r="AB782">
        <v>8324</v>
      </c>
      <c r="AC782">
        <v>69891</v>
      </c>
      <c r="AD782" t="s">
        <v>458</v>
      </c>
      <c r="AE782" s="2">
        <v>45700</v>
      </c>
      <c r="AF782">
        <v>2</v>
      </c>
      <c r="AG782" s="17">
        <v>8.3333333333333301E-2</v>
      </c>
      <c r="AH782" s="2">
        <v>45700</v>
      </c>
    </row>
    <row r="783" spans="1:34" hidden="1" x14ac:dyDescent="0.25">
      <c r="A783" s="12">
        <v>8321</v>
      </c>
      <c r="B783" s="12">
        <v>0</v>
      </c>
      <c r="C783" t="s">
        <v>303</v>
      </c>
      <c r="D783">
        <v>247804</v>
      </c>
      <c r="E783" s="8" t="s">
        <v>304</v>
      </c>
      <c r="F783" s="12">
        <v>21</v>
      </c>
      <c r="G783" s="8" t="s">
        <v>44</v>
      </c>
      <c r="H783" s="12">
        <v>3204</v>
      </c>
      <c r="I783" t="s">
        <v>52</v>
      </c>
      <c r="J783" t="s">
        <v>62</v>
      </c>
      <c r="K783" t="s">
        <v>101</v>
      </c>
      <c r="N783" s="12"/>
      <c r="O783" s="8"/>
      <c r="Q783" s="8"/>
      <c r="R783" s="12"/>
      <c r="S783" s="8"/>
      <c r="T783" s="12"/>
      <c r="U783" s="8"/>
      <c r="V783" s="2">
        <v>45698</v>
      </c>
      <c r="W783" s="2">
        <v>45698</v>
      </c>
      <c r="X783" s="2">
        <v>45698</v>
      </c>
      <c r="Y783" s="2">
        <v>45698</v>
      </c>
      <c r="Z783" s="2">
        <v>45698</v>
      </c>
      <c r="AB783">
        <v>8321</v>
      </c>
      <c r="AC783">
        <v>69761</v>
      </c>
      <c r="AD783" t="s">
        <v>345</v>
      </c>
      <c r="AE783" s="2">
        <v>45698</v>
      </c>
      <c r="AF783">
        <v>6</v>
      </c>
      <c r="AG783" s="17">
        <v>0.25</v>
      </c>
      <c r="AH783" s="2">
        <v>45700</v>
      </c>
    </row>
    <row r="784" spans="1:34" hidden="1" x14ac:dyDescent="0.25">
      <c r="A784" s="12">
        <v>8454</v>
      </c>
      <c r="B784" s="12">
        <v>0</v>
      </c>
      <c r="C784" t="s">
        <v>307</v>
      </c>
      <c r="D784">
        <v>247828</v>
      </c>
      <c r="E784" s="8" t="s">
        <v>61</v>
      </c>
      <c r="F784" s="12">
        <v>21</v>
      </c>
      <c r="G784" s="8" t="s">
        <v>44</v>
      </c>
      <c r="H784" s="12">
        <v>3204</v>
      </c>
      <c r="I784" t="s">
        <v>52</v>
      </c>
      <c r="J784" t="s">
        <v>62</v>
      </c>
      <c r="K784" t="s">
        <v>101</v>
      </c>
      <c r="L784">
        <v>3</v>
      </c>
      <c r="M784" t="s">
        <v>192</v>
      </c>
      <c r="N784" s="12">
        <v>3</v>
      </c>
      <c r="O784" s="8" t="s">
        <v>308</v>
      </c>
      <c r="P784">
        <v>1</v>
      </c>
      <c r="Q784" s="8">
        <v>1</v>
      </c>
      <c r="R784" s="12"/>
      <c r="S784" s="8"/>
      <c r="T784" s="12"/>
      <c r="U784" s="8"/>
      <c r="V784" s="2">
        <v>45706</v>
      </c>
      <c r="W784" s="2">
        <v>45706</v>
      </c>
      <c r="X784" s="2">
        <v>45706</v>
      </c>
      <c r="Y784" s="2">
        <v>45706</v>
      </c>
      <c r="Z784" s="2">
        <v>45706</v>
      </c>
      <c r="AB784">
        <v>8454</v>
      </c>
      <c r="AC784">
        <v>74205</v>
      </c>
      <c r="AD784" t="s">
        <v>345</v>
      </c>
      <c r="AE784" s="2">
        <v>45715</v>
      </c>
      <c r="AF784">
        <v>1</v>
      </c>
      <c r="AG784" s="17">
        <v>4.1666666666666602E-2</v>
      </c>
      <c r="AH784" s="2">
        <v>45716</v>
      </c>
    </row>
    <row r="785" spans="1:34" hidden="1" x14ac:dyDescent="0.25">
      <c r="A785" s="12">
        <v>8454</v>
      </c>
      <c r="B785" s="12">
        <v>0</v>
      </c>
      <c r="C785" t="s">
        <v>307</v>
      </c>
      <c r="D785">
        <v>247828</v>
      </c>
      <c r="E785" s="8" t="s">
        <v>61</v>
      </c>
      <c r="F785" s="12">
        <v>21</v>
      </c>
      <c r="G785" s="8" t="s">
        <v>44</v>
      </c>
      <c r="H785" s="12">
        <v>3204</v>
      </c>
      <c r="I785" t="s">
        <v>52</v>
      </c>
      <c r="K785" t="s">
        <v>101</v>
      </c>
      <c r="L785">
        <v>3</v>
      </c>
      <c r="M785" t="s">
        <v>192</v>
      </c>
      <c r="N785" s="12">
        <v>3</v>
      </c>
      <c r="O785" s="8" t="s">
        <v>308</v>
      </c>
      <c r="P785">
        <v>1</v>
      </c>
      <c r="Q785" s="8">
        <v>1</v>
      </c>
      <c r="R785" s="12"/>
      <c r="S785" s="8"/>
      <c r="T785" s="12"/>
      <c r="U785" s="8"/>
      <c r="V785" s="2">
        <v>45706</v>
      </c>
      <c r="W785" s="2">
        <v>45706</v>
      </c>
      <c r="X785" s="2">
        <v>45706</v>
      </c>
      <c r="Y785" s="2">
        <v>45706</v>
      </c>
      <c r="Z785" s="2">
        <v>45706</v>
      </c>
      <c r="AB785">
        <v>8454</v>
      </c>
      <c r="AC785">
        <v>71575</v>
      </c>
      <c r="AD785" t="s">
        <v>345</v>
      </c>
      <c r="AE785" s="2">
        <v>45706</v>
      </c>
      <c r="AF785">
        <v>3</v>
      </c>
      <c r="AG785" s="17">
        <v>0.125</v>
      </c>
      <c r="AH785" s="2">
        <v>45706</v>
      </c>
    </row>
    <row r="786" spans="1:34" hidden="1" x14ac:dyDescent="0.25">
      <c r="A786" s="12">
        <v>8456</v>
      </c>
      <c r="B786" s="12">
        <v>0</v>
      </c>
      <c r="C786" t="s">
        <v>310</v>
      </c>
      <c r="D786">
        <v>247804</v>
      </c>
      <c r="E786" s="8" t="s">
        <v>304</v>
      </c>
      <c r="F786" s="12">
        <v>21</v>
      </c>
      <c r="G786" s="8" t="s">
        <v>44</v>
      </c>
      <c r="H786" s="12">
        <v>3204</v>
      </c>
      <c r="I786" t="s">
        <v>52</v>
      </c>
      <c r="J786" t="s">
        <v>62</v>
      </c>
      <c r="K786" t="s">
        <v>101</v>
      </c>
      <c r="L786">
        <v>4</v>
      </c>
      <c r="M786" t="s">
        <v>207</v>
      </c>
      <c r="N786" s="12">
        <v>2</v>
      </c>
      <c r="O786" s="8" t="s">
        <v>158</v>
      </c>
      <c r="P786">
        <v>2</v>
      </c>
      <c r="Q786" s="8">
        <v>2</v>
      </c>
      <c r="R786" s="12"/>
      <c r="S786" s="8"/>
      <c r="T786" s="12"/>
      <c r="U786" s="8"/>
      <c r="V786" s="2">
        <v>45705</v>
      </c>
      <c r="W786" s="2">
        <v>45705</v>
      </c>
      <c r="X786" s="2">
        <v>45705</v>
      </c>
      <c r="Y786" s="2">
        <v>45705</v>
      </c>
      <c r="Z786" s="2">
        <v>45705</v>
      </c>
      <c r="AB786">
        <v>8456</v>
      </c>
      <c r="AC786">
        <v>71596</v>
      </c>
      <c r="AD786" t="s">
        <v>459</v>
      </c>
      <c r="AE786" s="2">
        <v>45706</v>
      </c>
      <c r="AF786">
        <v>2</v>
      </c>
      <c r="AG786" s="17">
        <v>8.3333333333333301E-2</v>
      </c>
      <c r="AH786" s="2">
        <v>45706</v>
      </c>
    </row>
    <row r="787" spans="1:34" hidden="1" x14ac:dyDescent="0.25">
      <c r="A787" s="12">
        <v>8459</v>
      </c>
      <c r="B787" s="12">
        <v>0</v>
      </c>
      <c r="C787" t="s">
        <v>312</v>
      </c>
      <c r="D787">
        <v>289036</v>
      </c>
      <c r="E787" s="8" t="s">
        <v>280</v>
      </c>
      <c r="F787" s="12">
        <v>21</v>
      </c>
      <c r="G787" s="8" t="s">
        <v>44</v>
      </c>
      <c r="H787" s="12">
        <v>3204</v>
      </c>
      <c r="I787" t="s">
        <v>52</v>
      </c>
      <c r="J787" t="s">
        <v>62</v>
      </c>
      <c r="K787" t="s">
        <v>101</v>
      </c>
      <c r="L787">
        <v>4</v>
      </c>
      <c r="M787" t="s">
        <v>207</v>
      </c>
      <c r="N787" s="12">
        <v>1</v>
      </c>
      <c r="O787" s="8" t="s">
        <v>193</v>
      </c>
      <c r="P787">
        <v>2</v>
      </c>
      <c r="Q787" s="8">
        <v>2</v>
      </c>
      <c r="R787" s="12"/>
      <c r="S787" s="8"/>
      <c r="T787" s="12"/>
      <c r="U787" s="8"/>
      <c r="V787" s="2">
        <v>45705</v>
      </c>
      <c r="W787" s="2">
        <v>45705</v>
      </c>
      <c r="X787" s="2">
        <v>45705</v>
      </c>
      <c r="Y787" s="2">
        <v>45705</v>
      </c>
      <c r="Z787" s="2">
        <v>45705</v>
      </c>
      <c r="AB787">
        <v>8459</v>
      </c>
      <c r="AC787">
        <v>71684</v>
      </c>
      <c r="AD787" t="s">
        <v>345</v>
      </c>
      <c r="AE787" s="2">
        <v>45705</v>
      </c>
      <c r="AF787">
        <v>2</v>
      </c>
      <c r="AG787" s="17">
        <v>8.3333333333333301E-2</v>
      </c>
      <c r="AH787" s="2">
        <v>45707</v>
      </c>
    </row>
    <row r="788" spans="1:34" hidden="1" x14ac:dyDescent="0.25">
      <c r="A788" s="12">
        <v>8460</v>
      </c>
      <c r="B788" s="12">
        <v>0</v>
      </c>
      <c r="C788" t="s">
        <v>313</v>
      </c>
      <c r="D788">
        <v>246824</v>
      </c>
      <c r="E788" s="8" t="s">
        <v>314</v>
      </c>
      <c r="F788" s="12">
        <v>21</v>
      </c>
      <c r="G788" s="8" t="s">
        <v>44</v>
      </c>
      <c r="H788" s="12">
        <v>3204</v>
      </c>
      <c r="I788" t="s">
        <v>52</v>
      </c>
      <c r="J788" t="s">
        <v>62</v>
      </c>
      <c r="K788" t="s">
        <v>101</v>
      </c>
      <c r="L788">
        <v>4</v>
      </c>
      <c r="M788" t="s">
        <v>207</v>
      </c>
      <c r="N788" s="12">
        <v>2</v>
      </c>
      <c r="O788" s="8" t="s">
        <v>158</v>
      </c>
      <c r="P788">
        <v>2</v>
      </c>
      <c r="Q788" s="8">
        <v>2</v>
      </c>
      <c r="R788" s="12"/>
      <c r="S788" s="8"/>
      <c r="T788" s="12"/>
      <c r="U788" s="8"/>
      <c r="V788" s="2">
        <v>45705</v>
      </c>
      <c r="W788" s="2">
        <v>45705</v>
      </c>
      <c r="X788" s="2">
        <v>45705</v>
      </c>
      <c r="Y788" s="2">
        <v>45705</v>
      </c>
      <c r="Z788" s="2">
        <v>45705</v>
      </c>
      <c r="AB788">
        <v>8460</v>
      </c>
      <c r="AC788">
        <v>71691</v>
      </c>
      <c r="AD788" t="s">
        <v>460</v>
      </c>
      <c r="AE788" s="2">
        <v>45705</v>
      </c>
      <c r="AF788">
        <v>2</v>
      </c>
      <c r="AG788" s="17">
        <v>8.3333333333333301E-2</v>
      </c>
      <c r="AH788" s="2">
        <v>45707</v>
      </c>
    </row>
    <row r="789" spans="1:34" hidden="1" x14ac:dyDescent="0.25">
      <c r="A789" s="12">
        <v>8335</v>
      </c>
      <c r="B789" s="12">
        <v>0</v>
      </c>
      <c r="C789" t="s">
        <v>315</v>
      </c>
      <c r="D789">
        <v>247884</v>
      </c>
      <c r="E789" s="8" t="s">
        <v>316</v>
      </c>
      <c r="F789" s="12">
        <v>21</v>
      </c>
      <c r="G789" s="8" t="s">
        <v>44</v>
      </c>
      <c r="H789" s="12">
        <v>3204</v>
      </c>
      <c r="I789" t="s">
        <v>52</v>
      </c>
      <c r="J789" t="s">
        <v>62</v>
      </c>
      <c r="K789" t="s">
        <v>101</v>
      </c>
      <c r="L789">
        <v>3</v>
      </c>
      <c r="M789" t="s">
        <v>192</v>
      </c>
      <c r="N789" s="12"/>
      <c r="O789" s="8"/>
      <c r="Q789" s="8"/>
      <c r="R789" s="12"/>
      <c r="S789" s="8"/>
      <c r="T789" s="12"/>
      <c r="U789" s="8"/>
      <c r="V789" s="2">
        <v>45701</v>
      </c>
      <c r="W789" s="2">
        <v>45701</v>
      </c>
      <c r="X789" s="2">
        <v>45701</v>
      </c>
      <c r="Y789" s="2">
        <v>45701</v>
      </c>
      <c r="Z789" s="2">
        <v>45701</v>
      </c>
      <c r="AB789">
        <v>8335</v>
      </c>
      <c r="AC789">
        <v>70865</v>
      </c>
      <c r="AD789" t="s">
        <v>461</v>
      </c>
      <c r="AE789" s="2">
        <v>45702</v>
      </c>
      <c r="AF789">
        <v>3</v>
      </c>
      <c r="AG789" s="17">
        <v>0.125</v>
      </c>
      <c r="AH789" s="2">
        <v>45702</v>
      </c>
    </row>
    <row r="790" spans="1:34" hidden="1" x14ac:dyDescent="0.25">
      <c r="A790" s="12">
        <v>8335</v>
      </c>
      <c r="B790" s="12">
        <v>0</v>
      </c>
      <c r="C790" t="s">
        <v>315</v>
      </c>
      <c r="D790">
        <v>247884</v>
      </c>
      <c r="E790" s="8" t="s">
        <v>316</v>
      </c>
      <c r="F790" s="12">
        <v>21</v>
      </c>
      <c r="G790" s="8" t="s">
        <v>44</v>
      </c>
      <c r="H790" s="12">
        <v>3204</v>
      </c>
      <c r="I790" t="s">
        <v>52</v>
      </c>
      <c r="K790" t="s">
        <v>101</v>
      </c>
      <c r="L790">
        <v>3</v>
      </c>
      <c r="M790" t="s">
        <v>192</v>
      </c>
      <c r="N790" s="12"/>
      <c r="O790" s="8"/>
      <c r="Q790" s="8"/>
      <c r="R790" s="12"/>
      <c r="S790" s="8"/>
      <c r="T790" s="12"/>
      <c r="U790" s="8"/>
      <c r="V790" s="2">
        <v>45701</v>
      </c>
      <c r="W790" s="2">
        <v>45701</v>
      </c>
      <c r="X790" s="2">
        <v>45701</v>
      </c>
      <c r="Y790" s="2">
        <v>45701</v>
      </c>
      <c r="Z790" s="2">
        <v>45701</v>
      </c>
      <c r="AB790">
        <v>8335</v>
      </c>
      <c r="AC790">
        <v>70350</v>
      </c>
      <c r="AD790" t="s">
        <v>929</v>
      </c>
      <c r="AE790" s="2">
        <v>45701</v>
      </c>
      <c r="AF790">
        <v>5</v>
      </c>
      <c r="AG790" s="17">
        <v>0.20833333333333301</v>
      </c>
      <c r="AH790" s="2">
        <v>45702</v>
      </c>
    </row>
    <row r="791" spans="1:34" hidden="1" x14ac:dyDescent="0.25">
      <c r="A791" s="12">
        <v>8461</v>
      </c>
      <c r="B791" s="12">
        <v>0</v>
      </c>
      <c r="C791" t="s">
        <v>317</v>
      </c>
      <c r="D791">
        <v>247572</v>
      </c>
      <c r="E791" s="8" t="s">
        <v>318</v>
      </c>
      <c r="F791" s="12">
        <v>21</v>
      </c>
      <c r="G791" s="8" t="s">
        <v>44</v>
      </c>
      <c r="H791" s="12">
        <v>3204</v>
      </c>
      <c r="I791" t="s">
        <v>52</v>
      </c>
      <c r="J791" t="s">
        <v>62</v>
      </c>
      <c r="K791" t="s">
        <v>101</v>
      </c>
      <c r="L791">
        <v>4</v>
      </c>
      <c r="M791" t="s">
        <v>207</v>
      </c>
      <c r="N791" s="12">
        <v>1</v>
      </c>
      <c r="O791" s="8" t="s">
        <v>193</v>
      </c>
      <c r="P791">
        <v>2</v>
      </c>
      <c r="Q791" s="8">
        <v>2</v>
      </c>
      <c r="R791" s="12"/>
      <c r="S791" s="8"/>
      <c r="T791" s="12">
        <v>1</v>
      </c>
      <c r="U791" s="8" t="s">
        <v>194</v>
      </c>
      <c r="V791" s="2">
        <v>45706</v>
      </c>
      <c r="W791" s="2">
        <v>45706</v>
      </c>
      <c r="X791" s="2">
        <v>45706</v>
      </c>
      <c r="Y791" s="2">
        <v>45706</v>
      </c>
      <c r="Z791" s="2">
        <v>45706</v>
      </c>
      <c r="AB791">
        <v>8461</v>
      </c>
      <c r="AC791">
        <v>71735</v>
      </c>
      <c r="AD791" t="s">
        <v>462</v>
      </c>
      <c r="AE791" s="2">
        <v>45706</v>
      </c>
      <c r="AF791">
        <v>2</v>
      </c>
      <c r="AG791" s="17">
        <v>8.3333333333333301E-2</v>
      </c>
      <c r="AH791" s="2">
        <v>45707</v>
      </c>
    </row>
    <row r="792" spans="1:34" hidden="1" x14ac:dyDescent="0.25">
      <c r="A792" s="12">
        <v>8280</v>
      </c>
      <c r="B792" s="12">
        <v>340</v>
      </c>
      <c r="C792" t="s">
        <v>319</v>
      </c>
      <c r="D792">
        <v>247857</v>
      </c>
      <c r="E792" s="8" t="s">
        <v>66</v>
      </c>
      <c r="F792" s="12">
        <v>21</v>
      </c>
      <c r="G792" s="8" t="s">
        <v>44</v>
      </c>
      <c r="H792" s="12">
        <v>3204</v>
      </c>
      <c r="I792" t="s">
        <v>52</v>
      </c>
      <c r="J792" t="s">
        <v>62</v>
      </c>
      <c r="K792" t="s">
        <v>63</v>
      </c>
      <c r="N792" s="12"/>
      <c r="O792" s="8"/>
      <c r="P792">
        <v>1</v>
      </c>
      <c r="Q792" s="8">
        <v>1</v>
      </c>
      <c r="R792" s="12">
        <v>1</v>
      </c>
      <c r="S792" s="8">
        <v>1</v>
      </c>
      <c r="T792" s="12"/>
      <c r="U792" s="8"/>
      <c r="V792" s="2">
        <v>45658</v>
      </c>
      <c r="W792" s="2">
        <v>45658</v>
      </c>
      <c r="X792" s="2">
        <v>45716</v>
      </c>
      <c r="Y792" s="2">
        <v>45716</v>
      </c>
      <c r="Z792" s="2"/>
      <c r="AE792" s="2"/>
      <c r="AG792" s="17"/>
      <c r="AH792" s="2"/>
    </row>
    <row r="793" spans="1:34" hidden="1" x14ac:dyDescent="0.25">
      <c r="A793" s="12">
        <v>8313</v>
      </c>
      <c r="B793" s="12">
        <v>0</v>
      </c>
      <c r="C793" t="s">
        <v>320</v>
      </c>
      <c r="D793">
        <v>254970</v>
      </c>
      <c r="E793" s="8" t="s">
        <v>321</v>
      </c>
      <c r="F793" s="12">
        <v>21</v>
      </c>
      <c r="G793" s="8" t="s">
        <v>44</v>
      </c>
      <c r="H793" s="12">
        <v>3204</v>
      </c>
      <c r="I793" t="s">
        <v>52</v>
      </c>
      <c r="J793" t="s">
        <v>62</v>
      </c>
      <c r="K793" t="s">
        <v>63</v>
      </c>
      <c r="L793">
        <v>4</v>
      </c>
      <c r="M793" t="s">
        <v>207</v>
      </c>
      <c r="N793" s="12">
        <v>2</v>
      </c>
      <c r="O793" s="8" t="s">
        <v>158</v>
      </c>
      <c r="P793">
        <v>2</v>
      </c>
      <c r="Q793" s="8">
        <v>2</v>
      </c>
      <c r="R793" s="12">
        <v>2</v>
      </c>
      <c r="S793" s="8">
        <v>2</v>
      </c>
      <c r="T793" s="12">
        <v>1</v>
      </c>
      <c r="U793" s="8" t="s">
        <v>194</v>
      </c>
      <c r="V793" s="2">
        <v>45693</v>
      </c>
      <c r="W793" s="2">
        <v>45693</v>
      </c>
      <c r="X793" s="2"/>
      <c r="Y793" s="2"/>
      <c r="Z793" s="2"/>
      <c r="AB793">
        <v>8313</v>
      </c>
      <c r="AC793">
        <v>69705</v>
      </c>
      <c r="AD793" t="s">
        <v>463</v>
      </c>
      <c r="AE793" s="2">
        <v>45695</v>
      </c>
      <c r="AF793">
        <v>4</v>
      </c>
      <c r="AG793" s="17">
        <v>0.16666666666666599</v>
      </c>
      <c r="AH793" s="2">
        <v>45700</v>
      </c>
    </row>
    <row r="794" spans="1:34" hidden="1" x14ac:dyDescent="0.25">
      <c r="A794" s="12">
        <v>8313</v>
      </c>
      <c r="B794" s="12">
        <v>0</v>
      </c>
      <c r="C794" t="s">
        <v>320</v>
      </c>
      <c r="D794">
        <v>254970</v>
      </c>
      <c r="E794" s="8" t="s">
        <v>321</v>
      </c>
      <c r="F794" s="12">
        <v>21</v>
      </c>
      <c r="G794" s="8" t="s">
        <v>44</v>
      </c>
      <c r="H794" s="12">
        <v>3204</v>
      </c>
      <c r="I794" t="s">
        <v>52</v>
      </c>
      <c r="K794" t="s">
        <v>63</v>
      </c>
      <c r="L794">
        <v>4</v>
      </c>
      <c r="M794" t="s">
        <v>207</v>
      </c>
      <c r="N794" s="12">
        <v>2</v>
      </c>
      <c r="O794" s="8" t="s">
        <v>158</v>
      </c>
      <c r="P794">
        <v>2</v>
      </c>
      <c r="Q794" s="8">
        <v>2</v>
      </c>
      <c r="R794" s="12">
        <v>2</v>
      </c>
      <c r="S794" s="8">
        <v>2</v>
      </c>
      <c r="T794" s="12">
        <v>1</v>
      </c>
      <c r="U794" s="8" t="s">
        <v>194</v>
      </c>
      <c r="V794" s="2">
        <v>45693</v>
      </c>
      <c r="W794" s="2">
        <v>45693</v>
      </c>
      <c r="X794" s="2"/>
      <c r="Y794" s="2"/>
      <c r="Z794" s="2"/>
      <c r="AB794">
        <v>8313</v>
      </c>
      <c r="AC794">
        <v>68252</v>
      </c>
      <c r="AD794" t="s">
        <v>930</v>
      </c>
      <c r="AE794" s="2">
        <v>45694</v>
      </c>
      <c r="AF794">
        <v>8</v>
      </c>
      <c r="AG794" s="17">
        <v>0.33333333333333298</v>
      </c>
      <c r="AH794" s="2">
        <v>45694</v>
      </c>
    </row>
    <row r="795" spans="1:34" hidden="1" x14ac:dyDescent="0.25">
      <c r="A795" s="12">
        <v>8273</v>
      </c>
      <c r="B795" s="12">
        <v>338</v>
      </c>
      <c r="C795" t="s">
        <v>322</v>
      </c>
      <c r="D795">
        <v>247857</v>
      </c>
      <c r="E795" s="8" t="s">
        <v>66</v>
      </c>
      <c r="F795" s="12">
        <v>21</v>
      </c>
      <c r="G795" s="8" t="s">
        <v>44</v>
      </c>
      <c r="H795" s="12">
        <v>3204</v>
      </c>
      <c r="I795" t="s">
        <v>52</v>
      </c>
      <c r="J795" t="s">
        <v>62</v>
      </c>
      <c r="K795" t="s">
        <v>63</v>
      </c>
      <c r="N795" s="12"/>
      <c r="O795" s="8"/>
      <c r="P795">
        <v>1</v>
      </c>
      <c r="Q795" s="8">
        <v>1</v>
      </c>
      <c r="R795" s="12">
        <v>1</v>
      </c>
      <c r="S795" s="8">
        <v>1</v>
      </c>
      <c r="T795" s="12"/>
      <c r="U795" s="8"/>
      <c r="V795" s="2">
        <v>45658</v>
      </c>
      <c r="W795" s="2">
        <v>1</v>
      </c>
      <c r="X795" s="2">
        <v>45688</v>
      </c>
      <c r="Y795" s="2">
        <v>45688</v>
      </c>
      <c r="Z795" s="2"/>
      <c r="AB795">
        <v>8273</v>
      </c>
      <c r="AC795">
        <v>69708</v>
      </c>
      <c r="AD795" t="s">
        <v>464</v>
      </c>
      <c r="AE795" s="2">
        <v>45700</v>
      </c>
      <c r="AF795">
        <v>0</v>
      </c>
      <c r="AG795" s="17">
        <v>0</v>
      </c>
      <c r="AH795" s="2">
        <v>45700</v>
      </c>
    </row>
    <row r="796" spans="1:34" hidden="1" x14ac:dyDescent="0.25">
      <c r="A796" s="12">
        <v>8273</v>
      </c>
      <c r="B796" s="12">
        <v>338</v>
      </c>
      <c r="C796" t="s">
        <v>322</v>
      </c>
      <c r="D796">
        <v>247857</v>
      </c>
      <c r="E796" s="8" t="s">
        <v>66</v>
      </c>
      <c r="F796" s="12">
        <v>21</v>
      </c>
      <c r="G796" s="8" t="s">
        <v>44</v>
      </c>
      <c r="H796" s="12">
        <v>3204</v>
      </c>
      <c r="I796" t="s">
        <v>52</v>
      </c>
      <c r="K796" t="s">
        <v>63</v>
      </c>
      <c r="N796" s="12"/>
      <c r="O796" s="8"/>
      <c r="P796">
        <v>1</v>
      </c>
      <c r="Q796" s="8">
        <v>1</v>
      </c>
      <c r="R796" s="12">
        <v>1</v>
      </c>
      <c r="S796" s="8">
        <v>1</v>
      </c>
      <c r="T796" s="12"/>
      <c r="U796" s="8"/>
      <c r="V796" s="2">
        <v>45658</v>
      </c>
      <c r="W796" s="2">
        <v>1</v>
      </c>
      <c r="X796" s="2">
        <v>45688</v>
      </c>
      <c r="Y796" s="2">
        <v>45688</v>
      </c>
      <c r="Z796" s="2"/>
      <c r="AB796">
        <v>8273</v>
      </c>
      <c r="AC796">
        <v>69707</v>
      </c>
      <c r="AD796" t="s">
        <v>464</v>
      </c>
      <c r="AE796" s="2">
        <v>45700</v>
      </c>
      <c r="AF796">
        <v>0</v>
      </c>
      <c r="AG796" s="17">
        <v>0</v>
      </c>
      <c r="AH796" s="2">
        <v>45700</v>
      </c>
    </row>
    <row r="797" spans="1:34" hidden="1" x14ac:dyDescent="0.25">
      <c r="A797" s="12">
        <v>8273</v>
      </c>
      <c r="B797" s="12">
        <v>338</v>
      </c>
      <c r="C797" t="s">
        <v>322</v>
      </c>
      <c r="D797">
        <v>247857</v>
      </c>
      <c r="E797" s="8" t="s">
        <v>66</v>
      </c>
      <c r="F797" s="12">
        <v>21</v>
      </c>
      <c r="G797" s="8" t="s">
        <v>44</v>
      </c>
      <c r="H797" s="12">
        <v>3204</v>
      </c>
      <c r="I797" t="s">
        <v>52</v>
      </c>
      <c r="K797" t="s">
        <v>63</v>
      </c>
      <c r="N797" s="12"/>
      <c r="O797" s="8"/>
      <c r="P797">
        <v>1</v>
      </c>
      <c r="Q797" s="8">
        <v>1</v>
      </c>
      <c r="R797" s="12">
        <v>1</v>
      </c>
      <c r="S797" s="8">
        <v>1</v>
      </c>
      <c r="T797" s="12"/>
      <c r="U797" s="8"/>
      <c r="V797" s="2">
        <v>45658</v>
      </c>
      <c r="W797" s="2">
        <v>1</v>
      </c>
      <c r="X797" s="2">
        <v>45688</v>
      </c>
      <c r="Y797" s="2">
        <v>45688</v>
      </c>
      <c r="Z797" s="2"/>
      <c r="AB797">
        <v>8273</v>
      </c>
      <c r="AC797">
        <v>69706</v>
      </c>
      <c r="AD797" t="s">
        <v>464</v>
      </c>
      <c r="AE797" s="2">
        <v>45700</v>
      </c>
      <c r="AF797">
        <v>0</v>
      </c>
      <c r="AG797" s="17">
        <v>0</v>
      </c>
      <c r="AH797" s="2">
        <v>45700</v>
      </c>
    </row>
    <row r="798" spans="1:34" hidden="1" x14ac:dyDescent="0.25">
      <c r="A798" s="12">
        <v>8462</v>
      </c>
      <c r="B798" s="12">
        <v>0</v>
      </c>
      <c r="C798" t="s">
        <v>323</v>
      </c>
      <c r="D798">
        <v>247884</v>
      </c>
      <c r="E798" s="8" t="s">
        <v>316</v>
      </c>
      <c r="F798" s="12">
        <v>21</v>
      </c>
      <c r="G798" s="8" t="s">
        <v>44</v>
      </c>
      <c r="H798" s="12">
        <v>3204</v>
      </c>
      <c r="I798" t="s">
        <v>52</v>
      </c>
      <c r="J798" t="s">
        <v>62</v>
      </c>
      <c r="K798" t="s">
        <v>101</v>
      </c>
      <c r="L798">
        <v>4</v>
      </c>
      <c r="M798" t="s">
        <v>207</v>
      </c>
      <c r="N798" s="12">
        <v>1</v>
      </c>
      <c r="O798" s="8" t="s">
        <v>193</v>
      </c>
      <c r="P798">
        <v>2</v>
      </c>
      <c r="Q798" s="8">
        <v>2</v>
      </c>
      <c r="R798" s="12"/>
      <c r="S798" s="8"/>
      <c r="T798" s="12"/>
      <c r="U798" s="8"/>
      <c r="V798" s="2">
        <v>45705</v>
      </c>
      <c r="W798" s="2">
        <v>45705</v>
      </c>
      <c r="X798" s="2">
        <v>45705</v>
      </c>
      <c r="Y798" s="2">
        <v>45705</v>
      </c>
      <c r="Z798" s="2">
        <v>45705</v>
      </c>
      <c r="AB798">
        <v>8462</v>
      </c>
      <c r="AC798">
        <v>74194</v>
      </c>
      <c r="AD798" t="s">
        <v>345</v>
      </c>
      <c r="AE798" s="2">
        <v>45716</v>
      </c>
      <c r="AF798">
        <v>1</v>
      </c>
      <c r="AG798" s="17">
        <v>4.1666666666666602E-2</v>
      </c>
      <c r="AH798" s="2">
        <v>45716</v>
      </c>
    </row>
    <row r="799" spans="1:34" hidden="1" x14ac:dyDescent="0.25">
      <c r="A799" s="12">
        <v>8462</v>
      </c>
      <c r="B799" s="12">
        <v>0</v>
      </c>
      <c r="C799" t="s">
        <v>323</v>
      </c>
      <c r="D799">
        <v>247884</v>
      </c>
      <c r="E799" s="8" t="s">
        <v>316</v>
      </c>
      <c r="F799" s="12">
        <v>21</v>
      </c>
      <c r="G799" s="8" t="s">
        <v>44</v>
      </c>
      <c r="H799" s="12">
        <v>3204</v>
      </c>
      <c r="I799" t="s">
        <v>52</v>
      </c>
      <c r="K799" t="s">
        <v>101</v>
      </c>
      <c r="L799">
        <v>4</v>
      </c>
      <c r="M799" t="s">
        <v>207</v>
      </c>
      <c r="N799" s="12">
        <v>1</v>
      </c>
      <c r="O799" s="8" t="s">
        <v>193</v>
      </c>
      <c r="P799">
        <v>2</v>
      </c>
      <c r="Q799" s="8">
        <v>2</v>
      </c>
      <c r="R799" s="12"/>
      <c r="S799" s="8"/>
      <c r="T799" s="12"/>
      <c r="U799" s="8"/>
      <c r="V799" s="2">
        <v>45705</v>
      </c>
      <c r="W799" s="2">
        <v>45705</v>
      </c>
      <c r="X799" s="2">
        <v>45705</v>
      </c>
      <c r="Y799" s="2">
        <v>45705</v>
      </c>
      <c r="Z799" s="2">
        <v>45705</v>
      </c>
      <c r="AB799">
        <v>8462</v>
      </c>
      <c r="AC799">
        <v>74193</v>
      </c>
      <c r="AD799" t="s">
        <v>345</v>
      </c>
      <c r="AE799" s="2">
        <v>45715</v>
      </c>
      <c r="AF799">
        <v>1</v>
      </c>
      <c r="AG799" s="17">
        <v>4.1666666666666602E-2</v>
      </c>
      <c r="AH799" s="2">
        <v>45716</v>
      </c>
    </row>
    <row r="800" spans="1:34" hidden="1" x14ac:dyDescent="0.25">
      <c r="A800" s="12">
        <v>8462</v>
      </c>
      <c r="B800" s="12">
        <v>0</v>
      </c>
      <c r="C800" t="s">
        <v>323</v>
      </c>
      <c r="D800">
        <v>247884</v>
      </c>
      <c r="E800" s="8" t="s">
        <v>316</v>
      </c>
      <c r="F800" s="12">
        <v>21</v>
      </c>
      <c r="G800" s="8" t="s">
        <v>44</v>
      </c>
      <c r="H800" s="12">
        <v>3204</v>
      </c>
      <c r="I800" t="s">
        <v>52</v>
      </c>
      <c r="K800" t="s">
        <v>101</v>
      </c>
      <c r="L800">
        <v>4</v>
      </c>
      <c r="M800" t="s">
        <v>207</v>
      </c>
      <c r="N800" s="12">
        <v>1</v>
      </c>
      <c r="O800" s="8" t="s">
        <v>193</v>
      </c>
      <c r="P800">
        <v>2</v>
      </c>
      <c r="Q800" s="8">
        <v>2</v>
      </c>
      <c r="R800" s="12"/>
      <c r="S800" s="8"/>
      <c r="T800" s="12"/>
      <c r="U800" s="8"/>
      <c r="V800" s="2">
        <v>45705</v>
      </c>
      <c r="W800" s="2">
        <v>45705</v>
      </c>
      <c r="X800" s="2">
        <v>45705</v>
      </c>
      <c r="Y800" s="2">
        <v>45705</v>
      </c>
      <c r="Z800" s="2">
        <v>45705</v>
      </c>
      <c r="AB800">
        <v>8462</v>
      </c>
      <c r="AC800">
        <v>71737</v>
      </c>
      <c r="AD800" t="s">
        <v>931</v>
      </c>
      <c r="AE800" s="2">
        <v>45705</v>
      </c>
      <c r="AF800">
        <v>2</v>
      </c>
      <c r="AG800" s="17">
        <v>8.3333333333333301E-2</v>
      </c>
      <c r="AH800" s="2">
        <v>45707</v>
      </c>
    </row>
    <row r="801" spans="1:34" hidden="1" x14ac:dyDescent="0.25">
      <c r="A801" s="12">
        <v>8268</v>
      </c>
      <c r="B801" s="12">
        <v>335</v>
      </c>
      <c r="C801" t="s">
        <v>324</v>
      </c>
      <c r="D801">
        <v>247417</v>
      </c>
      <c r="E801" s="8" t="s">
        <v>156</v>
      </c>
      <c r="F801" s="12">
        <v>21</v>
      </c>
      <c r="G801" s="8" t="s">
        <v>44</v>
      </c>
      <c r="H801" s="12">
        <v>3204</v>
      </c>
      <c r="I801" t="s">
        <v>52</v>
      </c>
      <c r="J801" t="s">
        <v>62</v>
      </c>
      <c r="K801" t="s">
        <v>63</v>
      </c>
      <c r="N801" s="12"/>
      <c r="O801" s="8"/>
      <c r="P801">
        <v>1</v>
      </c>
      <c r="Q801" s="8">
        <v>1</v>
      </c>
      <c r="R801" s="12">
        <v>1</v>
      </c>
      <c r="S801" s="8">
        <v>1</v>
      </c>
      <c r="T801" s="12"/>
      <c r="U801" s="8"/>
      <c r="V801" s="2">
        <v>45658</v>
      </c>
      <c r="W801" s="2">
        <v>1</v>
      </c>
      <c r="X801" s="2">
        <v>45688</v>
      </c>
      <c r="Y801" s="2">
        <v>45688</v>
      </c>
      <c r="Z801" s="2"/>
      <c r="AA801" t="s">
        <v>325</v>
      </c>
      <c r="AB801">
        <v>8268</v>
      </c>
      <c r="AC801">
        <v>71988</v>
      </c>
      <c r="AD801" t="s">
        <v>465</v>
      </c>
      <c r="AE801" s="2">
        <v>45707</v>
      </c>
      <c r="AF801">
        <v>2</v>
      </c>
      <c r="AG801" s="17">
        <v>8.3333333333333301E-2</v>
      </c>
      <c r="AH801" s="2">
        <v>45708</v>
      </c>
    </row>
    <row r="802" spans="1:34" hidden="1" x14ac:dyDescent="0.25">
      <c r="A802" s="12">
        <v>8268</v>
      </c>
      <c r="B802" s="12">
        <v>335</v>
      </c>
      <c r="C802" t="s">
        <v>324</v>
      </c>
      <c r="D802">
        <v>247417</v>
      </c>
      <c r="E802" s="8" t="s">
        <v>156</v>
      </c>
      <c r="F802" s="12">
        <v>21</v>
      </c>
      <c r="G802" s="8" t="s">
        <v>44</v>
      </c>
      <c r="H802" s="12">
        <v>3204</v>
      </c>
      <c r="I802" t="s">
        <v>52</v>
      </c>
      <c r="K802" t="s">
        <v>63</v>
      </c>
      <c r="N802" s="12"/>
      <c r="O802" s="8"/>
      <c r="P802">
        <v>1</v>
      </c>
      <c r="Q802" s="8">
        <v>1</v>
      </c>
      <c r="R802" s="12">
        <v>1</v>
      </c>
      <c r="S802" s="8">
        <v>1</v>
      </c>
      <c r="T802" s="12"/>
      <c r="U802" s="8"/>
      <c r="V802" s="2">
        <v>45658</v>
      </c>
      <c r="W802" s="2">
        <v>1</v>
      </c>
      <c r="X802" s="2">
        <v>45688</v>
      </c>
      <c r="Y802" s="2">
        <v>45688</v>
      </c>
      <c r="Z802" s="2"/>
      <c r="AA802" t="s">
        <v>325</v>
      </c>
      <c r="AB802">
        <v>8268</v>
      </c>
      <c r="AC802">
        <v>69709</v>
      </c>
      <c r="AD802" t="s">
        <v>464</v>
      </c>
      <c r="AE802" s="2">
        <v>45700</v>
      </c>
      <c r="AF802">
        <v>0</v>
      </c>
      <c r="AG802" s="17">
        <v>0</v>
      </c>
      <c r="AH802" s="2">
        <v>45700</v>
      </c>
    </row>
    <row r="803" spans="1:34" hidden="1" x14ac:dyDescent="0.25">
      <c r="A803" s="12">
        <v>8268</v>
      </c>
      <c r="B803" s="12">
        <v>335</v>
      </c>
      <c r="C803" t="s">
        <v>324</v>
      </c>
      <c r="D803">
        <v>247417</v>
      </c>
      <c r="E803" s="8" t="s">
        <v>156</v>
      </c>
      <c r="F803" s="12">
        <v>21</v>
      </c>
      <c r="G803" s="8" t="s">
        <v>44</v>
      </c>
      <c r="H803" s="12">
        <v>3204</v>
      </c>
      <c r="I803" t="s">
        <v>52</v>
      </c>
      <c r="K803" t="s">
        <v>63</v>
      </c>
      <c r="N803" s="12"/>
      <c r="O803" s="8"/>
      <c r="P803">
        <v>1</v>
      </c>
      <c r="Q803" s="8">
        <v>1</v>
      </c>
      <c r="R803" s="12">
        <v>1</v>
      </c>
      <c r="S803" s="8">
        <v>1</v>
      </c>
      <c r="T803" s="12"/>
      <c r="U803" s="8"/>
      <c r="V803" s="2">
        <v>45658</v>
      </c>
      <c r="W803" s="2">
        <v>1</v>
      </c>
      <c r="X803" s="2">
        <v>45688</v>
      </c>
      <c r="Y803" s="2">
        <v>45688</v>
      </c>
      <c r="Z803" s="2"/>
      <c r="AA803" t="s">
        <v>325</v>
      </c>
      <c r="AB803">
        <v>8268</v>
      </c>
      <c r="AC803">
        <v>66033</v>
      </c>
      <c r="AD803" t="s">
        <v>932</v>
      </c>
      <c r="AE803" s="2">
        <v>45686</v>
      </c>
      <c r="AF803">
        <v>0</v>
      </c>
      <c r="AG803" s="17">
        <v>0</v>
      </c>
      <c r="AH803" s="2">
        <v>45686</v>
      </c>
    </row>
    <row r="804" spans="1:34" hidden="1" x14ac:dyDescent="0.25">
      <c r="A804" s="12">
        <v>8268</v>
      </c>
      <c r="B804" s="12">
        <v>335</v>
      </c>
      <c r="C804" t="s">
        <v>324</v>
      </c>
      <c r="D804">
        <v>247417</v>
      </c>
      <c r="E804" s="8" t="s">
        <v>156</v>
      </c>
      <c r="F804" s="12">
        <v>21</v>
      </c>
      <c r="G804" s="8" t="s">
        <v>44</v>
      </c>
      <c r="H804" s="12">
        <v>3204</v>
      </c>
      <c r="I804" t="s">
        <v>52</v>
      </c>
      <c r="K804" t="s">
        <v>63</v>
      </c>
      <c r="N804" s="12"/>
      <c r="O804" s="8"/>
      <c r="P804">
        <v>1</v>
      </c>
      <c r="Q804" s="8">
        <v>1</v>
      </c>
      <c r="R804" s="12">
        <v>1</v>
      </c>
      <c r="S804" s="8">
        <v>1</v>
      </c>
      <c r="T804" s="12"/>
      <c r="U804" s="8"/>
      <c r="V804" s="2">
        <v>45658</v>
      </c>
      <c r="W804" s="2">
        <v>1</v>
      </c>
      <c r="X804" s="2">
        <v>45688</v>
      </c>
      <c r="Y804" s="2">
        <v>45688</v>
      </c>
      <c r="Z804" s="2"/>
      <c r="AA804" t="s">
        <v>325</v>
      </c>
      <c r="AB804">
        <v>8268</v>
      </c>
      <c r="AC804">
        <v>66010</v>
      </c>
      <c r="AD804" t="s">
        <v>345</v>
      </c>
      <c r="AE804" s="2">
        <v>45672</v>
      </c>
      <c r="AF804">
        <v>2</v>
      </c>
      <c r="AG804" s="17">
        <v>8.3333333333333301E-2</v>
      </c>
      <c r="AH804" s="2">
        <v>45686</v>
      </c>
    </row>
    <row r="805" spans="1:34" hidden="1" x14ac:dyDescent="0.25">
      <c r="A805" s="12">
        <v>8476</v>
      </c>
      <c r="B805" s="12">
        <v>0</v>
      </c>
      <c r="C805" t="s">
        <v>326</v>
      </c>
      <c r="D805">
        <v>254960</v>
      </c>
      <c r="E805" s="8" t="s">
        <v>327</v>
      </c>
      <c r="F805" s="12">
        <v>21</v>
      </c>
      <c r="G805" s="8" t="s">
        <v>44</v>
      </c>
      <c r="H805" s="12">
        <v>3204</v>
      </c>
      <c r="I805" t="s">
        <v>52</v>
      </c>
      <c r="J805" t="s">
        <v>62</v>
      </c>
      <c r="K805" t="s">
        <v>101</v>
      </c>
      <c r="L805">
        <v>4</v>
      </c>
      <c r="M805" t="s">
        <v>207</v>
      </c>
      <c r="N805" s="12">
        <v>1</v>
      </c>
      <c r="O805" s="8" t="s">
        <v>193</v>
      </c>
      <c r="P805">
        <v>3</v>
      </c>
      <c r="Q805" s="8">
        <v>3</v>
      </c>
      <c r="R805" s="12"/>
      <c r="S805" s="8"/>
      <c r="T805" s="12"/>
      <c r="U805" s="8"/>
      <c r="V805" s="2">
        <v>45708</v>
      </c>
      <c r="W805" s="2">
        <v>45708</v>
      </c>
      <c r="X805" s="2">
        <v>45708</v>
      </c>
      <c r="Y805" s="2">
        <v>45708</v>
      </c>
      <c r="Z805" s="2">
        <v>45708</v>
      </c>
      <c r="AB805">
        <v>8476</v>
      </c>
      <c r="AC805">
        <v>74192</v>
      </c>
      <c r="AD805" t="s">
        <v>345</v>
      </c>
      <c r="AE805" s="2">
        <v>45714</v>
      </c>
      <c r="AF805">
        <v>2</v>
      </c>
      <c r="AG805" s="17">
        <v>8.3333333333333301E-2</v>
      </c>
      <c r="AH805" s="2">
        <v>45716</v>
      </c>
    </row>
    <row r="806" spans="1:34" hidden="1" x14ac:dyDescent="0.25">
      <c r="A806" s="12">
        <v>8476</v>
      </c>
      <c r="B806" s="12">
        <v>0</v>
      </c>
      <c r="C806" t="s">
        <v>326</v>
      </c>
      <c r="D806">
        <v>254960</v>
      </c>
      <c r="E806" s="8" t="s">
        <v>327</v>
      </c>
      <c r="F806" s="12">
        <v>21</v>
      </c>
      <c r="G806" s="8" t="s">
        <v>44</v>
      </c>
      <c r="H806" s="12">
        <v>3204</v>
      </c>
      <c r="I806" t="s">
        <v>52</v>
      </c>
      <c r="K806" t="s">
        <v>101</v>
      </c>
      <c r="L806">
        <v>4</v>
      </c>
      <c r="M806" t="s">
        <v>207</v>
      </c>
      <c r="N806" s="12">
        <v>1</v>
      </c>
      <c r="O806" s="8" t="s">
        <v>193</v>
      </c>
      <c r="P806">
        <v>3</v>
      </c>
      <c r="Q806" s="8">
        <v>3</v>
      </c>
      <c r="R806" s="12"/>
      <c r="S806" s="8"/>
      <c r="T806" s="12"/>
      <c r="U806" s="8"/>
      <c r="V806" s="2">
        <v>45708</v>
      </c>
      <c r="W806" s="2">
        <v>45708</v>
      </c>
      <c r="X806" s="2">
        <v>45708</v>
      </c>
      <c r="Y806" s="2">
        <v>45708</v>
      </c>
      <c r="Z806" s="2">
        <v>45708</v>
      </c>
      <c r="AB806">
        <v>8476</v>
      </c>
      <c r="AC806">
        <v>72228</v>
      </c>
      <c r="AD806" t="s">
        <v>345</v>
      </c>
      <c r="AE806" s="2">
        <v>45708</v>
      </c>
      <c r="AF806">
        <v>2</v>
      </c>
      <c r="AG806" s="17">
        <v>8.3333333333333301E-2</v>
      </c>
      <c r="AH806" s="2">
        <v>45708</v>
      </c>
    </row>
  </sheetData>
  <phoneticPr fontId="4"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74C30-C107-4D9B-99E9-203E5C21CDC2}">
  <sheetPr codeName="Hoja13">
    <tabColor theme="5" tint="-0.249977111117893"/>
  </sheetPr>
  <dimension ref="A1:F27"/>
  <sheetViews>
    <sheetView showGridLines="0" tabSelected="1" workbookViewId="0">
      <selection activeCell="D23" sqref="D23"/>
    </sheetView>
  </sheetViews>
  <sheetFormatPr baseColWidth="10" defaultColWidth="11.42578125" defaultRowHeight="15" x14ac:dyDescent="0.25"/>
  <cols>
    <col min="3" max="3" width="20.5703125" bestFit="1" customWidth="1"/>
    <col min="4" max="4" width="72.7109375" customWidth="1"/>
    <col min="5" max="5" width="23.5703125" customWidth="1"/>
  </cols>
  <sheetData>
    <row r="1" spans="1:6" x14ac:dyDescent="0.25">
      <c r="E1" s="1"/>
    </row>
    <row r="2" spans="1:6" ht="18.75" x14ac:dyDescent="0.3">
      <c r="B2" s="9" t="s">
        <v>0</v>
      </c>
      <c r="C2" s="9"/>
      <c r="D2" s="9"/>
      <c r="E2" s="9"/>
    </row>
    <row r="3" spans="1:6" x14ac:dyDescent="0.25">
      <c r="C3" s="3" t="s">
        <v>31</v>
      </c>
      <c r="D3" s="5" t="s">
        <v>39</v>
      </c>
      <c r="E3" t="s">
        <v>33</v>
      </c>
    </row>
    <row r="4" spans="1:6" x14ac:dyDescent="0.25">
      <c r="C4" s="4" t="s">
        <v>32</v>
      </c>
      <c r="D4" s="5" t="s">
        <v>38</v>
      </c>
      <c r="E4" t="s">
        <v>34</v>
      </c>
    </row>
    <row r="5" spans="1:6" ht="30" x14ac:dyDescent="0.25">
      <c r="C5" s="4" t="s">
        <v>1</v>
      </c>
      <c r="D5" s="5" t="s">
        <v>36</v>
      </c>
      <c r="E5" t="s">
        <v>35</v>
      </c>
    </row>
    <row r="6" spans="1:6" x14ac:dyDescent="0.25">
      <c r="C6" s="4" t="s">
        <v>40</v>
      </c>
      <c r="D6" s="5" t="s">
        <v>342</v>
      </c>
      <c r="E6" t="str">
        <f>IF(TRIM(kScript)="","*Error - Dato requerido","")</f>
        <v/>
      </c>
    </row>
    <row r="7" spans="1:6" x14ac:dyDescent="0.25">
      <c r="C7" s="4" t="s">
        <v>2</v>
      </c>
      <c r="D7" s="10">
        <v>45586</v>
      </c>
      <c r="E7" t="str">
        <f>IF(TRIM(kFechaDesde)="","*Error - Dato requerido",IF(kFechaDesde&gt;kFechaHasta,"*Error - (Fecha Desde) es mayor a (Fecha Hasta)",""))</f>
        <v/>
      </c>
      <c r="F7" s="2"/>
    </row>
    <row r="8" spans="1:6" x14ac:dyDescent="0.25">
      <c r="A8" s="1"/>
      <c r="C8" s="4" t="s">
        <v>3</v>
      </c>
      <c r="D8" s="10">
        <v>45586</v>
      </c>
      <c r="E8" t="str">
        <f>IF(TRIM(kFechaHasta)="","*Error - Dato requerido",IF(kFechaHasta&lt;kFechaDesde,"*Error - (Fecha hasta) es menor que (Fecha desde)",""))</f>
        <v/>
      </c>
      <c r="F8" s="2"/>
    </row>
    <row r="9" spans="1:6" x14ac:dyDescent="0.25">
      <c r="A9" s="1"/>
      <c r="D9" s="11" t="s">
        <v>30</v>
      </c>
    </row>
    <row r="15" spans="1:6" x14ac:dyDescent="0.25">
      <c r="D15" s="1"/>
    </row>
    <row r="23" spans="4:5" x14ac:dyDescent="0.25">
      <c r="D23" s="1"/>
    </row>
    <row r="27" spans="4:5" x14ac:dyDescent="0.25">
      <c r="E27" s="1"/>
    </row>
  </sheetData>
  <conditionalFormatting sqref="E3:E8">
    <cfRule type="containsText" dxfId="0" priority="1" operator="containsText" text="eRR">
      <formula>NOT(ISERROR(SEARCH("eRR",E3)))</formula>
    </cfRule>
  </conditionalFormatting>
  <dataValidations disablePrompts="1" count="2">
    <dataValidation type="list" allowBlank="1" showInputMessage="1" showErrorMessage="1" sqref="D3" xr:uid="{9B110ADE-88B3-439D-A47A-875670C3F61E}">
      <formula1>"PROD,DESA"</formula1>
    </dataValidation>
    <dataValidation type="list" allowBlank="1" showInputMessage="1" showErrorMessage="1" sqref="D4" xr:uid="{99481459-90E6-485E-B676-1DEBEBE441C5}">
      <formula1>"SI,NO"</formula1>
    </dataValidation>
  </dataValidations>
  <pageMargins left="0.7" right="0.7" top="0.75" bottom="0.75" header="0.3" footer="0.3"/>
  <pageSetup orientation="portrait" horizontalDpi="0" verticalDpi="0" r:id="rId1"/>
</worksheet>
</file>

<file path=CustomUI/customUI.xml><?xml version="1.0" encoding="utf-8"?>
<customUI xmlns="http://schemas.microsoft.com/office/2006/01/customui">
  <ribbon>
    <tabs>
      <tab id="NTTab01" label="🚀 Proyectos IT">
        <group id="NTGrp01" label="Proyectos IT">
          <button id="NTBtnImportar" label="Importar" size="large" imageMso="GetExternalDataImportClassic" onAction="NTProcesarMenuProyectosIT"/>
          <button id="NTBtnCfg" label="CFG Conexión" size="large" imageMso="ServerConnection" onAction="NTProcesarMenuProyectosIT"/>
        </group>
        <group id="NTGrp99" label="Ayuda">
          <button id="NTBtnAcercaDe" label="Acerca de" size="large" imageMso="Info" onAction="NTProcesarMenuProyectosIT"/>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20603B5-D1BC-4FF4-8A38-598703B067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6</vt:i4>
      </vt:variant>
    </vt:vector>
  </HeadingPairs>
  <TitlesOfParts>
    <vt:vector size="10" baseType="lpstr">
      <vt:lpstr>Test Proyectos</vt:lpstr>
      <vt:lpstr>Test Horas</vt:lpstr>
      <vt:lpstr>_odoo_datos</vt:lpstr>
      <vt:lpstr>Parámetros</vt:lpstr>
      <vt:lpstr>kAmbiente</vt:lpstr>
      <vt:lpstr>kDepurar</vt:lpstr>
      <vt:lpstr>kDirectorio</vt:lpstr>
      <vt:lpstr>kFechaDesde</vt:lpstr>
      <vt:lpstr>kFechaHasta</vt:lpstr>
      <vt:lpstr>kScript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jalj153 Julio de León</dc:creator>
  <cp:lastModifiedBy>Julio de León</cp:lastModifiedBy>
  <cp:lastPrinted>2024-04-16T00:08:55Z</cp:lastPrinted>
  <dcterms:created xsi:type="dcterms:W3CDTF">2024-04-11T16:44:07Z</dcterms:created>
  <dcterms:modified xsi:type="dcterms:W3CDTF">2025-03-11T17:53:33Z</dcterms:modified>
</cp:coreProperties>
</file>