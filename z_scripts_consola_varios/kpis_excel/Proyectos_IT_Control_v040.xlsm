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imelineCaches/timelineCache1.xml" ContentType="application/vnd.ms-excel.timelineCache+xml"/>
  <Override PartName="/xl/timelineCaches/timelineCache2.xml" ContentType="application/vnd.ms-excel.timeline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imelines/timeline1.xml" ContentType="application/vnd.ms-excel.timelin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tables/table1.xml" ContentType="application/vnd.openxmlformats-officedocument.spreadsheetml.table+xml"/>
  <Override PartName="/xl/tables/table2.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2.xml" ContentType="application/vnd.openxmlformats-officedocument.drawing+xml"/>
  <Override PartName="/xl/timelines/timeline2.xml" ContentType="application/vnd.ms-excel.timelin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xl/python.xml" ContentType="application/vnd.ms-excel.pytho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NT002" Type="http://schemas.microsoft.com/office/2006/relationships/ui/extensibility" Target="CustomUI/customUI.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429" codeName="{899C9086-67A9-5B14-2C2D-5A8001700F7D}"/>
  <workbookPr codeName="ThisWorkbook" defaultThemeVersion="124226"/>
  <mc:AlternateContent xmlns:mc="http://schemas.openxmlformats.org/markup-compatibility/2006">
    <mc:Choice Requires="x15">
      <x15ac:absPath xmlns:x15ac="http://schemas.microsoft.com/office/spreadsheetml/2010/11/ac" url="C:\NT_fabrica_software\odoo16_Canella\cn006_proyectos_it\z_scripts_consola_varios\kpis_excel\"/>
    </mc:Choice>
  </mc:AlternateContent>
  <xr:revisionPtr revIDLastSave="0" documentId="13_ncr:1_{52FFAE70-3193-44F9-B822-648F0EE95786}" xr6:coauthVersionLast="47" xr6:coauthVersionMax="47" xr10:uidLastSave="{00000000-0000-0000-0000-000000000000}"/>
  <bookViews>
    <workbookView xWindow="-120" yWindow="-120" windowWidth="21840" windowHeight="13020" tabRatio="757" activeTab="5" xr2:uid="{00000000-000D-0000-FFFF-FFFF00000000}"/>
  </bookViews>
  <sheets>
    <sheet name="Dashboard" sheetId="149" r:id="rId1"/>
    <sheet name="_test" sheetId="151" r:id="rId2"/>
    <sheet name="_odoo_datos" sheetId="20" r:id="rId3"/>
    <sheet name="Gerencia" sheetId="147" r:id="rId4"/>
    <sheet name="Ger vs Inf" sheetId="150" r:id="rId5"/>
    <sheet name="Cuadre" sheetId="148" r:id="rId6"/>
    <sheet name="Parámetros" sheetId="15" state="hidden" r:id="rId7"/>
  </sheets>
  <definedNames>
    <definedName name="_NTValidaFechas" comment="Valida un par de fechas.  DESDE y HASTA">_xlfn.LAMBDA(_xlpm.Desde,_xlpm.Hasta,IF(AND(_xlpm.Desde=0,_xlpm.Hasta=0),"OK",IF(_xlpm.Desde&lt;=_xlpm.Hasta,"OK","*ERR-Fecha HASTA debe ser mayor o igual a Fecha DESDE.")))</definedName>
    <definedName name="_xlpm.Desde" hidden="1" xlm="1">#NAME?</definedName>
    <definedName name="_xlpm.Hasta" hidden="1" xlm="1">#NAME?</definedName>
    <definedName name="kAmbiente">Parámetros!$D$3</definedName>
    <definedName name="kDepurar">Parámetros!$D$4</definedName>
    <definedName name="kDirectorio">Parámetros!$D$5</definedName>
    <definedName name="kFechaDesde">Parámetros!$D$7</definedName>
    <definedName name="kFechaHasta">Parámetros!$D$8</definedName>
    <definedName name="kScript">Parámetros!$D$6</definedName>
    <definedName name="NativeTimeline_Fecha_Gerencia">#N/A</definedName>
    <definedName name="NativeTimeline_fEspecial">#N/A</definedName>
  </definedNames>
  <calcPr calcId="191029"/>
  <pivotCaches>
    <pivotCache cacheId="138" r:id="rId8"/>
    <pivotCache cacheId="137" r:id="rId9"/>
  </pivotCaches>
  <extLst>
    <ext xmlns:x14="http://schemas.microsoft.com/office/spreadsheetml/2009/9/main" uri="{79F54976-1DA5-4618-B147-4CDE4B953A38}">
      <x14:workbookPr/>
    </ext>
    <ext xmlns:x15="http://schemas.microsoft.com/office/spreadsheetml/2010/11/main" uri="{D0CA8CA8-9F24-4464-BF8E-62219DCF47F9}">
      <x15:timelineCacheRefs>
        <x15:timelineCacheRef r:id="rId10"/>
        <x15:timelineCacheRef r:id="rId11"/>
      </x15:timelineCacheRefs>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F2" i="151" l="1"/>
  <c r="AF3" i="151"/>
  <c r="AF4" i="151"/>
  <c r="AF5" i="151"/>
  <c r="AF6" i="151"/>
  <c r="AF7" i="151"/>
  <c r="AF8" i="151"/>
  <c r="AF9" i="151"/>
  <c r="AF10" i="151"/>
  <c r="AF11" i="151"/>
  <c r="AF12" i="151"/>
  <c r="AF13" i="151"/>
  <c r="AF14" i="151"/>
  <c r="AF15" i="151"/>
  <c r="AF16" i="151"/>
  <c r="AF17" i="151"/>
  <c r="AF18" i="151"/>
  <c r="AF19" i="151"/>
  <c r="AF20" i="151"/>
  <c r="AF21" i="151"/>
  <c r="AF22" i="151"/>
  <c r="AF23" i="151"/>
  <c r="AF24" i="151"/>
  <c r="AF25" i="151"/>
  <c r="AF26" i="151"/>
  <c r="AF27" i="151"/>
  <c r="AF28" i="151"/>
  <c r="AF29" i="151"/>
  <c r="AF30" i="151"/>
  <c r="AF31" i="151"/>
  <c r="AF32" i="151"/>
  <c r="AF33" i="151"/>
  <c r="AF34" i="151"/>
  <c r="AF35" i="151"/>
  <c r="AF36" i="151"/>
  <c r="AF37" i="151"/>
  <c r="AF38" i="151"/>
  <c r="AF39" i="151"/>
  <c r="AF40" i="151"/>
  <c r="AF41" i="151"/>
  <c r="AF42" i="151"/>
  <c r="AF43" i="151"/>
  <c r="AF44" i="151"/>
  <c r="AF45" i="151"/>
  <c r="AF46" i="151"/>
  <c r="AF47" i="151"/>
  <c r="AF48" i="151"/>
  <c r="AF49" i="151"/>
  <c r="AF50" i="151"/>
  <c r="AF51" i="151"/>
  <c r="AF52" i="151"/>
  <c r="AF53" i="151"/>
  <c r="AF54" i="151"/>
  <c r="AF55" i="151"/>
  <c r="AF56" i="151"/>
  <c r="AF57" i="151"/>
  <c r="AF58" i="151"/>
  <c r="AF59" i="151"/>
  <c r="AF60" i="151"/>
  <c r="AF61" i="151"/>
  <c r="AF62" i="151"/>
  <c r="AF63" i="151"/>
  <c r="AF64" i="151"/>
  <c r="AF65" i="151"/>
  <c r="AF66" i="151"/>
  <c r="AF67" i="151"/>
  <c r="AF68" i="151"/>
  <c r="AF69" i="151"/>
  <c r="AF70" i="151"/>
  <c r="AF71" i="151"/>
  <c r="AF72" i="151"/>
  <c r="AF73" i="151"/>
  <c r="AF74" i="151"/>
  <c r="AF75" i="151"/>
  <c r="AF76" i="151"/>
  <c r="AF77" i="151"/>
  <c r="AF78" i="151"/>
  <c r="AF79" i="151"/>
  <c r="AF80" i="151"/>
  <c r="AF81" i="151"/>
  <c r="AF82" i="151"/>
  <c r="AF83" i="151"/>
  <c r="AF84" i="151"/>
  <c r="AF85" i="151"/>
  <c r="AF86" i="151"/>
  <c r="AF87" i="151"/>
  <c r="AF88" i="151"/>
  <c r="AF89" i="151"/>
  <c r="AF90" i="151"/>
  <c r="AF91" i="151"/>
  <c r="AF92" i="151"/>
  <c r="AF93" i="151"/>
  <c r="AF94" i="151"/>
  <c r="AF95" i="151"/>
  <c r="AF96" i="151"/>
  <c r="AF97" i="151"/>
  <c r="AF98" i="151"/>
  <c r="AF99" i="151"/>
  <c r="AF100" i="151"/>
  <c r="AF101" i="151"/>
  <c r="AF102" i="151"/>
  <c r="AF103" i="151"/>
  <c r="AF104" i="151"/>
  <c r="AF105" i="151"/>
  <c r="AF106" i="151"/>
  <c r="AF107" i="151"/>
  <c r="AF108" i="151"/>
  <c r="AF109" i="151"/>
  <c r="AF110" i="151"/>
  <c r="AF111" i="151"/>
  <c r="AF112" i="151"/>
  <c r="AF113" i="151"/>
  <c r="AF114" i="151"/>
  <c r="AF115" i="151"/>
  <c r="AF116" i="151"/>
  <c r="AF117" i="151"/>
  <c r="AF118" i="151"/>
  <c r="AF119" i="151"/>
  <c r="AF120" i="151"/>
  <c r="AF121" i="151"/>
  <c r="AF122" i="151"/>
  <c r="AF123" i="151"/>
  <c r="AF124" i="151"/>
  <c r="AF125" i="151"/>
  <c r="AF126" i="151"/>
  <c r="AF127" i="151"/>
  <c r="AF128" i="151"/>
  <c r="AF129" i="151"/>
  <c r="AF130" i="151"/>
  <c r="AF131" i="151"/>
  <c r="AF132" i="151"/>
  <c r="AF133" i="151"/>
  <c r="AF134" i="151"/>
  <c r="AF135" i="151"/>
  <c r="AF136" i="151"/>
  <c r="AF137" i="151"/>
  <c r="AF138" i="151"/>
  <c r="AF139" i="151"/>
  <c r="AF140" i="151"/>
  <c r="AF141" i="151"/>
  <c r="AF142" i="151"/>
  <c r="AF143" i="151"/>
  <c r="AF144" i="151"/>
  <c r="AF145" i="151"/>
  <c r="AF146" i="151"/>
  <c r="AF147" i="151"/>
  <c r="AF148" i="151"/>
  <c r="AF149" i="151"/>
  <c r="AF150" i="151"/>
  <c r="AF151" i="151"/>
  <c r="AF152" i="151"/>
  <c r="AF153" i="151"/>
  <c r="AF154" i="151"/>
  <c r="AF155" i="151"/>
  <c r="AF156" i="151"/>
  <c r="AF157" i="151"/>
  <c r="AF158" i="151"/>
  <c r="AF159" i="151"/>
  <c r="AF160" i="151"/>
  <c r="AF161" i="151"/>
  <c r="AF162" i="151"/>
  <c r="AF163" i="151"/>
  <c r="AF164" i="151"/>
  <c r="AF165" i="151"/>
  <c r="AF166" i="151"/>
  <c r="AF167" i="151"/>
  <c r="AF168" i="151"/>
  <c r="AF169" i="151"/>
  <c r="AF170" i="151"/>
  <c r="AF171" i="151"/>
  <c r="AF172" i="151"/>
  <c r="AF173" i="151"/>
  <c r="AF174" i="151"/>
  <c r="AF175" i="151"/>
  <c r="AF176" i="151"/>
  <c r="AF177" i="151"/>
  <c r="AF178" i="151"/>
  <c r="AF179" i="151"/>
  <c r="AF180" i="151"/>
  <c r="AF181" i="151"/>
  <c r="AF182" i="151"/>
  <c r="AF183" i="151"/>
  <c r="AF184" i="151"/>
  <c r="AF185" i="151"/>
  <c r="AF186" i="151"/>
  <c r="AF187" i="151"/>
  <c r="AF188" i="151"/>
  <c r="AF189" i="151"/>
  <c r="AF190" i="151"/>
  <c r="AF191" i="151"/>
  <c r="AF192" i="151"/>
  <c r="AF193" i="151"/>
  <c r="AF194" i="151"/>
  <c r="AF195" i="151"/>
  <c r="AF196" i="151"/>
  <c r="AF197" i="151"/>
  <c r="AF198" i="151"/>
  <c r="AF199" i="151"/>
  <c r="AF200" i="151"/>
  <c r="AF201" i="151"/>
  <c r="AF202" i="151"/>
  <c r="AF203" i="151"/>
  <c r="AF204" i="151"/>
  <c r="AF205" i="151"/>
  <c r="AF206" i="151"/>
  <c r="AF207" i="151"/>
  <c r="AF208" i="151"/>
  <c r="AF209" i="151"/>
  <c r="AF210" i="151"/>
  <c r="AF211" i="151"/>
  <c r="AF212" i="151"/>
  <c r="AF213" i="151"/>
  <c r="AF214" i="151"/>
  <c r="AF215" i="151"/>
  <c r="AF216" i="151"/>
  <c r="AF217" i="151"/>
  <c r="AF218" i="151"/>
  <c r="AF219" i="151"/>
  <c r="AF220" i="151"/>
  <c r="AF221" i="151"/>
  <c r="AF222" i="151"/>
  <c r="AF223" i="151"/>
  <c r="AF224" i="151"/>
  <c r="AF225" i="151"/>
  <c r="AF226" i="151"/>
  <c r="AF227" i="151"/>
  <c r="AF228" i="151"/>
  <c r="AF229" i="151"/>
  <c r="AF230" i="151"/>
  <c r="AF231" i="151"/>
  <c r="AF232" i="151"/>
  <c r="AF233" i="151"/>
  <c r="AE2" i="151"/>
  <c r="AE3" i="151"/>
  <c r="AE4" i="151"/>
  <c r="AE5" i="151"/>
  <c r="AE6" i="151"/>
  <c r="AE7" i="151"/>
  <c r="AE8" i="151"/>
  <c r="AE9" i="151"/>
  <c r="AE10" i="151"/>
  <c r="AE11" i="151"/>
  <c r="AE12" i="151"/>
  <c r="AE13" i="151"/>
  <c r="AE14" i="151"/>
  <c r="AE15" i="151"/>
  <c r="AE16" i="151"/>
  <c r="AE17" i="151"/>
  <c r="AE18" i="151"/>
  <c r="AE19" i="151"/>
  <c r="AE20" i="151"/>
  <c r="AE21" i="151"/>
  <c r="AE22" i="151"/>
  <c r="AE23" i="151"/>
  <c r="AE24" i="151"/>
  <c r="AE25" i="151"/>
  <c r="AE26" i="151"/>
  <c r="AE27" i="151"/>
  <c r="AE28" i="151"/>
  <c r="AE29" i="151"/>
  <c r="AE30" i="151"/>
  <c r="AE31" i="151"/>
  <c r="AE32" i="151"/>
  <c r="AE33" i="151"/>
  <c r="AE34" i="151"/>
  <c r="AE35" i="151"/>
  <c r="AE36" i="151"/>
  <c r="AE37" i="151"/>
  <c r="AE38" i="151"/>
  <c r="AE39" i="151"/>
  <c r="AE40" i="151"/>
  <c r="AE41" i="151"/>
  <c r="AE42" i="151"/>
  <c r="AE43" i="151"/>
  <c r="AE44" i="151"/>
  <c r="AE45" i="151"/>
  <c r="AE46" i="151"/>
  <c r="AE47" i="151"/>
  <c r="AE48" i="151"/>
  <c r="AE49" i="151"/>
  <c r="AE50" i="151"/>
  <c r="AE51" i="151"/>
  <c r="AE52" i="151"/>
  <c r="AE53" i="151"/>
  <c r="AE54" i="151"/>
  <c r="AE55" i="151"/>
  <c r="AE56" i="151"/>
  <c r="AE57" i="151"/>
  <c r="AE58" i="151"/>
  <c r="AE59" i="151"/>
  <c r="AE60" i="151"/>
  <c r="AE61" i="151"/>
  <c r="AE62" i="151"/>
  <c r="AE63" i="151"/>
  <c r="AE64" i="151"/>
  <c r="AE65" i="151"/>
  <c r="AE66" i="151"/>
  <c r="AE67" i="151"/>
  <c r="AE68" i="151"/>
  <c r="AE69" i="151"/>
  <c r="AE70" i="151"/>
  <c r="AE71" i="151"/>
  <c r="AE72" i="151"/>
  <c r="AE73" i="151"/>
  <c r="AE74" i="151"/>
  <c r="AE75" i="151"/>
  <c r="AE76" i="151"/>
  <c r="AE77" i="151"/>
  <c r="AE78" i="151"/>
  <c r="AE79" i="151"/>
  <c r="AE80" i="151"/>
  <c r="AE81" i="151"/>
  <c r="AE82" i="151"/>
  <c r="AE83" i="151"/>
  <c r="AE84" i="151"/>
  <c r="AE85" i="151"/>
  <c r="AE86" i="151"/>
  <c r="AE87" i="151"/>
  <c r="AE88" i="151"/>
  <c r="AE89" i="151"/>
  <c r="AE90" i="151"/>
  <c r="AE91" i="151"/>
  <c r="AE92" i="151"/>
  <c r="AE93" i="151"/>
  <c r="AE94" i="151"/>
  <c r="AE95" i="151"/>
  <c r="AE96" i="151"/>
  <c r="AE97" i="151"/>
  <c r="AE98" i="151"/>
  <c r="AE99" i="151"/>
  <c r="AE100" i="151"/>
  <c r="AE101" i="151"/>
  <c r="AE102" i="151"/>
  <c r="AE103" i="151"/>
  <c r="AE104" i="151"/>
  <c r="AE105" i="151"/>
  <c r="AE106" i="151"/>
  <c r="AE107" i="151"/>
  <c r="AE108" i="151"/>
  <c r="AE109" i="151"/>
  <c r="AE110" i="151"/>
  <c r="AE111" i="151"/>
  <c r="AE112" i="151"/>
  <c r="AE113" i="151"/>
  <c r="AE114" i="151"/>
  <c r="AE115" i="151"/>
  <c r="AE116" i="151"/>
  <c r="AE117" i="151"/>
  <c r="AE118" i="151"/>
  <c r="AE119" i="151"/>
  <c r="AE120" i="151"/>
  <c r="AE121" i="151"/>
  <c r="AE122" i="151"/>
  <c r="AE123" i="151"/>
  <c r="AE124" i="151"/>
  <c r="AE125" i="151"/>
  <c r="AE126" i="151"/>
  <c r="AE127" i="151"/>
  <c r="AE128" i="151"/>
  <c r="AE129" i="151"/>
  <c r="AE130" i="151"/>
  <c r="AE131" i="151"/>
  <c r="AE132" i="151"/>
  <c r="AE133" i="151"/>
  <c r="AE134" i="151"/>
  <c r="AE135" i="151"/>
  <c r="AE136" i="151"/>
  <c r="AE137" i="151"/>
  <c r="AE138" i="151"/>
  <c r="AE139" i="151"/>
  <c r="AE140" i="151"/>
  <c r="AE141" i="151"/>
  <c r="AE142" i="151"/>
  <c r="AE143" i="151"/>
  <c r="AE144" i="151"/>
  <c r="AE145" i="151"/>
  <c r="AE146" i="151"/>
  <c r="AE147" i="151"/>
  <c r="AE148" i="151"/>
  <c r="AE149" i="151"/>
  <c r="AE150" i="151"/>
  <c r="AE151" i="151"/>
  <c r="AE152" i="151"/>
  <c r="AE153" i="151"/>
  <c r="AE154" i="151"/>
  <c r="AE155" i="151"/>
  <c r="AE156" i="151"/>
  <c r="AE157" i="151"/>
  <c r="AE158" i="151"/>
  <c r="AE159" i="151"/>
  <c r="AE160" i="151"/>
  <c r="AE161" i="151"/>
  <c r="AE162" i="151"/>
  <c r="AE163" i="151"/>
  <c r="AE164" i="151"/>
  <c r="AE165" i="151"/>
  <c r="AE166" i="151"/>
  <c r="AE167" i="151"/>
  <c r="AE168" i="151"/>
  <c r="AE169" i="151"/>
  <c r="AE170" i="151"/>
  <c r="AE171" i="151"/>
  <c r="AE172" i="151"/>
  <c r="AE173" i="151"/>
  <c r="AE174" i="151"/>
  <c r="AE175" i="151"/>
  <c r="AE176" i="151"/>
  <c r="AE177" i="151"/>
  <c r="AE178" i="151"/>
  <c r="AE179" i="151"/>
  <c r="AE180" i="151"/>
  <c r="AE181" i="151"/>
  <c r="AE182" i="151"/>
  <c r="AE183" i="151"/>
  <c r="AE184" i="151"/>
  <c r="AE185" i="151"/>
  <c r="AE186" i="151"/>
  <c r="AE187" i="151"/>
  <c r="AE188" i="151"/>
  <c r="AE189" i="151"/>
  <c r="AE190" i="151"/>
  <c r="AE191" i="151"/>
  <c r="AE192" i="151"/>
  <c r="AE193" i="151"/>
  <c r="AE194" i="151"/>
  <c r="AE195" i="151"/>
  <c r="AE196" i="151"/>
  <c r="AE197" i="151"/>
  <c r="AE198" i="151"/>
  <c r="AE199" i="151"/>
  <c r="AE200" i="151"/>
  <c r="AE201" i="151"/>
  <c r="AE202" i="151"/>
  <c r="AE203" i="151"/>
  <c r="AE204" i="151"/>
  <c r="AE205" i="151"/>
  <c r="AE206" i="151"/>
  <c r="AE207" i="151"/>
  <c r="AE208" i="151"/>
  <c r="AE209" i="151"/>
  <c r="AE210" i="151"/>
  <c r="AE211" i="151"/>
  <c r="AE212" i="151"/>
  <c r="AE213" i="151"/>
  <c r="AE214" i="151"/>
  <c r="AE215" i="151"/>
  <c r="AE216" i="151"/>
  <c r="AE217" i="151"/>
  <c r="AE218" i="151"/>
  <c r="AE219" i="151"/>
  <c r="AE220" i="151"/>
  <c r="AE221" i="151"/>
  <c r="AE222" i="151"/>
  <c r="AE223" i="151"/>
  <c r="AE224" i="151"/>
  <c r="AE225" i="151"/>
  <c r="AE226" i="151"/>
  <c r="AE227" i="151"/>
  <c r="AE228" i="151"/>
  <c r="AE229" i="151"/>
  <c r="AE230" i="151"/>
  <c r="AE231" i="151"/>
  <c r="AE232" i="151"/>
  <c r="AE233" i="151"/>
  <c r="AD2" i="151"/>
  <c r="AD3" i="151"/>
  <c r="AD4" i="151"/>
  <c r="AD5" i="151"/>
  <c r="AD6" i="151"/>
  <c r="AD7" i="151"/>
  <c r="AD8" i="151"/>
  <c r="AD9" i="151"/>
  <c r="AD10" i="151"/>
  <c r="AD11" i="151"/>
  <c r="AD12" i="151"/>
  <c r="AD13" i="151"/>
  <c r="AD14" i="151"/>
  <c r="AD15" i="151"/>
  <c r="AD16" i="151"/>
  <c r="AD17" i="151"/>
  <c r="AD18" i="151"/>
  <c r="AD19" i="151"/>
  <c r="AD20" i="151"/>
  <c r="AD21" i="151"/>
  <c r="AD22" i="151"/>
  <c r="AD23" i="151"/>
  <c r="AD24" i="151"/>
  <c r="AD25" i="151"/>
  <c r="AD26" i="151"/>
  <c r="AD27" i="151"/>
  <c r="AD28" i="151"/>
  <c r="AD29" i="151"/>
  <c r="AD30" i="151"/>
  <c r="AD31" i="151"/>
  <c r="AD32" i="151"/>
  <c r="AD33" i="151"/>
  <c r="AD34" i="151"/>
  <c r="AD35" i="151"/>
  <c r="AD36" i="151"/>
  <c r="AD37" i="151"/>
  <c r="AD38" i="151"/>
  <c r="AD39" i="151"/>
  <c r="AD40" i="151"/>
  <c r="AD41" i="151"/>
  <c r="AD42" i="151"/>
  <c r="AD43" i="151"/>
  <c r="AD44" i="151"/>
  <c r="AD45" i="151"/>
  <c r="AD46" i="151"/>
  <c r="AD47" i="151"/>
  <c r="AD48" i="151"/>
  <c r="AD49" i="151"/>
  <c r="AD50" i="151"/>
  <c r="AD51" i="151"/>
  <c r="AD52" i="151"/>
  <c r="AD53" i="151"/>
  <c r="AD54" i="151"/>
  <c r="AD55" i="151"/>
  <c r="AD56" i="151"/>
  <c r="AD57" i="151"/>
  <c r="AD58" i="151"/>
  <c r="AD59" i="151"/>
  <c r="AD60" i="151"/>
  <c r="AD61" i="151"/>
  <c r="AD62" i="151"/>
  <c r="AD63" i="151"/>
  <c r="AD64" i="151"/>
  <c r="AD65" i="151"/>
  <c r="AD66" i="151"/>
  <c r="AD67" i="151"/>
  <c r="AD68" i="151"/>
  <c r="AD69" i="151"/>
  <c r="AD70" i="151"/>
  <c r="AD71" i="151"/>
  <c r="AD72" i="151"/>
  <c r="AD73" i="151"/>
  <c r="AD74" i="151"/>
  <c r="AD75" i="151"/>
  <c r="AD76" i="151"/>
  <c r="AD77" i="151"/>
  <c r="AD78" i="151"/>
  <c r="AD79" i="151"/>
  <c r="AD80" i="151"/>
  <c r="AD81" i="151"/>
  <c r="AD82" i="151"/>
  <c r="AD83" i="151"/>
  <c r="AD84" i="151"/>
  <c r="AD85" i="151"/>
  <c r="AD86" i="151"/>
  <c r="AD87" i="151"/>
  <c r="AD88" i="151"/>
  <c r="AD89" i="151"/>
  <c r="AD90" i="151"/>
  <c r="AD91" i="151"/>
  <c r="AD92" i="151"/>
  <c r="AD93" i="151"/>
  <c r="AD94" i="151"/>
  <c r="AD95" i="151"/>
  <c r="AD96" i="151"/>
  <c r="AD97" i="151"/>
  <c r="AD98" i="151"/>
  <c r="AD99" i="151"/>
  <c r="AD100" i="151"/>
  <c r="AD101" i="151"/>
  <c r="AD102" i="151"/>
  <c r="AD103" i="151"/>
  <c r="AD104" i="151"/>
  <c r="AD105" i="151"/>
  <c r="AD106" i="151"/>
  <c r="AD107" i="151"/>
  <c r="AD108" i="151"/>
  <c r="AD109" i="151"/>
  <c r="AD110" i="151"/>
  <c r="AD111" i="151"/>
  <c r="AD112" i="151"/>
  <c r="AD113" i="151"/>
  <c r="AD114" i="151"/>
  <c r="AD115" i="151"/>
  <c r="AD116" i="151"/>
  <c r="AD117" i="151"/>
  <c r="AD118" i="151"/>
  <c r="AD119" i="151"/>
  <c r="AD120" i="151"/>
  <c r="AD121" i="151"/>
  <c r="AD122" i="151"/>
  <c r="AD123" i="151"/>
  <c r="AD124" i="151"/>
  <c r="AD125" i="151"/>
  <c r="AD126" i="151"/>
  <c r="AD127" i="151"/>
  <c r="AD128" i="151"/>
  <c r="AD129" i="151"/>
  <c r="AD130" i="151"/>
  <c r="AD131" i="151"/>
  <c r="AD132" i="151"/>
  <c r="AD133" i="151"/>
  <c r="AD134" i="151"/>
  <c r="AD135" i="151"/>
  <c r="AD136" i="151"/>
  <c r="AD137" i="151"/>
  <c r="AD138" i="151"/>
  <c r="AD139" i="151"/>
  <c r="AD140" i="151"/>
  <c r="AD141" i="151"/>
  <c r="AD142" i="151"/>
  <c r="AD143" i="151"/>
  <c r="AD144" i="151"/>
  <c r="AD145" i="151"/>
  <c r="AD146" i="151"/>
  <c r="AD147" i="151"/>
  <c r="AD148" i="151"/>
  <c r="AD149" i="151"/>
  <c r="AD150" i="151"/>
  <c r="AD151" i="151"/>
  <c r="AD152" i="151"/>
  <c r="AD153" i="151"/>
  <c r="AD154" i="151"/>
  <c r="AD155" i="151"/>
  <c r="AD156" i="151"/>
  <c r="AD157" i="151"/>
  <c r="AD158" i="151"/>
  <c r="AD159" i="151"/>
  <c r="AD160" i="151"/>
  <c r="AD161" i="151"/>
  <c r="AD162" i="151"/>
  <c r="AD163" i="151"/>
  <c r="AD164" i="151"/>
  <c r="AD165" i="151"/>
  <c r="AD166" i="151"/>
  <c r="AD167" i="151"/>
  <c r="AD168" i="151"/>
  <c r="AD169" i="151"/>
  <c r="AD170" i="151"/>
  <c r="AD171" i="151"/>
  <c r="AD172" i="151"/>
  <c r="AD173" i="151"/>
  <c r="AD174" i="151"/>
  <c r="AD175" i="151"/>
  <c r="AD176" i="151"/>
  <c r="AD177" i="151"/>
  <c r="AD178" i="151"/>
  <c r="AD179" i="151"/>
  <c r="AD180" i="151"/>
  <c r="AD181" i="151"/>
  <c r="AD182" i="151"/>
  <c r="AD183" i="151"/>
  <c r="AD184" i="151"/>
  <c r="AD185" i="151"/>
  <c r="AD186" i="151"/>
  <c r="AD187" i="151"/>
  <c r="AD188" i="151"/>
  <c r="AD189" i="151"/>
  <c r="AD190" i="151"/>
  <c r="AD191" i="151"/>
  <c r="AD192" i="151"/>
  <c r="AD193" i="151"/>
  <c r="AD194" i="151"/>
  <c r="AD195" i="151"/>
  <c r="AD196" i="151"/>
  <c r="AD197" i="151"/>
  <c r="AD198" i="151"/>
  <c r="AD199" i="151"/>
  <c r="AD200" i="151"/>
  <c r="AD201" i="151"/>
  <c r="AD202" i="151"/>
  <c r="AD203" i="151"/>
  <c r="AD204" i="151"/>
  <c r="AD205" i="151"/>
  <c r="AD206" i="151"/>
  <c r="AD207" i="151"/>
  <c r="AD208" i="151"/>
  <c r="AD209" i="151"/>
  <c r="AD210" i="151"/>
  <c r="AD211" i="151"/>
  <c r="AD212" i="151"/>
  <c r="AD213" i="151"/>
  <c r="AD214" i="151"/>
  <c r="AD215" i="151"/>
  <c r="AD216" i="151"/>
  <c r="AD217" i="151"/>
  <c r="AD218" i="151"/>
  <c r="AD219" i="151"/>
  <c r="AD220" i="151"/>
  <c r="AD221" i="151"/>
  <c r="AD222" i="151"/>
  <c r="AD223" i="151"/>
  <c r="AD224" i="151"/>
  <c r="AD225" i="151"/>
  <c r="AD226" i="151"/>
  <c r="AD227" i="151"/>
  <c r="AD228" i="151"/>
  <c r="AD229" i="151"/>
  <c r="AD230" i="151"/>
  <c r="AD231" i="151"/>
  <c r="AD232" i="151"/>
  <c r="AD233" i="151"/>
  <c r="Q93" i="148"/>
  <c r="Q92" i="148"/>
  <c r="Q91" i="148"/>
  <c r="Q90" i="148"/>
  <c r="Q89" i="148"/>
  <c r="Q88" i="148"/>
  <c r="Q87" i="148"/>
  <c r="Q86" i="148"/>
  <c r="Q85" i="148"/>
  <c r="Q84" i="148"/>
  <c r="Q83" i="148"/>
  <c r="Q82" i="148"/>
  <c r="Q81" i="148"/>
  <c r="Q80" i="148"/>
  <c r="Q79" i="148"/>
  <c r="Q78" i="148"/>
  <c r="Q77" i="148"/>
  <c r="Q76" i="148"/>
  <c r="Q75" i="148"/>
  <c r="Q74" i="148"/>
  <c r="Q73" i="148"/>
  <c r="Q72" i="148"/>
  <c r="Q71" i="148"/>
  <c r="Q70" i="148"/>
  <c r="Q69" i="148"/>
  <c r="Q68" i="148"/>
  <c r="Q67" i="148"/>
  <c r="Q66" i="148"/>
  <c r="Q65" i="148"/>
  <c r="Q64" i="148"/>
  <c r="Q63" i="148"/>
  <c r="Q62" i="148"/>
  <c r="Q61" i="148"/>
  <c r="Q60" i="148"/>
  <c r="Q59" i="148"/>
  <c r="Q58" i="148"/>
  <c r="Q57" i="148"/>
  <c r="Q56" i="148"/>
  <c r="Q55" i="148"/>
  <c r="Q54" i="148"/>
  <c r="Q53" i="148"/>
  <c r="Q52" i="148"/>
  <c r="Q51" i="148"/>
  <c r="Q50" i="148"/>
  <c r="Q49" i="148"/>
  <c r="Q48" i="148"/>
  <c r="Q47" i="148"/>
  <c r="Q46" i="148"/>
  <c r="Q45" i="148"/>
  <c r="Q44" i="148"/>
  <c r="Q43" i="148"/>
  <c r="Q42" i="148"/>
  <c r="Q41" i="148"/>
  <c r="Q40" i="148"/>
  <c r="Q39" i="148"/>
  <c r="Q38" i="148"/>
  <c r="Q37" i="148"/>
  <c r="Q36" i="148"/>
  <c r="Q35" i="148"/>
  <c r="Q34" i="148"/>
  <c r="Q33" i="148"/>
  <c r="Q32" i="148"/>
  <c r="Q31" i="148"/>
  <c r="Q30" i="148"/>
  <c r="Q29" i="148"/>
  <c r="Q28" i="148"/>
  <c r="Q27" i="148"/>
  <c r="Q26" i="148"/>
  <c r="Q25" i="148"/>
  <c r="Q24" i="148"/>
  <c r="Q23" i="148"/>
  <c r="Q22" i="148"/>
  <c r="Q21" i="148"/>
  <c r="Q20" i="148"/>
  <c r="Q19" i="148"/>
  <c r="Q18" i="148"/>
  <c r="Q17" i="148"/>
  <c r="Q16" i="148"/>
  <c r="Q15" i="148"/>
  <c r="Q14" i="148"/>
  <c r="Q13" i="148"/>
  <c r="Q12" i="148"/>
  <c r="Q11" i="148"/>
  <c r="Q10" i="148"/>
  <c r="Q9" i="148"/>
  <c r="Q8" i="148"/>
  <c r="Q7" i="148"/>
  <c r="Q6" i="148"/>
  <c r="Q5" i="148"/>
  <c r="Q4" i="148"/>
  <c r="Q3" i="148"/>
  <c r="Q2" i="148"/>
  <c r="P93" i="148"/>
  <c r="P92" i="148"/>
  <c r="P91" i="148"/>
  <c r="P90" i="148"/>
  <c r="P89" i="148"/>
  <c r="P88" i="148"/>
  <c r="P87" i="148"/>
  <c r="P86" i="148"/>
  <c r="P85" i="148"/>
  <c r="P84" i="148"/>
  <c r="P83" i="148"/>
  <c r="P82" i="148"/>
  <c r="P81" i="148"/>
  <c r="P80" i="148"/>
  <c r="P79" i="148"/>
  <c r="P78" i="148"/>
  <c r="P77" i="148"/>
  <c r="P76" i="148"/>
  <c r="P75" i="148"/>
  <c r="P74" i="148"/>
  <c r="P73" i="148"/>
  <c r="P72" i="148"/>
  <c r="P71" i="148"/>
  <c r="P70" i="148"/>
  <c r="P69" i="148"/>
  <c r="P68" i="148"/>
  <c r="P67" i="148"/>
  <c r="P66" i="148"/>
  <c r="P65" i="148"/>
  <c r="P64" i="148"/>
  <c r="P63" i="148"/>
  <c r="P62" i="148"/>
  <c r="P61" i="148"/>
  <c r="P60" i="148"/>
  <c r="P59" i="148"/>
  <c r="P58" i="148"/>
  <c r="P57" i="148"/>
  <c r="P56" i="148"/>
  <c r="P55" i="148"/>
  <c r="P54" i="148"/>
  <c r="P53" i="148"/>
  <c r="P52" i="148"/>
  <c r="P51" i="148"/>
  <c r="P50" i="148"/>
  <c r="P49" i="148"/>
  <c r="P48" i="148"/>
  <c r="P47" i="148"/>
  <c r="P46" i="148"/>
  <c r="P45" i="148"/>
  <c r="P44" i="148"/>
  <c r="P43" i="148"/>
  <c r="P42" i="148"/>
  <c r="P41" i="148"/>
  <c r="P40" i="148"/>
  <c r="P39" i="148"/>
  <c r="P38" i="148"/>
  <c r="P37" i="148"/>
  <c r="P36" i="148"/>
  <c r="P35" i="148"/>
  <c r="P34" i="148"/>
  <c r="P33" i="148"/>
  <c r="P32" i="148"/>
  <c r="P31" i="148"/>
  <c r="P30" i="148"/>
  <c r="P29" i="148"/>
  <c r="P28" i="148"/>
  <c r="P27" i="148"/>
  <c r="P26" i="148"/>
  <c r="P25" i="148"/>
  <c r="P24" i="148"/>
  <c r="P23" i="148"/>
  <c r="P22" i="148"/>
  <c r="P21" i="148"/>
  <c r="P20" i="148"/>
  <c r="P19" i="148"/>
  <c r="P18" i="148"/>
  <c r="P17" i="148"/>
  <c r="P16" i="148"/>
  <c r="P15" i="148"/>
  <c r="P14" i="148"/>
  <c r="P13" i="148"/>
  <c r="P12" i="148"/>
  <c r="P11" i="148"/>
  <c r="P10" i="148"/>
  <c r="P9" i="148"/>
  <c r="P8" i="148"/>
  <c r="P7" i="148"/>
  <c r="P6" i="148"/>
  <c r="P5" i="148"/>
  <c r="P4" i="148"/>
  <c r="P3" i="148"/>
  <c r="P2" i="148"/>
  <c r="E8" i="15"/>
  <c r="E7" i="15"/>
  <c r="E6" i="15"/>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91196DC-333E-4D1E-A946-6C0A75B4D162}" keepAlive="1" name="Consulta - Consulta1" description="Conexión a la consulta 'Consulta1' en el libro." type="5" refreshedVersion="8" background="1" saveData="1">
    <dbPr connection="Provider=Microsoft.Mashup.OleDb.1;Data Source=$Workbook$;Location=Consulta1;Extended Properties=&quot;&quot;" command="SELECT * FROM [Consulta1]"/>
  </connection>
</connections>
</file>

<file path=xl/python.xml><?xml version="1.0" encoding="utf-8"?>
<python xmlns="http://schemas.microsoft.com/office/spreadsheetml/2023/python">
  <environmentDefinition id="{882DD1B0-6546-4DFA-8A08-902A380B44EA}">
    <initialization>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
</file>

<file path=xl/sharedStrings.xml><?xml version="1.0" encoding="utf-8"?>
<sst xmlns="http://schemas.openxmlformats.org/spreadsheetml/2006/main" count="3930" uniqueCount="451">
  <si>
    <t>CONEXIÓN Odoo</t>
  </si>
  <si>
    <t xml:space="preserve">Directorio Aplicación: </t>
  </si>
  <si>
    <t xml:space="preserve">Fecha desde: </t>
  </si>
  <si>
    <t xml:space="preserve">Fecha hasta: </t>
  </si>
  <si>
    <t>cn006_kpis_excel_v010.py</t>
  </si>
  <si>
    <t>STOD Ref.</t>
  </si>
  <si>
    <t>Proyecto</t>
  </si>
  <si>
    <t>Solicitante ID</t>
  </si>
  <si>
    <t>Solicitante</t>
  </si>
  <si>
    <t>Etapa ID</t>
  </si>
  <si>
    <t>Etapa</t>
  </si>
  <si>
    <t>Asignado ID</t>
  </si>
  <si>
    <t>Asignado</t>
  </si>
  <si>
    <t>Es único?</t>
  </si>
  <si>
    <t>Emergente</t>
  </si>
  <si>
    <t>Clasificación ID</t>
  </si>
  <si>
    <t>Clasificación</t>
  </si>
  <si>
    <t>Complejidad ID</t>
  </si>
  <si>
    <t>Complejidad</t>
  </si>
  <si>
    <t>Importancia ID</t>
  </si>
  <si>
    <t>Importancia</t>
  </si>
  <si>
    <t>Urgencia ID</t>
  </si>
  <si>
    <t>Urgencia</t>
  </si>
  <si>
    <t>Tamaño ID</t>
  </si>
  <si>
    <t>Tamaño</t>
  </si>
  <si>
    <t>Fecha Creación</t>
  </si>
  <si>
    <t>Fecha Inicio</t>
  </si>
  <si>
    <t>Fecha Informática</t>
  </si>
  <si>
    <t>Fecha Gerencia</t>
  </si>
  <si>
    <t>Fecha Cierre</t>
  </si>
  <si>
    <t>Descripción</t>
  </si>
  <si>
    <t>*Parámetros de rango de fecha no se utilizan en esta versión</t>
  </si>
  <si>
    <t>Ambiente para conectarse:</t>
  </si>
  <si>
    <t>Modo depuración (debug):</t>
  </si>
  <si>
    <t>(Por default PROD)</t>
  </si>
  <si>
    <t>(Por default NO)</t>
  </si>
  <si>
    <t>(Default directorio actual)</t>
  </si>
  <si>
    <t>C:\NT_fabrica_software\odoo16_Canella\cn006_proyectos_it\z_scripts_consola_varios\kpis_excel</t>
  </si>
  <si>
    <t>PROYECTO ID</t>
  </si>
  <si>
    <t>NO</t>
  </si>
  <si>
    <t>PROD</t>
  </si>
  <si>
    <t>Script:</t>
  </si>
  <si>
    <t>(275) PROCESO  ** Cambios para grabar presupuestos pintura en SAP, reporte y validaciones</t>
  </si>
  <si>
    <t>DOUGLAS ALEJANDRO MALDONADO DUMAS</t>
  </si>
  <si>
    <t>40-DESARROLLO</t>
  </si>
  <si>
    <t>Carlos Rosales</t>
  </si>
  <si>
    <t>x</t>
  </si>
  <si>
    <t>&lt;p&gt;PROCESO  ** Cambios para grabar presupuestos pintura en SAP, reporte y validaciones&lt;/p&gt;</t>
  </si>
  <si>
    <t>(278) BI  ** Configuración de puerta de enlace para Power BI para Douglas Maldonado</t>
  </si>
  <si>
    <t>&lt;p&gt;BI  ** Configuración de puerta de enlace para Power BI para Douglas Maldonado&lt;/p&gt;</t>
  </si>
  <si>
    <t>(280) SOPORTE Soporte y Capacitación de plantilla con Framework REACT/C Sharp para implementarlo en el sistema de SCONWEB del Departamento de Servicio Técnico</t>
  </si>
  <si>
    <t>ALEJANDRO ALBERTO GARCIA ARRECIS</t>
  </si>
  <si>
    <t>20-ASIGNADO</t>
  </si>
  <si>
    <t>Josue Eleazar Chet Cuellar</t>
  </si>
  <si>
    <t>&lt;p&gt;SOPORTE Soporte y Capacitación de plantilla con Framework REACT/C Sharp para implementarlo en el sistema de SCONWEB del Departamento de Servicio Técnico&lt;/p&gt;</t>
  </si>
  <si>
    <t>(281) PROCESO ** Implementación de Contabilidad NIIF</t>
  </si>
  <si>
    <t>SANDRA JUDITH LOARCA HERNANDEZ de PEREZ</t>
  </si>
  <si>
    <t>&lt;p&gt;PROCESO ** Implementación de Contabilidad NIIF&lt;/p&gt;</t>
  </si>
  <si>
    <t>(282) MEJORAS  ** Mejoras al proceso de órdenes de entrega para sótano deben agregarse los campos indicados por Douglas Montoya</t>
  </si>
  <si>
    <t>DOUGLAS MONTOYA MONTAVES</t>
  </si>
  <si>
    <t>&lt;p&gt;MEJORAS  ** Mejoras al proceso de órdenes de entrega para sótano deben agregarse los campos indicados por Douglas Montoya&lt;/p&gt;</t>
  </si>
  <si>
    <t>(283) CARGA DE DATOS ** Clasificación de clientes para carga masiva de SAP solicitada por Rene Cotto</t>
  </si>
  <si>
    <t>ARNALDO RENE COTTO STREMS</t>
  </si>
  <si>
    <t>&lt;p&gt;CARGA DE DATOS ** Clasificación de clientes para carga masiva de SAP solicitada por Rene Cotto&lt;/p&gt;&lt;p&gt;PENDIENTE ASIGNAR LUIS GONZALEZ&lt;/p&gt;</t>
  </si>
  <si>
    <t>(284) PROCESO ** Actualizacion de tablas de catálogos de SAP de acuerdo con 24 puntos que contiene el archivo enviado a Marisol Recinos</t>
  </si>
  <si>
    <t>AMABILIA MARISOL RECINOS ARGUETA</t>
  </si>
  <si>
    <t>&lt;p&gt;PROCESO ** Actualizacion de tablas de catálogos de SAP de acuerdo con 24 puntos que contiene el archivo enviado a Marisol Recinos&lt;/p&gt;</t>
  </si>
  <si>
    <t>(285) PROCESO ** Cubo para analisis de personal activo y retirado, para realizar un kpi de rotación de personal</t>
  </si>
  <si>
    <t>JOSE ROBERTO AGUIRRE CANELLA</t>
  </si>
  <si>
    <t>60-CERTIFICADO</t>
  </si>
  <si>
    <t>&lt;p&gt;PROCESO ** Cubo para analisis de personal activo y retirado, para realizar un kpi de rotación de personal&lt;/p&gt;</t>
  </si>
  <si>
    <t>(286) PROCESO ** Seguimiento a Cuadtratica para Vesa</t>
  </si>
  <si>
    <t>&lt;p&gt;PROCESO ** Seguimiento a Cuadtratica para Vesa&lt;/p&gt;&lt;p&gt;PENDIENTE DE ASIGNAR LUIS GONZALEZ&lt;/p&gt;</t>
  </si>
  <si>
    <t>(287) MEJORAS  ** Procesos de anulación en medios de pago SAP</t>
  </si>
  <si>
    <t>&lt;p&gt;MEJORAS  ** Procesos de anulación en medios de pago SAP&lt;/p&gt;&lt;p&gt;PENDIENTE DE ASIGNAR LUIS GONZALEZ&lt;/p&gt;</t>
  </si>
  <si>
    <t>(288) REPORTE ** Se debe integrar al reporte de corte de caja generado en SAP los datos del resumen que los cajeros manejan en un archivo Excel. Además, se deben agregar parámetros que permitan almacenar en la base de datos la información de las boletas de depósito realizadas por los cajeros al final del día, junto con los comentarios adjuntos.</t>
  </si>
  <si>
    <t>SULY DANIELA CHUN SANTOS de RIVERA</t>
  </si>
  <si>
    <t>50-IMPLEMENTACION</t>
  </si>
  <si>
    <t>Daniel Castillo</t>
  </si>
  <si>
    <t>&lt;p&gt;REPORTE ** Se debe integrar al reporte de corte de caja generado en SAP los datos del resumen que los cajeros manejan en un archivo Excel. Además, se deben agregar parámetros que permitan almacenar en la base de datos la información de las boletas de depósito realizadas por los cajeros al final del día, junto con los comentarios adjuntos.&lt;/p&gt;</t>
  </si>
  <si>
    <t>(289) MEJORAS ** Implementacion de Combos en GrafiPronto</t>
  </si>
  <si>
    <t>OLGA MARIA DE LA CRUZ VALLADARES GUILLEN de OVALLE</t>
  </si>
  <si>
    <t>&lt;p&gt;MEJORAS ** Implementacion de Combos en GrafiPronto&lt;/p&gt;&lt;p&gt;PENDIENTE DE ASIGNAR LUIS GONZALEZ&lt;/p&gt;</t>
  </si>
  <si>
    <t>(291) PROCESO ** Estandarización de las instancias SAP MAQUIPOS Y VESA</t>
  </si>
  <si>
    <t>MIGUEL EDUARDO PEREZ LOPEZ</t>
  </si>
  <si>
    <t>&lt;p&gt;PROCESO ** Estandarización de las instancias SAP MAQUIPOS Y VESA&lt;/p&gt;&lt;p&gt;PENDIENTE DE ASIGNAR LUIS GONZALEZ&lt;/p&gt;</t>
  </si>
  <si>
    <t xml:space="preserve">(293) PROCESO ** Seguimiento a Cuadtratica para Canella ** </t>
  </si>
  <si>
    <t>&lt;p&gt;PROCESO ** Seguimiento a Cuadtratica para Canella&lt;/p&gt;&lt;p&gt;PENNDIENTE DE ASIGNAR LUIS GONZALEZ&lt;/p&gt;</t>
  </si>
  <si>
    <t>(294) PROCESO ** Implementación del Sistema de Inventario en tránsito VESA Y MAQUIPOS</t>
  </si>
  <si>
    <t>&lt;p&gt;PROCESO ** Implementación del Sistema de Inventario en tránsito VESA Y MAQUIPOS&lt;/p&gt;&lt;p&gt;PENDIENTE DE ASIGNAR LUIS GONNZALEZ&lt;/p&gt;</t>
  </si>
  <si>
    <t>(300) REPORTE ** Se solicita agregar a nuevo personal al reporte, además de que se presenta el inconveniente ya que no aparecen ciertos mecánicos dentro de los registros. El usuario comenta lo siguiente: "Me falta Kevin Raul España, Bryan Erickson Gomez Hernandez, y Anferny Antonio Lopez para que por favor sean agregados en ambos reportes</t>
  </si>
  <si>
    <t>GABRIEL EFRAIN MELENDEZ MARROQUIN</t>
  </si>
  <si>
    <t>&lt;p&gt;REPORTE ** Se solicita agregar a nuevo personal al reporte, además de que se presenta el inconveniente ya que no aparecen ciertos mecánicos dentro de los registros. El usuario comenta lo siguiente: "Me falta Kevin Raul España, Bryan Erickson Gomez Hernandez, y Anferny Antonio Lopez para que por favor sean agregados en ambos reportes&lt;/p&gt;</t>
  </si>
  <si>
    <t>(305) PROCESO ** Implementación de RPA para confirmación de boletas de deposito</t>
  </si>
  <si>
    <t>&lt;p&gt;PROCESO ** Implementación de RPA para confirmación de boletas de deposito&lt;/p&gt;&lt;p&gt;&lt;br&gt;&lt;/p&gt;</t>
  </si>
  <si>
    <t>(309) PROCESO  ** Implementación del Sistema de PinPads para el manejo de Cajas en Facturación Fase 1</t>
  </si>
  <si>
    <t>&lt;p&gt;PROCESO  ** Implementación del Sistema de PinPads para el manejo de Cajas en Facturación Fase 1&lt;/p&gt;&lt;p&gt;PENDIENTE DE ASIGNAR MARVIN VARGAS&lt;/p&gt;</t>
  </si>
  <si>
    <t>(312) PROCESO ** Conexión a SAP para  consultas de CQM Yamaha</t>
  </si>
  <si>
    <t>EDUARDO JACOBO ARA GÓMEZ</t>
  </si>
  <si>
    <t>&lt;p&gt;PROCESO ** Conexión a SAP para  consultas de CQM Yamaha&lt;/p&gt;&lt;p&gt;PENDIENTE DE ASIGNAR MARVIN VARGAS&lt;/p&gt;</t>
  </si>
  <si>
    <t>(314) PROCESO ** Tiendas en línea Motul-Interstate - Ipone, desarrollo de webservices con SAP</t>
  </si>
  <si>
    <t>&lt;p&gt;PROCESO ** Tiendas en línea Motul-Interstate - Ipone, desarrollo de webservices con SAP&lt;/p&gt;&lt;p&gt;PENDIENTE DE ASIGNAR MARVINN VARGAS&lt;/p&gt;</t>
  </si>
  <si>
    <t>(315) PROCESO ** Modificación al reporte de la IVE y el nombre del reporte IVE-INF-05, Carlos Rosales hizo los ultimos ajustes por la auditoria de la IVE.  Luis enviara un correo detallando los ajustes a realizar</t>
  </si>
  <si>
    <t>LUIS FERNANDO BARRIOS MATIAS</t>
  </si>
  <si>
    <t>Erick Estuardo Hernandez Andrino</t>
  </si>
  <si>
    <t>&lt;p&gt;PROCESO ** Modificación al reporte de la IVE y el nombre del reporte IVE-INF-05, Carlos Rosales hizo los ultimos ajustes por la auditoria de la IVE.  Luis enviara un correo detallando los ajustes a realizar&lt;/p&gt;</t>
  </si>
  <si>
    <t>(316) PROCESO ** Conexión a página web de distribuidores Canon y tienda en línea para interfaces con SAP</t>
  </si>
  <si>
    <t>JORGE LUIS MURALLES PAPPA</t>
  </si>
  <si>
    <t>&lt;p&gt;PROCESO ** Conexión a página web de distribuidores Canon y tienda en línea para interfaces con SAP&lt;/p&gt;&lt;p&gt;PENDIENTE DE ASIGNAR MARVIN VARGAS&lt;/p&gt;</t>
  </si>
  <si>
    <t>(318) PROCESO ** Seguimiento al proceso cotización de equipos y respuetos de Maquinaria, realizar webservices con SAP</t>
  </si>
  <si>
    <t>YESVI AVIGAIL ELIAS ORIZABAL</t>
  </si>
  <si>
    <t>&lt;p&gt;PROCESO ** Seguimiento al proceso cotización de equipos y respuetos de Maquinaria, realizar webservices con SAP&lt;/p&gt;&lt;p&gt;PENDIENTE DE ASIGNAR MARVIN VARGAS&lt;/p&gt;</t>
  </si>
  <si>
    <t>(320) MEJORAS ** 2da fase de tablero de atención al clientes para cajas del departamento de Repuestos</t>
  </si>
  <si>
    <t>&lt;p&gt;MEJORAS ** 2da fase de tablero de atención al clientes para cajas del departamento de Repuestos&lt;/p&gt;&lt;p&gt;PENDIENTE DE ASIGNAR MARVIN VARGAS&lt;/p&gt;</t>
  </si>
  <si>
    <t>(322) CONSULTA EN SISTEMA DE PEDIDOS DISTRIBUIDORES - KRAS ** Consulta de estados de cuenta por el cliente en la web. Desde la página de pedidos del distribuidor se podrá accesar a la página de estados de cuenta</t>
  </si>
  <si>
    <t>&lt;p&gt;CONSULTA EN SISTEMA DE PEDIDOS DISTRIBUIDORES - KRAS ** Consulta de estados de cuenta por el cliente en la web. Desde la página de pedidos del distribuidor se podrá accesar a la página de estados de cuenta&lt;/p&gt;&lt;p&gt;PENDIENTE DE ASIGNAR MARVIN VARGAS&lt;/p&gt;</t>
  </si>
  <si>
    <t>(323) PROCESO ** KPIS de rendimiento para personal de créditos y cobros</t>
  </si>
  <si>
    <t>RICARDO ALFONSO ESCOBEDO DACARET</t>
  </si>
  <si>
    <t>Gerson Castro</t>
  </si>
  <si>
    <t>&lt;p&gt;PROCESO ** KPIS de rendimiento para personal de créditos y cobros&lt;/p&gt;</t>
  </si>
  <si>
    <t>(324) PROCESO ** Seguimiento al proceso de entrega y preparación de vehículos, realizar webservices con SAP</t>
  </si>
  <si>
    <t>LUIS PEDRO LOPEZ RODAS</t>
  </si>
  <si>
    <t>&lt;p&gt;PROCESO ** Seguimiento al proceso de entrega y preparación de vehículos, realizar webservices con SAP&lt;/p&gt;&lt;p&gt;PENDIENTE DE ASIGNAR MARVIN VARGAS&lt;/p&gt;</t>
  </si>
  <si>
    <t>(326) PROCESO ** Conexión a SAP para retroalimentación de etapas de reparación de un vehículo</t>
  </si>
  <si>
    <t>&lt;p&gt;PROCESO ** Conexión a SAP para retroalimentación de etapas de reparación de un vehículo&lt;/p&gt;&lt;p&gt;PENDIENTE DE ASIGNAR MARVIN VARGAS&lt;/p&gt;</t>
  </si>
  <si>
    <t>(331) WMS  ** Implementación de WMS en Elisur. Las otras bodegas serán tickets adicionales (Bodega zona4, Taller Automotriz, Bodega Hyundai)</t>
  </si>
  <si>
    <t>CESAR ORLANDO MARTINEZ ABAL</t>
  </si>
  <si>
    <t>Jose Pablo Reyes Gonzalez</t>
  </si>
  <si>
    <t>&lt;p&gt;WMS  ** Implementación de WMS en Elisur. Las otras bodegas serán tickets adicionales (Bodega zona4, Taller Automotriz, Bodega Hyundai)&lt;/p&gt;</t>
  </si>
  <si>
    <t>(337) ENSAMBLE DE MOTOS   - KRAS ** Implementación del Módulo de Ensamble de Motocicletas en Elizur Fase 1</t>
  </si>
  <si>
    <t>&lt;p&gt;ENSAMBLE DE MOTOS   - KRAS ** Implementación del Módulo de Ensamble de Motocicletas en Elizur Fase 1&lt;/p&gt;</t>
  </si>
  <si>
    <t>(341) PROCESO ** Implementación de EVOLUTION sistema de RRHH</t>
  </si>
  <si>
    <t>MIRNA LISSETTE ARRECIS ROSALES</t>
  </si>
  <si>
    <t>Williams Galvan</t>
  </si>
  <si>
    <t>&lt;p&gt;PROCESO ** Implementación de EVOLUTION sistema de RRHH&lt;/p&gt;</t>
  </si>
  <si>
    <t>(343) PROCESO ** Implementación de SAP 10 para la Empresa Canella</t>
  </si>
  <si>
    <t>&lt;p&gt;PROCESO ** Implementación de SAP 10 para la Empresa Canella&lt;/p&gt;</t>
  </si>
  <si>
    <t>(345) PROCESO ** Seguimiento al Sistema SAP para mejorar la estabilidad, bloqueos y mejoras en redimiento. Identificar procesos clave y hacer un plan de trabajo</t>
  </si>
  <si>
    <t>&lt;p&gt;PROCESO ** Seguimiento al Sistema SAP para mejorar la estabilidad, bloqueos y mejoras en redimiento. Identificar procesos clave y hacer un plan de trabajo&lt;/p&gt;</t>
  </si>
  <si>
    <t xml:space="preserve">(346) PANTALLA  ** Creación de pantalla para cambiar códigos de artículos que tengan pase en el contrato, debido que a la hora de despachar no cuentan con el artículo.  </t>
  </si>
  <si>
    <t>Jose Andres Chajon Cueto</t>
  </si>
  <si>
    <t>&lt;p&gt;PANTALLA  ** Creación de pantalla para cambiar códigos de artículos que tengan pase en el contrato, debido que a la hora de despachar no cuentan con el artículo.  &lt;/p&gt;</t>
  </si>
  <si>
    <t>(347) MODULO DE COMISIONES ** Creación de modulo de comisiones con las indicaciones de Auditoría y Gerencia</t>
  </si>
  <si>
    <t>&lt;p&gt;MODULO DE COMISIONES ** Creación de modulo de comisiones con las indicaciones de Auditoría y Gerencia&lt;/p&gt;</t>
  </si>
  <si>
    <t>(348) PROCESO ** Necesitamos realizar un desarrollo en SAP, practicamente es que cuando un cliente con facturas en mora se ponga al día, el sistema lo desbloquee en automático sin la intervención de Créditos. Edward Garcia fue el solicitante</t>
  </si>
  <si>
    <t>&lt;p&gt;PROCESO ** Necesitamos realizar un desarrollo en SAP, practicamente es que cuando un cliente con facturas en mora se ponga al día, el sistema lo desbloquee en automático sin la intervención de Créditos. Edward Garcia fue el solicitante&lt;/p&gt;</t>
  </si>
  <si>
    <t>(349) PROCESO  ** Implementación tarifario de mano de obra Isuzu (Esto está detenido por Douglas porque necesita un reporte de líneas de vehículo de José Roberto para depurar las líneas en SAP)</t>
  </si>
  <si>
    <t>&lt;p&gt;PROCESO  ** Implementación tarifario de mano de obra Isuzu (Esto está detenido por Douglas porque necesita un reporte de líneas de vehículo de José Roberto para depurar las líneas en SAP)&lt;/p&gt;</t>
  </si>
  <si>
    <t>(350) REPORTE ** Realizar un reporte de Inventario con las columnas indicadas por Rene Cotto</t>
  </si>
  <si>
    <t>&lt;p&gt;REPORTE ** Realizar un reporte de Inventario con las columnas indicadas por Rene Cotto&lt;/p&gt;</t>
  </si>
  <si>
    <t>(351) PROCESO  ** Cambio de códigos de mano de obra en el módulo de contratos de mantenimiento para salir en vivo con el tarifario de mano de obra isuzu (en espera de listado de códigos de parte de Douglas).</t>
  </si>
  <si>
    <t>&lt;p&gt;PROCESO  ** Cambio de códigos de mano de obra en el módulo de contratos de mantenimiento para salir en vivo con el tarifario de mano de obra isuzu (en espera de listado de códigos de parte de Douglas).&lt;/p&gt;</t>
  </si>
  <si>
    <t>(367) Mejoras al sistema SQM y STOD en la parte de registro de Leas y Cotizaciones para que no exista doble digitación</t>
  </si>
  <si>
    <t>MANUEL RAMIRO LOPEZ PIEDRASANTA</t>
  </si>
  <si>
    <t>10-COLA</t>
  </si>
  <si>
    <t>&lt;p&gt;Mejoras al sistema SQM y STOD en la parte de registro de Leas y Cotizaciones para que no exista doble digitación&lt;/p&gt;</t>
  </si>
  <si>
    <t>(368) Cerrar todas las ordenes abiertas de la División Soluciones de Oficina hasta el 30 de septiembre de 2024</t>
  </si>
  <si>
    <t>JUAN MANUEL SOTO GUTIERREZ</t>
  </si>
  <si>
    <t>&lt;p&gt;Cerrar todas las ordenes abiertas de la División Soluciones de Oficina hasta el 30 de septiembre de 2024,&lt;/p&gt;&lt;p&gt;En conjunto con Marvin Vargas se cerraron automáticamente las OC&lt;/p&gt;</t>
  </si>
  <si>
    <t>(NT) Test 01 (CN006)</t>
  </si>
  <si>
    <t>Julio de León</t>
  </si>
  <si>
    <t>API</t>
  </si>
  <si>
    <t>(NT) Test Williams Galván</t>
  </si>
  <si>
    <t>JULIO RENE PAIZ ANDRADE</t>
  </si>
  <si>
    <t>ACTUALIZACION ESTADOS DE CUENTA DE BANCOS (CN006)</t>
  </si>
  <si>
    <t>Antonio Manuel Alejandro García González</t>
  </si>
  <si>
    <t>Actualización Masiva de Asientos Contables (CN006)</t>
  </si>
  <si>
    <t>AMI PAOLA YOC LOPEZ</t>
  </si>
  <si>
    <t>Actualizar campos de usuario que indicará el estado del documento en la orden de compra. (CN006)</t>
  </si>
  <si>
    <t>Ajuste de reporte de STOD MOVIL</t>
  </si>
  <si>
    <t>REPORTE</t>
  </si>
  <si>
    <t>MEDIA</t>
  </si>
  <si>
    <t>PEQUEÑO</t>
  </si>
  <si>
    <t>Ajustes a los libros fiscales en todos los SAP (CN006)</t>
  </si>
  <si>
    <t>Ajustes al reporte - REP - TableroDistribuicion Z13 - Entregas Pendientes (Caja)</t>
  </si>
  <si>
    <t>SOPORTE/CAPACITACION</t>
  </si>
  <si>
    <t>BAJA</t>
  </si>
  <si>
    <t>Ajustes de sistema estados de cuentas (CN006)</t>
  </si>
  <si>
    <t>30-ANALISIS</t>
  </si>
  <si>
    <t>Carlos Eduardo Galindo Miranda</t>
  </si>
  <si>
    <t>&lt;p&gt;Se necesita enviar un correo por el cual se avisara a los socios de negocio de distribución Yamaha que tiene un portal en el cual pueden ingresar para ver su estado de cuentas.&lt;/p&gt;</t>
  </si>
  <si>
    <t>Autorización de facturas de Proveedores externos</t>
  </si>
  <si>
    <t>ASTRID VICTORIA PEÑA DIEGUEZ</t>
  </si>
  <si>
    <t>Olga María Hinestroza Lima</t>
  </si>
  <si>
    <t>PROCESO</t>
  </si>
  <si>
    <t>MEDIANO</t>
  </si>
  <si>
    <t>Consultas para reconciliaciones operados en Banco Industrial (CN006)</t>
  </si>
  <si>
    <t>Corrección y Mejoras en el FEIC (CN006)</t>
  </si>
  <si>
    <t>&lt;p&gt;Corrección en la gramática de diferentes vistas del FEIC, junto con mejoras en los selectores y validaciones. Estas incluyen la implementación de reglas para evitar que los campos queden vacíos, asegurando así que no se interrumpa el proceso de guardado del formulario del FEIC.&lt;/p&gt;</t>
  </si>
  <si>
    <t>Creditos y Cobros Fase 2 - Cobro a domiciliario</t>
  </si>
  <si>
    <t>&lt;p&gt; ** PROCESO Implementación del sistema de cobro de calle en ODOO. Luis Polanco fue el solicitante **  ** &lt;/p&gt;</t>
  </si>
  <si>
    <t>Cubos de BI sobre plataforma de Ucontact para análisis de datos (CN006)</t>
  </si>
  <si>
    <t>Digitalización y clasificación de DUCAS e IPrimas (CN006)</t>
  </si>
  <si>
    <t>CARLOS JOSE REMBERTO CONTRERAS FLORIAN</t>
  </si>
  <si>
    <t>Implementación de Sistema de Contraseñas de Proveedores Locales (copia)</t>
  </si>
  <si>
    <t>ROSA SOFIA PIRIR FERNANDEZ de SANCHEZ</t>
  </si>
  <si>
    <t>Gerson Gabriel Flores Montúfar</t>
  </si>
  <si>
    <t>MEJORAS Ajustes a eSFA para que se muestre la trazabilidad de tiempo de atención de visitas al cliente (CN006)</t>
  </si>
  <si>
    <t>Mejora interface API SCON WEB (CN006)</t>
  </si>
  <si>
    <t>Obtención de Entrada de Mercancía y generación de factura (CN006)</t>
  </si>
  <si>
    <t>&lt;p&gt; ** Obtención de Entrada de Mercancía, notificación automática a Proveedor para envío y validación de documentos, API para generación de factura desde SAP **  ** &lt;/p&gt;</t>
  </si>
  <si>
    <t>PROCESO Automatización de carga extracto bancario de las cuentas BANRURAL para la empresa CANELLA - MT940(CN006)</t>
  </si>
  <si>
    <t>PROCESO Mejoras en los tiempos de impresión de facturas y certificación con Guatefacturas(CN006)</t>
  </si>
  <si>
    <t>PROCESO Plantilla para grabar extensiones e ISR(CN006)</t>
  </si>
  <si>
    <t>EDWARD ANTONY GARCIA ALVARADO</t>
  </si>
  <si>
    <t>Pagos por anticipo ( medios de pago).</t>
  </si>
  <si>
    <t>ANA CAROLINA PALACIOS GONZALEZ de MENENDEZ</t>
  </si>
  <si>
    <t>Proceso para cargas masivas de medios de pago (CN006)</t>
  </si>
  <si>
    <t>RPA Mr Credit - Envío de facturas (CN006)</t>
  </si>
  <si>
    <t>Reporte compras para Auditoria</t>
  </si>
  <si>
    <t>EMILIA LETICIA DIAZ MAZARIEGOS</t>
  </si>
  <si>
    <t>&lt;p&gt;Reporte de facturas de compras por servicios en SAP Canella, Maquipos y VESA, según modelo enviado.&lt;/p&gt;</t>
  </si>
  <si>
    <t>Reporte de interfaces</t>
  </si>
  <si>
    <t>WILLIAMS GIOVANNI GALVAN ESTRADA</t>
  </si>
  <si>
    <t>Reporte de inventario Motul (CN006)</t>
  </si>
  <si>
    <t>&lt;p&gt; ** INDICADORES Consulta de ventas, KPI, clientes para utliizar en el celular **  ** &lt;/p&gt;</t>
  </si>
  <si>
    <t>Reporte del detalle de usuario en entregas SAP (CN006)</t>
  </si>
  <si>
    <t>Reporte facturas Admin Seguridad (CN006)</t>
  </si>
  <si>
    <t>SEGUIMIENTO A PEDIDOS (TRACKING) - KRAS(CN006)</t>
  </si>
  <si>
    <t>&lt;p&gt;En una aplicación web los clientes deben poder ver sus pedidos con su respectivo estatus Pedido, Oferta, Orden, Entrega, Facturado, etc. &lt;/p&gt;</t>
  </si>
  <si>
    <t>Soporte (CN006)</t>
  </si>
  <si>
    <t>Soporte Carga de Excel a STOD (CN006)</t>
  </si>
  <si>
    <t>ALVARO LEONEL GUTIERREZ LOPEZ</t>
  </si>
  <si>
    <t>Soporte Contabilidad Corte de Caja</t>
  </si>
  <si>
    <t>NANCY ELIZABETH ALVARADO TOLEDO</t>
  </si>
  <si>
    <t>Soporte en creación Recibos de Pago</t>
  </si>
  <si>
    <t>JOSE LUIS PRADO PORTILLO</t>
  </si>
  <si>
    <t>Soporte enero (CN006)</t>
  </si>
  <si>
    <t>Soporte febrero (CN006)</t>
  </si>
  <si>
    <t>Soporte query saldo de cuenta</t>
  </si>
  <si>
    <t>KAREN SELENA MENDIZABAL LOPEZ</t>
  </si>
  <si>
    <t>Soporte y documentación de proyectos (CN006)</t>
  </si>
  <si>
    <t>Subdistribuidores Isuzu (CN006)</t>
  </si>
  <si>
    <t>Traslado de</t>
  </si>
  <si>
    <t>Traslado de sitio web Dashboard MOTUL</t>
  </si>
  <si>
    <t>&lt;p&gt;Se solicita trasladar el sitio web que contiene el Dashboard de ventas MOTUL ya que este no se encuentra operando actualmente.&lt;/p&gt;</t>
  </si>
  <si>
    <t>Agregar la opción "Depósitos Mixtos" al módulo de Recibos de Caja (CN006)</t>
  </si>
  <si>
    <t>Corrección de pantalla de gestión de correos de contratos de mantenimiento</t>
  </si>
  <si>
    <t>LEIDI PAOLA ESQUIVEL RAMIREZ</t>
  </si>
  <si>
    <t>Desarrollo de modulo de lavado de vehículos</t>
  </si>
  <si>
    <t>Implementación de Sistema de Contraseñas de Proveedores Locales</t>
  </si>
  <si>
    <t>&lt;p&gt; ** Implementación del Sistema de Contraseñas de Proveedores Locales SAP/LASERFICHE **  ** &lt;/p&gt;</t>
  </si>
  <si>
    <t>Optimización de creación y actualización de Proveedores (CN006)</t>
  </si>
  <si>
    <t>&lt;p&gt; ** Proceso para creación proveedores con generación automática de código en SAP, alertas para actualización de datos y documentos, validación interna, almacenamiento y clasificación de expediente de proveedor. **  ** &lt;/p&gt;</t>
  </si>
  <si>
    <t>Placas Yamaha (CN006)</t>
  </si>
  <si>
    <t>Reporte de Geolocalizacion interstate</t>
  </si>
  <si>
    <t>Reporte de SAP sobre las cajas de repuestos</t>
  </si>
  <si>
    <t>&lt;p&gt;Realizar un reporte sobre&amp;nbsp; ** las cajas de repuestos y que contenga la siguiente información:&lt;/p&gt;&lt;ul&gt; **  &lt;li&gt;Fecha y hora de emisión **      de entrega &lt;/li&gt; **  &lt;li&gt;Nombre del cliente o **      código&lt;/li&gt; **  &lt;li&gt;Hora de &lt;u&gt;impresión&lt;/u&gt; **      de la entrega &lt;/li&gt; **  &lt;li&gt;Hora de &lt;u&gt;facturación **      de las entrega&lt;/u&gt; &lt;/li&gt; **  &lt;li&gt;Recuento de entregas &lt;u&gt;por **      encomiendas&lt;/u&gt;&lt;/li&gt; ** &lt;/ul&gt;&lt;p&gt; **  **  **  **  **  ** &lt;/p&gt;</t>
  </si>
  <si>
    <t>Reserva de vehículo - Isuzu Subdistribuidor</t>
  </si>
  <si>
    <t>Soporte Creditos y Cobros General</t>
  </si>
  <si>
    <t>&lt;p&gt; ** SEGUIMIENTO Soporte al Sistema de Cobranza en ODOO. Edward Garcia fue el solicitante **  ** &lt;/p&gt;</t>
  </si>
  <si>
    <t>Soporte PINPAD</t>
  </si>
  <si>
    <t>Conciliación bancaria MT940BI(CN006)</t>
  </si>
  <si>
    <t>&lt;p&gt;Carga de estado de cuenta MT940 banco industrial hacia SAP Canella&lt;/p&gt;</t>
  </si>
  <si>
    <t>Desarrollo de reporte de personal 2024 de Taller Isuzu (CN006)</t>
  </si>
  <si>
    <t>Implementación de WMS en Elizur (CN006)</t>
  </si>
  <si>
    <t>Proyecto GESCON (CN006)</t>
  </si>
  <si>
    <t>&lt;p&gt; ** PROCESO Implementación y Renovación del nuevo Sistema de Contratos de Arrendamiento a una tecnología actualizada, revisión&amp;nbsp;y mejoras en los procesos, se agregara KPI y Gestión de las Cotizaciones, se cambiara nombre a la herramienta a GESCON **  ** &lt;/p&gt;</t>
  </si>
  <si>
    <t>RPA de confirmación de boletas bancarias Créditos y Cobros</t>
  </si>
  <si>
    <t>&lt;p&gt; ** PROCESO Se requiere desarrollar un sistema que facilite la validación masiva de boletas de transacciones bancarias, tomando como referencia el sistema de confirmación de boletas RPA implementado en el área de contabilidad. El nuevo sistema empleará las mismas validaciones y base de datos que el sistema de contabilidad, con el objetivo de eliminar la duplicidad de boletas, un problema recurrente en el proceso manual actual. **  ** &lt;/p&gt;</t>
  </si>
  <si>
    <t>Sistema de encuestas Taller Isuzu (CN006)</t>
  </si>
  <si>
    <t>Soporte Carga masiva Contabilidad TC Credomatic</t>
  </si>
  <si>
    <t>MADELYN SUSANA BRAN OLIVAREZ</t>
  </si>
  <si>
    <t>Soporte RPA - Boletas</t>
  </si>
  <si>
    <t>&lt;p&gt;Seguimiento con problemas con las boletas de los bancos, problemas de estados de cuentas, cheques etc.&lt;/p&gt;</t>
  </si>
  <si>
    <t>Soporte impresión Yamaha (CN006)</t>
  </si>
  <si>
    <t>&lt;p&gt;Pruebas de impresión de lote de expedientes con personal del departamento de Placas ubicados en Yamaha Liberación, validando orden, expedientes completos, reimpresión y bitácora de estado de expedientes.&lt;/p&gt;</t>
  </si>
  <si>
    <t>&lt;p&gt; ** PROCESO Automatizar las retenciones de IVA e ISR mediante un robot RPA. Para IVA, el robot accede a la SAT, recopila las facturas del Régimen General y Pequeño Contribuyente, las almacena en SAP, las compara, y si coinciden, genera la retención correspondiente. En el caso de ISR, el robot gestiona diferentes escenarios asigna dicho escenario a cada factura y luego le genera la retención, notifica a contabilidad y envía al proveedor un correo con el archivo PDF. **  ** &lt;/p&gt;</t>
  </si>
  <si>
    <t>Optimizacion de Llamadas de Servicio (CN006)</t>
  </si>
  <si>
    <t>Soporte MT940 GYT</t>
  </si>
  <si>
    <t>Soporte de confirmación de boletas Enero (CN006)</t>
  </si>
  <si>
    <t>&lt;p&gt; ** MEJORAS Traslado del módulo de pases de salida de SAP a STOD **  ** &lt;/p&gt;</t>
  </si>
  <si>
    <t>Carga masiva de Activo Fijo (CN006)</t>
  </si>
  <si>
    <t>&lt;p&gt; ** PROCESO Crear códigos de activos fijos por medio de un archivo Excel.&lt;/p&gt;</t>
  </si>
  <si>
    <t>Módulo de RECALL taller ISUZU (CN006)</t>
  </si>
  <si>
    <t>&lt;p&gt; ** Ajustes al modulo de Recall con las indicaciones de Taller Automotriz **  ** &lt;/p&gt;</t>
  </si>
  <si>
    <t>Sistema de Cubos ABC (CN006)</t>
  </si>
  <si>
    <t>Envío de correo en creación Pago Recibido en SAP (CN006)</t>
  </si>
  <si>
    <t>&lt;p&gt;Se debe enviar un correo a Edward Garcia notificando y adjuntando el PDF del pago recibido&amp;nbsp;cuando se crea en SAP Canella.&lt;/p&gt;</t>
  </si>
  <si>
    <t>Mejoras a SAP</t>
  </si>
  <si>
    <t>Soporte de ingreso de datos para presupuestos de pintura (CN006)</t>
  </si>
  <si>
    <t>Etiquetas de fila</t>
  </si>
  <si>
    <t>(en blanco)</t>
  </si>
  <si>
    <t>Total general</t>
  </si>
  <si>
    <t>Cuenta de Es único?</t>
  </si>
  <si>
    <t>Ticket</t>
  </si>
  <si>
    <t>Descripcion</t>
  </si>
  <si>
    <t>FCreacion</t>
  </si>
  <si>
    <t>FEstimada</t>
  </si>
  <si>
    <t>FGerencia</t>
  </si>
  <si>
    <t>Dias_Gerencia</t>
  </si>
  <si>
    <t>Dias_Informatica</t>
  </si>
  <si>
    <t>Tiempo_Transcurrido</t>
  </si>
  <si>
    <t>Tiempo_Entrega</t>
  </si>
  <si>
    <t>Urgente</t>
  </si>
  <si>
    <t>Importante</t>
  </si>
  <si>
    <t>AsignadoA</t>
  </si>
  <si>
    <t>AtendidoPor</t>
  </si>
  <si>
    <t>Clasificacion</t>
  </si>
  <si>
    <t>TiempoInvertido</t>
  </si>
  <si>
    <t>TipoTicket</t>
  </si>
  <si>
    <t>PROCESO 
Cambios para grabar presupuestos pintura en SAP, reporte y validaciones</t>
  </si>
  <si>
    <t>1</t>
  </si>
  <si>
    <t>DESARROLLO_75%</t>
  </si>
  <si>
    <t>PROYECTO</t>
  </si>
  <si>
    <t>CARLOS ROSALES</t>
  </si>
  <si>
    <t>FREELANCES</t>
  </si>
  <si>
    <t>PLANIFICADO</t>
  </si>
  <si>
    <t>PROCESO
Implementación y Renovación del nuevo Sistema de Contratos de Arrendamiento a una tecnología actualizada, revisón y mejoras en los procesos, se agregara KPI y Gestión de las Cotizaciones, se cambiara nombre a la herramienta a GESCON</t>
  </si>
  <si>
    <t>DESARROLLO_25%</t>
  </si>
  <si>
    <t>INFORMATICA</t>
  </si>
  <si>
    <t>TAREA DE SOPORTE</t>
  </si>
  <si>
    <t>INDICADORES
Consulta de ventas, KPI, clientes para utliizar en el celular</t>
  </si>
  <si>
    <t>2</t>
  </si>
  <si>
    <t>CERTIFICADO</t>
  </si>
  <si>
    <t>BI 
Configuración de puerta de enlace para Power BI para Douglas Maldonado</t>
  </si>
  <si>
    <t>3</t>
  </si>
  <si>
    <t>ASIGNADO</t>
  </si>
  <si>
    <t>EMERGENTE</t>
  </si>
  <si>
    <t>SOPORTE_x000D_
Mejoras en las interfaces API's SCONWEB/SAP Canella para mejorar los tiempos y estabilidad en las transacciones entre sistemas</t>
  </si>
  <si>
    <t>SOPORTE Soporte y Capacitación de plantilla con Framework REACT/C Sharp para implementarlo en el sistema de SCONWEB del Departamento de Servicio Técnico</t>
  </si>
  <si>
    <t>PROCESO_x000D_
Implementación de Contabilidad NIIF</t>
  </si>
  <si>
    <t>MEJORAS _x000D_
Mejoras al proceso de órdenes de entrega para sótano deben agregarse los campos indicados por Douglas Montoya</t>
  </si>
  <si>
    <t>CARGA DE DATOS_x000D_
Clasificación de clientes para carga masiva de SAP solicitada por Rene Cotto</t>
  </si>
  <si>
    <t>LUIS GONZALEZ (INTEGRA)</t>
  </si>
  <si>
    <t>PROVEEDORES</t>
  </si>
  <si>
    <t>PROCESO_x000D_
Actualizacion de tablas de catálogos de SAP de acuerdo con 24 puntos que contiene el archivo enviado a Marisol Recinos</t>
  </si>
  <si>
    <t>PROCESO
Cubo para analisis de personal activo y retirado, para realizar un kpi de rotación de personal</t>
  </si>
  <si>
    <t>PROCESO_x000D_
Seguimiento a Cuadtratica para Vesa</t>
  </si>
  <si>
    <t>MEJORAS _x000D_
Procesos de anulación en medios de pago SAP</t>
  </si>
  <si>
    <t>REPORTE
Se debe integrar al reporte de corte de caja generado en SAP los datos del resumen que los cajeros manejan en un archivo Excel. Además, se deben agregar parámetros que permitan almacenar en la base de datos la información de las boletas de depósito realizadas por los cajeros al final del día, junto con los comentarios adjuntos.</t>
  </si>
  <si>
    <t>IMPLEMENTACION</t>
  </si>
  <si>
    <t>MEJORAS_x000D_
Implementacion de Combos en GrafiPronto</t>
  </si>
  <si>
    <t>REPORTE 
Ajustes al modulo de Recall con las indicaciones de Taller Automotriz</t>
  </si>
  <si>
    <t>PROCESO_x000D_
Estandarización de las instancias SAP MAQUIPOS Y VESA</t>
  </si>
  <si>
    <t>PROCESO
Derivado de los inconvenientes presentados con el sistema de encuestas actualmente en uso, se solicita desarrollar una nueva versión que solventará estos problemas. 
Esta nueva versión debe estar diseñada específicamente para cubrir las necesidades de los equipos de taller, garantizando una mayor eficiencia y funcionalidad</t>
  </si>
  <si>
    <t xml:space="preserve">PROCESO_x000D_
Seguimiento a Cuadtratica para Canella_x000D_
</t>
  </si>
  <si>
    <t>PROCESO_x000D_
Implementación del Sistema de Inventario en tránsito VESA Y MAQUIPOS</t>
  </si>
  <si>
    <t>MEJORAS
Traslado del módulo de pases de salida de SAP a STOD</t>
  </si>
  <si>
    <t>ACTUALIZACION ESTADOS DE CUENTA DE BANCOS_x000D_
Se debe actualizar la forma en la que se almacenan los estados de cuenta dentro de la base de datos, esto debido a diferencias encontradas al realizar el cuadre de transacciones por lo que se debe tener el estado de cuenta tal y como se descarga del banco. Derivado de esto, también se deben actualizar la forma en que se conectan las solicitudes con la transacción en el banco y como se almacena el estado de cuenta histórico</t>
  </si>
  <si>
    <t xml:space="preserve">REPORTE 
Ampliación al reporte de cierre de caja </t>
  </si>
  <si>
    <t>PROCESO
Actualizar campos de usuario que indicará el estado del documento en la orden de compra, creación de Factura de Proveedores mediante la entrada de mercancía por la API JANET</t>
  </si>
  <si>
    <t>MEJORAS
Al seleccionar la opción ""Depósitos"" debe de existir un apartado que permita agregar 1 o 2 depósitos</t>
  </si>
  <si>
    <t>REPORTE
Se solicita agregar a nuevo personal al reporte, además de que se presenta el inconveniente ya que no aparecen ciertos mecánicos dentro de los registros. El usuario comenta lo siguiente: "Me falta Kevin Raul España, Bryan Erickson Gomez Hernandez, y Anferny Antonio Lopez para que por favor sean agregados en ambos reportes</t>
  </si>
  <si>
    <t>REPORTE_x000D_
Ajustes a los libros fiscales en todos los SAP</t>
  </si>
  <si>
    <t>PROCESO_x000D_
Proceso para cargas masivas de medios de pago</t>
  </si>
  <si>
    <t xml:space="preserve">PROCESO 
Desarrollo de modulo de lavado de vehículos </t>
  </si>
  <si>
    <t>PANTALLA
Consultas para reconciliaciones operados en Banco Industrial</t>
  </si>
  <si>
    <t>PROCESO_x000D_
Implementación de RPA para confirmación de boletas de deposito</t>
  </si>
  <si>
    <t>PROCESO
Cuando se crea un pago recibido en SAP debe enviar correo a Edward Garcia</t>
  </si>
  <si>
    <t>PROCESO
Crear códigos de activos fijos por medio de un archivo Excel</t>
  </si>
  <si>
    <t>ANALISIS</t>
  </si>
  <si>
    <t>PROCESO 
Implementación del Sistema de PinPads para el manejo de Cajas en Facturación Fase 1</t>
  </si>
  <si>
    <t>MARVIN VARGAS</t>
  </si>
  <si>
    <t>PROCESO
Ajustes al sistema de estados de cuenta en el sitio web. Edward Garcia</t>
  </si>
  <si>
    <t>PROCESO_x000D_
Conexión a SAP para  consultas de CQM Yamaha</t>
  </si>
  <si>
    <t>REPORTE _x000D_
Información sobre la data del FEIC distribuidores para que se ingresen en un sitio web</t>
  </si>
  <si>
    <t>PROCESO_x000D_
Tiendas en línea Motul-Interstate - Ipone, desarrollo de webservices con SAP</t>
  </si>
  <si>
    <t>PROCESO
Modificación al reporte de la IVE y el nombre del reporte IVE-INF-05, Carlos Rosales hizo los ultimos ajustes por la auditoria de la IVE.  Luis enviara un correo detallando los ajustes a realizar</t>
  </si>
  <si>
    <t>PROCESO_x000D_
Conexión a página web de distribuidores Canon y tienda en línea para interfaces con SAP</t>
  </si>
  <si>
    <t>JESSICA MISHELLE HERNANDEZ ESPINOSA</t>
  </si>
  <si>
    <t>PROCESO
Automatizar las retenciones de IVA e ISR mediante un robot RPA. Para IVA, el robot accede a la SAT, recopila las facturas del Régimen General y Pequeño Contribuyente, las almacena en SAP, las compara, y si coinciden, genera la retención correspondiente. En el caso de ISR, el robot gestiona diferentes escenarios asigna dicho escenario a cada factura  y luego le genera la retención, notifica a contabilidad y envía al proveedor un correo con el archivo PDF.</t>
  </si>
  <si>
    <t>GERSON CASTRO</t>
  </si>
  <si>
    <t>PROCESO_x000D_
Seguimiento al proceso cotización de equipos y respuetos de Maquinaria, realizar webservices con SAP</t>
  </si>
  <si>
    <t xml:space="preserve">SEGUIMIENTO A PEDIDOS (TRACKING) - KRAS_x000D_
En una aplicación web los clientes deben poder ver sus pedidos con su respectivo estatus Pedido, Oferta, Orden, Entrega, Facturado, etc. </t>
  </si>
  <si>
    <t>MEJORAS_x000D_
2da fase de tablero de atención al clientes para cajas del departamento de Repuestos</t>
  </si>
  <si>
    <t>PROCESO
Implementación del sistema de cobro de calle en ODOO. Luis Polanco fue el solicitante</t>
  </si>
  <si>
    <t>CONSULTA EN SISTEMA DE PEDIDOS DISTRIBUIDORES - KRAS_x000D_
Consulta de estados de cuenta por el cliente en la web. Desde la página de pedidos del distribuidor se podrá accesar a la página de estados de cuenta</t>
  </si>
  <si>
    <t>PROCESO_x000D_
KPIS de rendimiento para personal de créditos y cobros</t>
  </si>
  <si>
    <t>PROCESO_x000D_
Seguimiento al proceso de entrega y preparación de vehículos, realizar webservices con SAP</t>
  </si>
  <si>
    <t>SEGUIMIENTO
Soporte al Sistema de Cobranza en ODOO. Edward Garcia fue el solicitante</t>
  </si>
  <si>
    <t>PROCESO_x000D_
Conexión a SAP para retroalimentación de etapas de reparación de un vehículo</t>
  </si>
  <si>
    <t>PROCESO_x000D_
Implementación del Sistema de Contraseñas de Proveedores Locales SAP/LASERFICHE</t>
  </si>
  <si>
    <t>PROCESO
PROCESO Robot que confirma boletas y valida duplicidad para Créditos y Cobros.  Edward Garcia fue el solicitante</t>
  </si>
  <si>
    <t>DESARROLLO_100%</t>
  </si>
  <si>
    <t>JOSE ANTONIO JUAREZ MANCILLA</t>
  </si>
  <si>
    <t>PROCESO_x000D_
Cubos de BI sobre plataforma de Ucontact para análisis de datos</t>
  </si>
  <si>
    <t>PROCESO
Plantilla para grabar extenciones e ISR</t>
  </si>
  <si>
    <t>WMS 
Implementación de WMS en Elisur. Las otras bodegas serán tickets adicionales (Bodega zona4, Taller Automotriz, Bodega Hyundai)</t>
  </si>
  <si>
    <t>PROCESO_x000D_
Se requiere desarrollar un sistema que facilite la validación masiva de boletas de transacciones bancarias, tomando como referencia el sistema de confirmación de boletas RPA implementado en el área de contabilidad. El nuevo sistema empleará las mismas validaciones y base de datos que el sistema de contabilidad, con el objetivo de eliminar la duplicidad de boletas, un problema recurrente en el proceso manual actual.</t>
  </si>
  <si>
    <t>MARIO ROBERTO ESCOBAR GUZMAN</t>
  </si>
  <si>
    <t>PROCESO
El reporte que ellos utilizan para dar salida a las motos no estaba mostrando bien la trazabilidad de los traslados por lo que requirieron un ajuste en el reporte Traslado Tecnología V2</t>
  </si>
  <si>
    <t>WALTER GABRIEL CARDOZA GIRON</t>
  </si>
  <si>
    <t>MEJORAS
Optimizar las llamadas de servicio en STOD de manera que, al seleccionar al colaborador, se le asigne la marca a la que pertenece en automático ya que el modulo no contaba con validaciones para verificar si un colaborador representaba una marca y esto les generaba conflictos en los KPIs</t>
  </si>
  <si>
    <t>PROCESO
Automatización de carga extracto bancario de las cuentas BI para la empresa CANELLA - MT940</t>
  </si>
  <si>
    <t>MEJORAS A SAP_x000D_
Se deben revisar las consultas reportadas por Cesar Abal para mejorar rendimiento</t>
  </si>
  <si>
    <t>ENSAMBLE DE MOTOS   - KRAS
Implementación del Módulo de Ensamble de Motocicletas en Elizur Fase 1</t>
  </si>
  <si>
    <t>PROCESO
Ajustes el Sistema de Geolocalización para vendedores Motul</t>
  </si>
  <si>
    <t>PROCESO_x000D_
Implementación del sistema de Cubos ABC fase 3 y 4</t>
  </si>
  <si>
    <t>GERSON GABRIEL FLORES MONTUFAR</t>
  </si>
  <si>
    <t>MEJORAS_x000D_
Ajustes a eSFA para que se muestre la trazabilidad de tiempo de atención de visitas al cliente</t>
  </si>
  <si>
    <t>PROCESO_x000D_
Implementación de EVOLUTION sistema de RRHH</t>
  </si>
  <si>
    <t>PROCESO
Mejoras en los tiempos de impresión de facturas y certificación con Guatefacturas</t>
  </si>
  <si>
    <t>PROCESO_x000D_
Implementación de SAP 10 para la Empresa Canella</t>
  </si>
  <si>
    <t>PROCESO_x000D_
Automatización de carga extracto bancario de las cuentas BANRURAL para la empresa CANELLA - MT940</t>
  </si>
  <si>
    <t>PROCESO_x000D_
Seguimiento al Sistema SAP para mejorar la estabilidad, bloqueos y mejoras en redimiento. Identificar procesos clave y hacer un plan de trabajo</t>
  </si>
  <si>
    <t xml:space="preserve">PANTALLA 
Creación de pantalla para cambiar códigos de artículos que tengan pase en el contrato, debido que a la hora de despachar no cuentan con el artículo.  </t>
  </si>
  <si>
    <t>MODULO DE COMISIONES_x000D_
Creación de modulo de comisiones con las indicaciones de Auditoría y Gerencia</t>
  </si>
  <si>
    <t>PROCESO
Necesitamos realizar un desarrollo en SAP, practicamente es que cuando un cliente con facturas en mora se ponga al día, el sistema lo desbloquee en automático sin la intervención de Créditos. Edward Garcia fue el solicitante</t>
  </si>
  <si>
    <t>PROCESO _x000D_
Implementación tarifario de mano de obra Isuzu (Esto está detenido por Douglas porque necesita un reporte de líneas de vehículo de José Roberto para depurar las líneas en SAP)</t>
  </si>
  <si>
    <t>REPORTE_x000D_
Realizar un reporte de Inventario con las columnas indicadas por Rene Cotto</t>
  </si>
  <si>
    <t>PROCESO _x000D_
Cambio de códigos de mano de obra en el módulo de contratos de mantenimiento para salir en vivo con el tarifario de mano de obra isuzu (en espera de listado de códigos de parte de Douglas).</t>
  </si>
  <si>
    <t>PROCESO
Carga y validación de documentos, generación automática de formulario 362, generación y marcado de DUCAS, extracción de chasis con OCR, impresión automática de formularios y expediente para placas. Registro de placas.
Proceso para visualización de etapas de expedientes en tiempo real</t>
  </si>
  <si>
    <t>GRANDE</t>
  </si>
  <si>
    <t>Obtención de Entrada de Mercancía, notificación automática a Proveedor para envío y validación de documentos, API para generación de factura desde SAP</t>
  </si>
  <si>
    <t>Formulario público para envío de documentos de subdistribuidor, validación y notificaciones automáticas a subdistribuidor, almacenamiento de expediente de cliente.</t>
  </si>
  <si>
    <t>LUIS ANGEL CARDENAS GARCIA</t>
  </si>
  <si>
    <t>Proceso para la extracción de datos de facturas de seguridad por medio de OCR para generación de reporte desde el repositorio de Laserfiche.</t>
  </si>
  <si>
    <t>Proceso para la digitalización, clasificación, almacenamiento, OCR y procesamiento de DUCAS e IPrimas en el repositorio de Laserfiche.</t>
  </si>
  <si>
    <t>Proceso para creación proveedores con generación automática de código en SAP, alertas para actualización de datos y documentos, validación interna, almacenamiento y clasificación de expediente de proveedor.</t>
  </si>
  <si>
    <t>Actualización Masiva de Asientos Contables para la parte de los centros de costo del año 2024</t>
  </si>
  <si>
    <t>Corrección en la gramática de diferentes vistas del FEIC, junto con mejoras en los selectores y validaciones. Estas incluyen la implementación de reglas para evitar que los campos queden vacíos, asegurando así que no se interrumpa el proceso de guardado del formulario del FEIC.</t>
  </si>
  <si>
    <t>Se solicita desarrollar un reporte en el cual se puedan obtener el registro del personal de taller Isuzu, este debe contener los datos de ingreso y baja de los empleados, además que se debe clasificar la cantidad de usuarios activos durante cada mes del año 2024.</t>
  </si>
  <si>
    <t>0</t>
  </si>
  <si>
    <t>Mejoras al sistema SQM y STOD en la parte de registro de Leas y Cotizaciones para que no exista doble digitación</t>
  </si>
  <si>
    <t>COLA</t>
  </si>
  <si>
    <t>STOD COLA</t>
  </si>
  <si>
    <t>Cerrar todas las ordenes abiertas de la División Soluciones de Oficina hasta el 30 de septiembre de 2024</t>
  </si>
  <si>
    <t xml:space="preserve">Reporte de SAP que será de utilidad para las cajas de repuestos, hoy solicito de tu apoyo para gestionar dicho reporte, los datos que necesito obtener son los siguientes:_x000D_
_x000D_
-	Fecha y hora de emisión de entrega _x000D_
-	Nombre del cliente o código_x000D_
-	Hora de impresión de la entrega _x000D_
-	Hora de facturación de las entrega _x000D_
-	Recuento de entregas por encomiendas_x000D_
</t>
  </si>
  <si>
    <t>Se solicita corregir la pantalla de gestión de correos de notificación en los contratos de mantenimiento._x000D_
Se deben realizar pruebas para validar que los correos son editables.</t>
  </si>
  <si>
    <t>SOPORTE</t>
  </si>
  <si>
    <t>SOPORTE/CAPACITACIÓN</t>
  </si>
  <si>
    <t>CELSO DANILO TOLEDO MORALES</t>
  </si>
  <si>
    <t>Se debe dar soporte a los diferentes casos en donde falla el ingreso de datos de presupuestos pintura al sistema</t>
  </si>
  <si>
    <t xml:space="preserve">Se da soporte al proceso de confirmación de boletas en el caso donde se confirmo una boleta con banco incorrecto y en donde el detalle de montos </t>
  </si>
  <si>
    <t>EDUARDO ALEXANDER MUÑOZ PATZAN</t>
  </si>
  <si>
    <t>Se solicita realizar ajustes al robot encargado de enviar a certificar diariamente las facturas de mister credit derivado de la falta de licencias asignadas por lo que se debe rehacer para que este sea adaptable y pueda utilizar licencias asignadas a un usuario de informática</t>
  </si>
  <si>
    <t>Pruebas y soporte para impresión automática de lotes de expedientes, validando orden y expedientes completos, también reimpresión</t>
  </si>
  <si>
    <t>(313) Información sobre la data del FEIC distribuidores para que se ingresen en un sitio web</t>
  </si>
  <si>
    <t>(372) Se da soporte al proceso de confirmación de boletas en el caso donde se confirmo una boleta con banco incorrecto y en donde el detalle de montos</t>
  </si>
  <si>
    <t>PROCESO Robot que confirma boletas y valida duplicidad para Créditos y Cobros.  Edward Garcia fue el solicitante</t>
  </si>
  <si>
    <t>STDO COD</t>
  </si>
  <si>
    <t>Etiquetas de columna</t>
  </si>
  <si>
    <t>Jan</t>
  </si>
  <si>
    <t>Feb</t>
  </si>
  <si>
    <t>Mar</t>
  </si>
  <si>
    <t>Apr</t>
  </si>
  <si>
    <t>May</t>
  </si>
  <si>
    <t>Jul</t>
  </si>
  <si>
    <t>Oct</t>
  </si>
  <si>
    <t>2025</t>
  </si>
  <si>
    <t>FGer2</t>
  </si>
  <si>
    <t>Finf2</t>
  </si>
  <si>
    <t>Jun</t>
  </si>
  <si>
    <t>Sep</t>
  </si>
  <si>
    <t>Gerencia</t>
  </si>
  <si>
    <t>Informática</t>
  </si>
  <si>
    <t>xInf</t>
  </si>
  <si>
    <t>xGer</t>
  </si>
  <si>
    <t>fEspecial</t>
  </si>
  <si>
    <t>(Varios elementos)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</si>
</sst>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hh:mm:ss"/>
    <numFmt numFmtId="165" formatCode="dd:hh:mm:ss"/>
  </numFmts>
  <fonts count="7" x14ac:knownFonts="1">
    <font>
      <sz val="11"/>
      <color theme="1"/>
      <name val="Calibri"/>
      <family val="2"/>
      <scheme val="minor"/>
    </font>
    <font>
      <sz val="11"/>
      <color rgb="FF006100"/>
      <name val="Calibri"/>
      <family val="2"/>
      <scheme val="minor"/>
    </font>
    <font>
      <b/>
      <sz val="14"/>
      <color theme="1"/>
      <name val="Calibri"/>
      <family val="2"/>
      <scheme val="minor"/>
    </font>
    <font>
      <u/>
      <sz val="11"/>
      <color theme="1"/>
      <name val="Calibri"/>
      <family val="2"/>
      <scheme val="minor"/>
    </font>
    <font>
      <sz val="8"/>
      <name val="Calibri"/>
      <family val="2"/>
      <scheme val="minor"/>
    </font>
    <font>
      <sz val="11"/>
      <name val="Calibri"/>
      <family val="2"/>
      <scheme val="minor"/>
    </font>
    <font>
      <b/>
      <sz val="11"/>
      <color theme="0"/>
      <name val="Calibri"/>
      <family val="2"/>
      <scheme val="minor"/>
    </font>
  </fonts>
  <fills count="8">
    <fill>
      <patternFill patternType="none"/>
    </fill>
    <fill>
      <patternFill patternType="gray125"/>
    </fill>
    <fill>
      <patternFill patternType="solid">
        <fgColor rgb="FFC6EFCE"/>
      </patternFill>
    </fill>
    <fill>
      <patternFill patternType="solid">
        <fgColor rgb="FFCC99FF"/>
        <bgColor indexed="64"/>
      </patternFill>
    </fill>
    <fill>
      <patternFill patternType="solid">
        <fgColor theme="0" tint="-0.34998626667073579"/>
        <bgColor indexed="64"/>
      </patternFill>
    </fill>
    <fill>
      <patternFill patternType="solid">
        <fgColor rgb="FFFFFF00"/>
        <bgColor indexed="64"/>
      </patternFill>
    </fill>
    <fill>
      <patternFill patternType="solid">
        <fgColor theme="4" tint="0.79998168889431442"/>
        <bgColor theme="4" tint="0.79998168889431442"/>
      </patternFill>
    </fill>
    <fill>
      <patternFill patternType="solid">
        <fgColor theme="4"/>
        <bgColor theme="4"/>
      </patternFill>
    </fill>
  </fills>
  <borders count="9">
    <border>
      <left/>
      <right/>
      <top/>
      <bottom/>
      <diagonal/>
    </border>
    <border>
      <left/>
      <right/>
      <top/>
      <bottom style="hair">
        <color auto="1"/>
      </bottom>
      <diagonal/>
    </border>
    <border>
      <left/>
      <right/>
      <top style="hair">
        <color auto="1"/>
      </top>
      <bottom style="hair">
        <color auto="1"/>
      </bottom>
      <diagonal/>
    </border>
    <border>
      <left/>
      <right/>
      <top style="thin">
        <color theme="4" tint="0.39997558519241921"/>
      </top>
      <bottom/>
      <diagonal/>
    </border>
    <border>
      <left/>
      <right/>
      <top style="thin">
        <color theme="4" tint="0.39997558519241921"/>
      </top>
      <bottom style="thin">
        <color theme="4" tint="0.39997558519241921"/>
      </bottom>
      <diagonal/>
    </border>
    <border>
      <left style="thin">
        <color theme="4" tint="0.39997558519241921"/>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style="thin">
        <color theme="4" tint="0.39997558519241921"/>
      </left>
      <right/>
      <top style="thin">
        <color theme="4" tint="0.39997558519241921"/>
      </top>
      <bottom/>
      <diagonal/>
    </border>
    <border>
      <left/>
      <right style="thin">
        <color theme="4" tint="0.39997558519241921"/>
      </right>
      <top style="thin">
        <color theme="4" tint="0.39997558519241921"/>
      </top>
      <bottom/>
      <diagonal/>
    </border>
  </borders>
  <cellStyleXfs count="2">
    <xf numFmtId="0" fontId="0" fillId="0" borderId="0"/>
    <xf numFmtId="0" fontId="1" fillId="2" borderId="0" applyNumberFormat="0" applyBorder="0" applyAlignment="0" applyProtection="0"/>
  </cellStyleXfs>
  <cellXfs count="50">
    <xf numFmtId="0" fontId="0" fillId="0" borderId="0" xfId="0"/>
    <xf numFmtId="0" fontId="3" fillId="0" borderId="0" xfId="0" applyFont="1"/>
    <xf numFmtId="14" fontId="0" fillId="0" borderId="0" xfId="0" applyNumberFormat="1"/>
    <xf numFmtId="0" fontId="0" fillId="0" borderId="1" xfId="0" applyBorder="1" applyAlignment="1">
      <alignment horizontal="right" vertical="top"/>
    </xf>
    <xf numFmtId="0" fontId="0" fillId="0" borderId="2" xfId="0" applyBorder="1" applyAlignment="1">
      <alignment horizontal="right" vertical="top"/>
    </xf>
    <xf numFmtId="0" fontId="1" fillId="2" borderId="2" xfId="1" applyBorder="1" applyAlignment="1">
      <alignment vertical="top" wrapText="1"/>
    </xf>
    <xf numFmtId="164" fontId="0" fillId="0" borderId="0" xfId="0" applyNumberFormat="1"/>
    <xf numFmtId="165" fontId="0" fillId="0" borderId="0" xfId="0" applyNumberFormat="1"/>
    <xf numFmtId="0" fontId="0" fillId="0" borderId="0" xfId="0" applyAlignment="1">
      <alignment horizontal="center"/>
    </xf>
    <xf numFmtId="0" fontId="2" fillId="3" borderId="0" xfId="0" applyFont="1" applyFill="1"/>
    <xf numFmtId="14" fontId="1" fillId="4" borderId="2" xfId="1" applyNumberFormat="1" applyFill="1" applyBorder="1" applyAlignment="1">
      <alignment horizontal="left" vertical="top" wrapText="1"/>
    </xf>
    <xf numFmtId="0" fontId="5" fillId="5" borderId="0" xfId="1" applyFont="1" applyFill="1" applyBorder="1" applyAlignment="1">
      <alignment vertical="top" wrapText="1"/>
    </xf>
    <xf numFmtId="1" fontId="0" fillId="0" borderId="0" xfId="0" applyNumberFormat="1"/>
    <xf numFmtId="164" fontId="0" fillId="0" borderId="0" xfId="0" applyNumberFormat="1" applyAlignment="1">
      <alignment horizontal="center"/>
    </xf>
    <xf numFmtId="0" fontId="0" fillId="0" borderId="0" xfId="0" pivotButton="1"/>
    <xf numFmtId="0" fontId="0" fillId="0" borderId="0" xfId="0" applyAlignment="1">
      <alignment horizontal="left"/>
    </xf>
    <xf numFmtId="0" fontId="6" fillId="7" borderId="7" xfId="0" applyFont="1" applyFill="1" applyBorder="1"/>
    <xf numFmtId="1" fontId="6" fillId="7" borderId="3" xfId="0" applyNumberFormat="1" applyFont="1" applyFill="1" applyBorder="1"/>
    <xf numFmtId="165" fontId="6" fillId="7" borderId="3" xfId="0" applyNumberFormat="1" applyFont="1" applyFill="1" applyBorder="1"/>
    <xf numFmtId="0" fontId="6" fillId="7" borderId="3" xfId="0" applyFont="1" applyFill="1" applyBorder="1"/>
    <xf numFmtId="0" fontId="6" fillId="7" borderId="3" xfId="0" applyFont="1" applyFill="1" applyBorder="1" applyAlignment="1">
      <alignment horizontal="center"/>
    </xf>
    <xf numFmtId="164" fontId="6" fillId="7" borderId="3" xfId="0" applyNumberFormat="1" applyFont="1" applyFill="1" applyBorder="1" applyAlignment="1">
      <alignment horizontal="center"/>
    </xf>
    <xf numFmtId="164" fontId="6" fillId="7" borderId="3" xfId="0" applyNumberFormat="1" applyFont="1" applyFill="1" applyBorder="1"/>
    <xf numFmtId="14" fontId="6" fillId="7" borderId="3" xfId="0" applyNumberFormat="1" applyFont="1" applyFill="1" applyBorder="1"/>
    <xf numFmtId="14" fontId="6" fillId="7" borderId="8" xfId="0" applyNumberFormat="1" applyFont="1" applyFill="1" applyBorder="1"/>
    <xf numFmtId="1" fontId="0" fillId="6" borderId="7" xfId="0" applyNumberFormat="1" applyFill="1" applyBorder="1"/>
    <xf numFmtId="1" fontId="0" fillId="6" borderId="3" xfId="0" applyNumberFormat="1" applyFill="1" applyBorder="1"/>
    <xf numFmtId="0" fontId="0" fillId="6" borderId="3" xfId="0" applyFill="1" applyBorder="1"/>
    <xf numFmtId="0" fontId="0" fillId="6" borderId="3" xfId="0" applyFill="1" applyBorder="1" applyAlignment="1">
      <alignment horizontal="center"/>
    </xf>
    <xf numFmtId="14" fontId="0" fillId="6" borderId="3" xfId="0" applyNumberFormat="1" applyFill="1" applyBorder="1"/>
    <xf numFmtId="14" fontId="0" fillId="6" borderId="8" xfId="0" applyNumberFormat="1" applyFill="1" applyBorder="1"/>
    <xf numFmtId="1" fontId="0" fillId="0" borderId="7" xfId="0" applyNumberFormat="1" applyBorder="1"/>
    <xf numFmtId="1" fontId="0" fillId="0" borderId="3" xfId="0" applyNumberFormat="1" applyBorder="1"/>
    <xf numFmtId="0" fontId="0" fillId="0" borderId="3" xfId="0" applyBorder="1"/>
    <xf numFmtId="0" fontId="0" fillId="0" borderId="3" xfId="0" applyBorder="1" applyAlignment="1">
      <alignment horizontal="center"/>
    </xf>
    <xf numFmtId="14" fontId="0" fillId="0" borderId="3" xfId="0" applyNumberFormat="1" applyBorder="1"/>
    <xf numFmtId="14" fontId="0" fillId="0" borderId="8" xfId="0" applyNumberFormat="1" applyBorder="1"/>
    <xf numFmtId="1" fontId="0" fillId="6" borderId="4" xfId="0" applyNumberFormat="1" applyFill="1" applyBorder="1"/>
    <xf numFmtId="0" fontId="0" fillId="0" borderId="7" xfId="0" applyBorder="1"/>
    <xf numFmtId="0" fontId="0" fillId="0" borderId="8" xfId="0" applyBorder="1"/>
    <xf numFmtId="1" fontId="0" fillId="0" borderId="5" xfId="0" applyNumberFormat="1" applyBorder="1"/>
    <xf numFmtId="0" fontId="0" fillId="0" borderId="4" xfId="0" applyBorder="1"/>
    <xf numFmtId="0" fontId="0" fillId="0" borderId="4" xfId="0" applyBorder="1" applyAlignment="1">
      <alignment horizontal="center"/>
    </xf>
    <xf numFmtId="1" fontId="0" fillId="0" borderId="4" xfId="0" applyNumberFormat="1" applyBorder="1"/>
    <xf numFmtId="14" fontId="0" fillId="0" borderId="4" xfId="0" applyNumberFormat="1" applyBorder="1"/>
    <xf numFmtId="14" fontId="0" fillId="0" borderId="6" xfId="0" applyNumberFormat="1" applyBorder="1"/>
    <xf numFmtId="14" fontId="6" fillId="7" borderId="0" xfId="0" applyNumberFormat="1" applyFont="1" applyFill="1"/>
    <xf numFmtId="0" fontId="0" fillId="0" borderId="0" xfId="0" applyNumberFormat="1"/>
    <xf numFmtId="0" fontId="0" fillId="0" borderId="0" xfId="0" applyAlignment="1">
      <alignment horizontal="left" indent="1"/>
    </xf>
    <xf numFmtId="0" fontId="0" fillId="0" borderId="0" xfId="0" applyNumberFormat="1" applyAlignment="1">
      <alignment horizontal="center"/>
    </xf>
  </cellXfs>
  <cellStyles count="2">
    <cellStyle name="Bueno" xfId="1" builtinId="26"/>
    <cellStyle name="Normal" xfId="0" builtinId="0"/>
  </cellStyles>
  <dxfs count="64">
    <dxf>
      <numFmt numFmtId="19" formatCode="yyyy/mm/dd"/>
    </dxf>
    <dxf>
      <numFmt numFmtId="0" formatCode="General"/>
    </dxf>
    <dxf>
      <numFmt numFmtId="0" formatCode="General"/>
    </dxf>
    <dxf>
      <numFmt numFmtId="19" formatCode="yyyy/mm/dd"/>
    </dxf>
    <dxf>
      <numFmt numFmtId="19" formatCode="yyyy/mm/dd"/>
    </dxf>
    <dxf>
      <font>
        <color rgb="FF9C0006"/>
      </font>
      <fill>
        <patternFill>
          <bgColor rgb="FFFFC7CE"/>
        </patternFill>
      </fill>
    </dxf>
    <dxf>
      <numFmt numFmtId="0" formatCode="General"/>
    </dxf>
    <dxf>
      <numFmt numFmtId="19" formatCode="yyyy/mm/dd"/>
    </dxf>
    <dxf>
      <numFmt numFmtId="19" formatCode="yyyy/mm/dd"/>
    </dxf>
    <dxf>
      <numFmt numFmtId="19" formatCode="yyyy/mm/dd"/>
    </dxf>
    <dxf>
      <numFmt numFmtId="19" formatCode="yyyy/mm/dd"/>
    </dxf>
    <dxf>
      <numFmt numFmtId="19" formatCode="yyyy/mm/dd"/>
    </dxf>
    <dxf>
      <numFmt numFmtId="0" formatCode="General"/>
      <alignment horizontal="center" vertical="bottom" textRotation="0" wrapText="0" indent="0" justifyLastLine="0" shrinkToFit="0" readingOrder="0"/>
    </dxf>
    <dxf>
      <numFmt numFmtId="1" formatCode="0"/>
    </dxf>
    <dxf>
      <numFmt numFmtId="0" formatCode="General"/>
      <alignment horizontal="center" vertical="bottom" textRotation="0" wrapText="0" indent="0" justifyLastLine="0" shrinkToFit="0" readingOrder="0"/>
    </dxf>
    <dxf>
      <numFmt numFmtId="1" formatCode="0"/>
    </dxf>
    <dxf>
      <numFmt numFmtId="0" formatCode="General"/>
      <alignment horizontal="center" vertical="bottom" textRotation="0" wrapText="0" indent="0" justifyLastLine="0" shrinkToFit="0" readingOrder="0"/>
    </dxf>
    <dxf>
      <numFmt numFmtId="0" formatCode="General"/>
    </dxf>
    <dxf>
      <numFmt numFmtId="0" formatCode="General"/>
      <alignment horizontal="center" vertical="bottom" textRotation="0" wrapText="0" indent="0" justifyLastLine="0" shrinkToFit="0" readingOrder="0"/>
    </dxf>
    <dxf>
      <numFmt numFmtId="1" formatCode="0"/>
    </dxf>
    <dxf>
      <numFmt numFmtId="0" formatCode="General"/>
    </dxf>
    <dxf>
      <numFmt numFmtId="0" formatCode="General"/>
    </dxf>
    <dxf>
      <numFmt numFmtId="0" formatCode="General"/>
    </dxf>
    <dxf>
      <numFmt numFmtId="0" formatCode="General"/>
    </dxf>
    <dxf>
      <numFmt numFmtId="0" formatCode="General"/>
    </dxf>
    <dxf>
      <numFmt numFmtId="1" formatCode="0"/>
    </dxf>
    <dxf>
      <numFmt numFmtId="0" formatCode="General"/>
      <alignment horizontal="center" vertical="bottom" textRotation="0" wrapText="0" indent="0" justifyLastLine="0" shrinkToFit="0" readingOrder="0"/>
    </dxf>
    <dxf>
      <numFmt numFmtId="1" formatCode="0"/>
    </dxf>
    <dxf>
      <numFmt numFmtId="0" formatCode="General"/>
      <alignment horizontal="center" vertical="bottom" textRotation="0" wrapText="0" indent="0" justifyLastLine="0" shrinkToFit="0" readingOrder="0"/>
    </dxf>
    <dxf>
      <numFmt numFmtId="0" formatCode="General"/>
    </dxf>
    <dxf>
      <numFmt numFmtId="0" formatCode="General"/>
    </dxf>
    <dxf>
      <numFmt numFmtId="1" formatCode="0"/>
    </dxf>
    <dxf>
      <numFmt numFmtId="1" formatCode="0"/>
    </dxf>
    <dxf>
      <numFmt numFmtId="0" formatCode="General"/>
    </dxf>
    <dxf>
      <numFmt numFmtId="19" formatCode="yyyy/mm/dd"/>
    </dxf>
    <dxf>
      <numFmt numFmtId="0" formatCode="General"/>
    </dxf>
    <dxf>
      <numFmt numFmtId="19" formatCode="yyyy/mm/dd"/>
    </dxf>
    <dxf>
      <numFmt numFmtId="19" formatCode="yyyy/mm/dd"/>
    </dxf>
    <dxf>
      <numFmt numFmtId="19" formatCode="yyyy/mm/dd"/>
    </dxf>
    <dxf>
      <numFmt numFmtId="19" formatCode="yyyy/mm/dd"/>
    </dxf>
    <dxf>
      <numFmt numFmtId="19" formatCode="yyyy/mm/dd"/>
    </dxf>
    <dxf>
      <numFmt numFmtId="0" formatCode="General"/>
      <alignment horizontal="center" vertical="bottom" textRotation="0" wrapText="0" indent="0" justifyLastLine="0" shrinkToFit="0" readingOrder="0"/>
    </dxf>
    <dxf>
      <numFmt numFmtId="1" formatCode="0"/>
    </dxf>
    <dxf>
      <numFmt numFmtId="0" formatCode="General"/>
      <alignment horizontal="center" vertical="bottom" textRotation="0" wrapText="0" indent="0" justifyLastLine="0" shrinkToFit="0" readingOrder="0"/>
    </dxf>
    <dxf>
      <numFmt numFmtId="1" formatCode="0"/>
    </dxf>
    <dxf>
      <numFmt numFmtId="0" formatCode="General"/>
      <alignment horizontal="center" vertical="bottom" textRotation="0" wrapText="0" indent="0" justifyLastLine="0" shrinkToFit="0" readingOrder="0"/>
    </dxf>
    <dxf>
      <numFmt numFmtId="0" formatCode="General"/>
    </dxf>
    <dxf>
      <numFmt numFmtId="0" formatCode="General"/>
      <alignment horizontal="center" vertical="bottom" textRotation="0" wrapText="0" indent="0" justifyLastLine="0" shrinkToFit="0" readingOrder="0"/>
    </dxf>
    <dxf>
      <numFmt numFmtId="1" formatCode="0"/>
    </dxf>
    <dxf>
      <numFmt numFmtId="0" formatCode="General"/>
    </dxf>
    <dxf>
      <numFmt numFmtId="0" formatCode="General"/>
    </dxf>
    <dxf>
      <numFmt numFmtId="0" formatCode="General"/>
    </dxf>
    <dxf>
      <numFmt numFmtId="0" formatCode="General"/>
    </dxf>
    <dxf>
      <numFmt numFmtId="0" formatCode="General"/>
    </dxf>
    <dxf>
      <numFmt numFmtId="1" formatCode="0"/>
    </dxf>
    <dxf>
      <numFmt numFmtId="0" formatCode="General"/>
      <alignment horizontal="center" vertical="bottom" textRotation="0" wrapText="0" indent="0" justifyLastLine="0" shrinkToFit="0" readingOrder="0"/>
    </dxf>
    <dxf>
      <numFmt numFmtId="1" formatCode="0"/>
    </dxf>
    <dxf>
      <numFmt numFmtId="0" formatCode="General"/>
      <alignment horizontal="center" vertical="bottom" textRotation="0" wrapText="0" indent="0" justifyLastLine="0" shrinkToFit="0" readingOrder="0"/>
    </dxf>
    <dxf>
      <numFmt numFmtId="0" formatCode="General"/>
    </dxf>
    <dxf>
      <numFmt numFmtId="0" formatCode="General"/>
    </dxf>
    <dxf>
      <numFmt numFmtId="1" formatCode="0"/>
    </dxf>
    <dxf>
      <numFmt numFmtId="1" formatCode="0"/>
    </dxf>
    <dxf>
      <numFmt numFmtId="0" formatCode="General"/>
    </dxf>
    <dxf>
      <numFmt numFmtId="19" formatCode="yyyy/mm/dd"/>
    </dxf>
  </dxfs>
  <tableStyles count="0" defaultTableStyle="TableStyleMedium9" defaultPivotStyle="PivotStyleLight16"/>
  <colors>
    <mruColors>
      <color rgb="FFFFFF99"/>
      <color rgb="FF66FFFF"/>
      <color rgb="FFCC99FF"/>
      <color rgb="FFCCFFCC"/>
      <color rgb="FFCC9900"/>
      <color rgb="FFCC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openxmlformats.org/officeDocument/2006/relationships/connections" Target="connections.xml"/><Relationship Id="rId18" Type="http://schemas.microsoft.com/office/2023/09/relationships/Python" Target="pytho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11/relationships/timelineCache" Target="timelineCaches/timelineCache2.xml"/><Relationship Id="rId5" Type="http://schemas.openxmlformats.org/officeDocument/2006/relationships/worksheet" Target="worksheets/sheet5.xml"/><Relationship Id="rId15" Type="http://schemas.openxmlformats.org/officeDocument/2006/relationships/sharedStrings" Target="sharedStrings.xml"/><Relationship Id="rId10" Type="http://schemas.microsoft.com/office/2011/relationships/timelineCache" Target="timelineCaches/timelineCache1.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pivotCacheDefinition" Target="pivotCache/pivotCacheDefinition2.xml"/><Relationship Id="rId14"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[Proyectos_IT_Control_v040.xlsm]Ger vs Inf!TablaDinámica1</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419"/>
              <a:t>COMPARATIVO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419"/>
        </a:p>
      </c:txPr>
    </c:title>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419"/>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419"/>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419"/>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419"/>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419"/>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419"/>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'Ger vs Inf'!$B$1</c:f>
              <c:strCache>
                <c:ptCount val="1"/>
                <c:pt idx="0">
                  <c:v>Informática</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multiLvlStrRef>
              <c:f>'Ger vs Inf'!$A$2:$A$8</c:f>
              <c:multiLvlStrCache>
                <c:ptCount val="5"/>
                <c:lvl>
                  <c:pt idx="0">
                    <c:v>Feb</c:v>
                  </c:pt>
                  <c:pt idx="1">
                    <c:v>Mar</c:v>
                  </c:pt>
                  <c:pt idx="2">
                    <c:v>Apr</c:v>
                  </c:pt>
                  <c:pt idx="3">
                    <c:v>Jun</c:v>
                  </c:pt>
                  <c:pt idx="4">
                    <c:v>Sep</c:v>
                  </c:pt>
                </c:lvl>
                <c:lvl>
                  <c:pt idx="0">
                    <c:v>2025</c:v>
                  </c:pt>
                </c:lvl>
              </c:multiLvlStrCache>
            </c:multiLvlStrRef>
          </c:cat>
          <c:val>
            <c:numRef>
              <c:f>'Ger vs Inf'!$B$2:$B$8</c:f>
              <c:numCache>
                <c:formatCode>General</c:formatCode>
                <c:ptCount val="5"/>
                <c:pt idx="0">
                  <c:v>21</c:v>
                </c:pt>
                <c:pt idx="1">
                  <c:v>19</c:v>
                </c:pt>
                <c:pt idx="2">
                  <c:v>6</c:v>
                </c:pt>
                <c:pt idx="3">
                  <c:v>1</c:v>
                </c:pt>
                <c:pt idx="4">
                  <c:v>1</c:v>
                </c:pt>
              </c:numCache>
            </c:numRef>
          </c:val>
          <c:smooth val="0"/>
          <c:extLst>
            <c:ext xmlns:c16="http://schemas.microsoft.com/office/drawing/2014/chart" uri="{C3380CC4-5D6E-409C-BE32-E72D297353CC}">
              <c16:uniqueId val="{00000000-B7F7-4C2B-B07A-A7AD1F83AE4D}"/>
            </c:ext>
          </c:extLst>
        </c:ser>
        <c:ser>
          <c:idx val="1"/>
          <c:order val="1"/>
          <c:tx>
            <c:strRef>
              <c:f>'Ger vs Inf'!$C$1</c:f>
              <c:strCache>
                <c:ptCount val="1"/>
                <c:pt idx="0">
                  <c:v>Gerencia</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multiLvlStrRef>
              <c:f>'Ger vs Inf'!$A$2:$A$8</c:f>
              <c:multiLvlStrCache>
                <c:ptCount val="5"/>
                <c:lvl>
                  <c:pt idx="0">
                    <c:v>Feb</c:v>
                  </c:pt>
                  <c:pt idx="1">
                    <c:v>Mar</c:v>
                  </c:pt>
                  <c:pt idx="2">
                    <c:v>Apr</c:v>
                  </c:pt>
                  <c:pt idx="3">
                    <c:v>Jun</c:v>
                  </c:pt>
                  <c:pt idx="4">
                    <c:v>Sep</c:v>
                  </c:pt>
                </c:lvl>
                <c:lvl>
                  <c:pt idx="0">
                    <c:v>2025</c:v>
                  </c:pt>
                </c:lvl>
              </c:multiLvlStrCache>
            </c:multiLvlStrRef>
          </c:cat>
          <c:val>
            <c:numRef>
              <c:f>'Ger vs Inf'!$C$2:$C$8</c:f>
              <c:numCache>
                <c:formatCode>General</c:formatCode>
                <c:ptCount val="5"/>
                <c:pt idx="0">
                  <c:v>17</c:v>
                </c:pt>
                <c:pt idx="1">
                  <c:v>8</c:v>
                </c:pt>
                <c:pt idx="2">
                  <c:v>0</c:v>
                </c:pt>
                <c:pt idx="3">
                  <c:v>1</c:v>
                </c:pt>
                <c:pt idx="4">
                  <c:v>1</c:v>
                </c:pt>
              </c:numCache>
            </c:numRef>
          </c:val>
          <c:smooth val="0"/>
          <c:extLst>
            <c:ext xmlns:c16="http://schemas.microsoft.com/office/drawing/2014/chart" uri="{C3380CC4-5D6E-409C-BE32-E72D297353CC}">
              <c16:uniqueId val="{00000001-B7F7-4C2B-B07A-A7AD1F83AE4D}"/>
            </c:ext>
          </c:extLst>
        </c:ser>
        <c:dLbls>
          <c:showLegendKey val="0"/>
          <c:showVal val="0"/>
          <c:showCatName val="0"/>
          <c:showSerName val="0"/>
          <c:showPercent val="0"/>
          <c:showBubbleSize val="0"/>
        </c:dLbls>
        <c:marker val="1"/>
        <c:smooth val="0"/>
        <c:axId val="1632514799"/>
        <c:axId val="1632507599"/>
      </c:lineChart>
      <c:catAx>
        <c:axId val="1632514799"/>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419"/>
          </a:p>
        </c:txPr>
        <c:crossAx val="1632507599"/>
        <c:crosses val="autoZero"/>
        <c:auto val="1"/>
        <c:lblAlgn val="ctr"/>
        <c:lblOffset val="100"/>
        <c:noMultiLvlLbl val="0"/>
      </c:catAx>
      <c:valAx>
        <c:axId val="163250759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419"/>
          </a:p>
        </c:txPr>
        <c:crossAx val="163251479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419"/>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419"/>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[Proyectos_IT_Control_v040.xlsm]Ger vs Inf!TablaDinámica1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419"/>
              <a:t>COMPARATIVO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419"/>
        </a:p>
      </c:txPr>
    </c:title>
    <c:autoTitleDeleted val="0"/>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419"/>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419"/>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'Ger vs Inf'!$B$1</c:f>
              <c:strCache>
                <c:ptCount val="1"/>
                <c:pt idx="0">
                  <c:v>Informática</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multiLvlStrRef>
              <c:f>'Ger vs Inf'!$A$2:$A$8</c:f>
              <c:multiLvlStrCache>
                <c:ptCount val="5"/>
                <c:lvl>
                  <c:pt idx="0">
                    <c:v>Feb</c:v>
                  </c:pt>
                  <c:pt idx="1">
                    <c:v>Mar</c:v>
                  </c:pt>
                  <c:pt idx="2">
                    <c:v>Apr</c:v>
                  </c:pt>
                  <c:pt idx="3">
                    <c:v>Jun</c:v>
                  </c:pt>
                  <c:pt idx="4">
                    <c:v>Sep</c:v>
                  </c:pt>
                </c:lvl>
                <c:lvl>
                  <c:pt idx="0">
                    <c:v>2025</c:v>
                  </c:pt>
                </c:lvl>
              </c:multiLvlStrCache>
            </c:multiLvlStrRef>
          </c:cat>
          <c:val>
            <c:numRef>
              <c:f>'Ger vs Inf'!$B$2:$B$8</c:f>
              <c:numCache>
                <c:formatCode>General</c:formatCode>
                <c:ptCount val="5"/>
                <c:pt idx="0">
                  <c:v>21</c:v>
                </c:pt>
                <c:pt idx="1">
                  <c:v>19</c:v>
                </c:pt>
                <c:pt idx="2">
                  <c:v>6</c:v>
                </c:pt>
                <c:pt idx="3">
                  <c:v>1</c:v>
                </c:pt>
                <c:pt idx="4">
                  <c:v>1</c:v>
                </c:pt>
              </c:numCache>
            </c:numRef>
          </c:val>
          <c:smooth val="0"/>
          <c:extLst>
            <c:ext xmlns:c16="http://schemas.microsoft.com/office/drawing/2014/chart" uri="{C3380CC4-5D6E-409C-BE32-E72D297353CC}">
              <c16:uniqueId val="{00000000-0C18-4952-8DB8-64A071DFEFE9}"/>
            </c:ext>
          </c:extLst>
        </c:ser>
        <c:ser>
          <c:idx val="1"/>
          <c:order val="1"/>
          <c:tx>
            <c:strRef>
              <c:f>'Ger vs Inf'!$C$1</c:f>
              <c:strCache>
                <c:ptCount val="1"/>
                <c:pt idx="0">
                  <c:v>Gerencia</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multiLvlStrRef>
              <c:f>'Ger vs Inf'!$A$2:$A$8</c:f>
              <c:multiLvlStrCache>
                <c:ptCount val="5"/>
                <c:lvl>
                  <c:pt idx="0">
                    <c:v>Feb</c:v>
                  </c:pt>
                  <c:pt idx="1">
                    <c:v>Mar</c:v>
                  </c:pt>
                  <c:pt idx="2">
                    <c:v>Apr</c:v>
                  </c:pt>
                  <c:pt idx="3">
                    <c:v>Jun</c:v>
                  </c:pt>
                  <c:pt idx="4">
                    <c:v>Sep</c:v>
                  </c:pt>
                </c:lvl>
                <c:lvl>
                  <c:pt idx="0">
                    <c:v>2025</c:v>
                  </c:pt>
                </c:lvl>
              </c:multiLvlStrCache>
            </c:multiLvlStrRef>
          </c:cat>
          <c:val>
            <c:numRef>
              <c:f>'Ger vs Inf'!$C$2:$C$8</c:f>
              <c:numCache>
                <c:formatCode>General</c:formatCode>
                <c:ptCount val="5"/>
                <c:pt idx="0">
                  <c:v>17</c:v>
                </c:pt>
                <c:pt idx="1">
                  <c:v>8</c:v>
                </c:pt>
                <c:pt idx="2">
                  <c:v>0</c:v>
                </c:pt>
                <c:pt idx="3">
                  <c:v>1</c:v>
                </c:pt>
                <c:pt idx="4">
                  <c:v>1</c:v>
                </c:pt>
              </c:numCache>
            </c:numRef>
          </c:val>
          <c:smooth val="0"/>
          <c:extLst>
            <c:ext xmlns:c16="http://schemas.microsoft.com/office/drawing/2014/chart" uri="{C3380CC4-5D6E-409C-BE32-E72D297353CC}">
              <c16:uniqueId val="{00000001-0C18-4952-8DB8-64A071DFEFE9}"/>
            </c:ext>
          </c:extLst>
        </c:ser>
        <c:dLbls>
          <c:showLegendKey val="0"/>
          <c:showVal val="0"/>
          <c:showCatName val="0"/>
          <c:showSerName val="0"/>
          <c:showPercent val="0"/>
          <c:showBubbleSize val="0"/>
        </c:dLbls>
        <c:marker val="1"/>
        <c:smooth val="0"/>
        <c:axId val="1632514799"/>
        <c:axId val="1632507599"/>
      </c:lineChart>
      <c:catAx>
        <c:axId val="1632514799"/>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419"/>
          </a:p>
        </c:txPr>
        <c:crossAx val="1632507599"/>
        <c:crosses val="autoZero"/>
        <c:auto val="1"/>
        <c:lblAlgn val="ctr"/>
        <c:lblOffset val="100"/>
        <c:noMultiLvlLbl val="0"/>
      </c:catAx>
      <c:valAx>
        <c:axId val="163250759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419"/>
          </a:p>
        </c:txPr>
        <c:crossAx val="163251479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419"/>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419"/>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5</xdr:col>
      <xdr:colOff>0</xdr:colOff>
      <xdr:row>2</xdr:row>
      <xdr:rowOff>0</xdr:rowOff>
    </xdr:from>
    <xdr:to>
      <xdr:col>12</xdr:col>
      <xdr:colOff>47625</xdr:colOff>
      <xdr:row>16</xdr:row>
      <xdr:rowOff>76200</xdr:rowOff>
    </xdr:to>
    <xdr:graphicFrame macro="">
      <xdr:nvGraphicFramePr>
        <xdr:cNvPr id="3" name="Gráfico 2">
          <a:extLst>
            <a:ext uri="{FF2B5EF4-FFF2-40B4-BE49-F238E27FC236}">
              <a16:creationId xmlns:a16="http://schemas.microsoft.com/office/drawing/2014/main" id="{16B287CD-327E-4831-88AF-F8AF6C44B8F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152400</xdr:colOff>
      <xdr:row>1</xdr:row>
      <xdr:rowOff>161925</xdr:rowOff>
    </xdr:from>
    <xdr:to>
      <xdr:col>4</xdr:col>
      <xdr:colOff>438150</xdr:colOff>
      <xdr:row>9</xdr:row>
      <xdr:rowOff>9525</xdr:rowOff>
    </xdr:to>
    <mc:AlternateContent xmlns:mc="http://schemas.openxmlformats.org/markup-compatibility/2006">
      <mc:Choice xmlns:tsle="http://schemas.microsoft.com/office/drawing/2012/timeslicer" Requires="tsle">
        <xdr:graphicFrame macro="">
          <xdr:nvGraphicFramePr>
            <xdr:cNvPr id="5" name="fEspecial">
              <a:extLst>
                <a:ext uri="{FF2B5EF4-FFF2-40B4-BE49-F238E27FC236}">
                  <a16:creationId xmlns:a16="http://schemas.microsoft.com/office/drawing/2014/main" id="{0D28E5EC-5128-743D-0C49-963FA11EEC1B}"/>
                </a:ext>
              </a:extLst>
            </xdr:cNvPr>
            <xdr:cNvGraphicFramePr/>
          </xdr:nvGraphicFramePr>
          <xdr:xfrm>
            <a:off x="0" y="0"/>
            <a:ext cx="0" cy="0"/>
          </xdr:xfrm>
          <a:graphic>
            <a:graphicData uri="http://schemas.microsoft.com/office/drawing/2012/timeslicer">
              <tsle:timeslicer xmlns:tsle="http://schemas.microsoft.com/office/drawing/2012/timeslicer" name="fEspecial"/>
            </a:graphicData>
          </a:graphic>
        </xdr:graphicFrame>
      </mc:Choice>
      <mc:Fallback>
        <xdr:sp macro="" textlink="">
          <xdr:nvSpPr>
            <xdr:cNvPr id="0" name=""/>
            <xdr:cNvSpPr>
              <a:spLocks noTextEdit="1"/>
            </xdr:cNvSpPr>
          </xdr:nvSpPr>
          <xdr:spPr>
            <a:xfrm>
              <a:off x="152400" y="352425"/>
              <a:ext cx="3333750" cy="1371600"/>
            </a:xfrm>
            <a:prstGeom prst="rect">
              <a:avLst/>
            </a:prstGeom>
            <a:solidFill>
              <a:prstClr val="white"/>
            </a:solidFill>
            <a:ln w="1">
              <a:solidFill>
                <a:prstClr val="green"/>
              </a:solidFill>
            </a:ln>
          </xdr:spPr>
          <xdr:txBody>
            <a:bodyPr vertOverflow="clip" horzOverflow="clip"/>
            <a:lstStyle/>
            <a:p>
              <a:r>
                <a:rPr lang="es-419" sz="1100"/>
                <a:t>Línea de tiempo: Funciona en Excel 2013 o superior. No mover ni cambiar el tamaño.</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editAs="oneCell">
    <xdr:from>
      <xdr:col>10</xdr:col>
      <xdr:colOff>200025</xdr:colOff>
      <xdr:row>5</xdr:row>
      <xdr:rowOff>95250</xdr:rowOff>
    </xdr:from>
    <xdr:to>
      <xdr:col>14</xdr:col>
      <xdr:colOff>409575</xdr:colOff>
      <xdr:row>12</xdr:row>
      <xdr:rowOff>133350</xdr:rowOff>
    </xdr:to>
    <mc:AlternateContent xmlns:mc="http://schemas.openxmlformats.org/markup-compatibility/2006">
      <mc:Choice xmlns:tsle="http://schemas.microsoft.com/office/drawing/2012/timeslicer" Requires="tsle">
        <xdr:graphicFrame macro="">
          <xdr:nvGraphicFramePr>
            <xdr:cNvPr id="3" name="Fecha Gerencia">
              <a:extLst>
                <a:ext uri="{FF2B5EF4-FFF2-40B4-BE49-F238E27FC236}">
                  <a16:creationId xmlns:a16="http://schemas.microsoft.com/office/drawing/2014/main" id="{A6FCE03B-9A81-F1D1-3750-372021ECB38D}"/>
                </a:ext>
              </a:extLst>
            </xdr:cNvPr>
            <xdr:cNvGraphicFramePr/>
          </xdr:nvGraphicFramePr>
          <xdr:xfrm>
            <a:off x="0" y="0"/>
            <a:ext cx="0" cy="0"/>
          </xdr:xfrm>
          <a:graphic>
            <a:graphicData uri="http://schemas.microsoft.com/office/drawing/2012/timeslicer">
              <tsle:timeslicer xmlns:tsle="http://schemas.microsoft.com/office/drawing/2012/timeslicer" name="Fecha Gerencia"/>
            </a:graphicData>
          </a:graphic>
        </xdr:graphicFrame>
      </mc:Choice>
      <mc:Fallback>
        <xdr:sp macro="" textlink="">
          <xdr:nvSpPr>
            <xdr:cNvPr id="0" name=""/>
            <xdr:cNvSpPr>
              <a:spLocks noTextEdit="1"/>
            </xdr:cNvSpPr>
          </xdr:nvSpPr>
          <xdr:spPr>
            <a:xfrm>
              <a:off x="9715500" y="1047750"/>
              <a:ext cx="3333750" cy="1371600"/>
            </a:xfrm>
            <a:prstGeom prst="rect">
              <a:avLst/>
            </a:prstGeom>
            <a:solidFill>
              <a:prstClr val="white"/>
            </a:solidFill>
            <a:ln w="1">
              <a:solidFill>
                <a:prstClr val="green"/>
              </a:solidFill>
            </a:ln>
          </xdr:spPr>
          <xdr:txBody>
            <a:bodyPr vertOverflow="clip" horzOverflow="clip"/>
            <a:lstStyle/>
            <a:p>
              <a:r>
                <a:rPr lang="es-419" sz="1100"/>
                <a:t>Línea de tiempo: Funciona en Excel 2013 o superior. No mover ni cambiar el tamaño.</a:t>
              </a:r>
            </a:p>
          </xdr:txBody>
        </xdr:sp>
      </mc:Fallback>
    </mc:AlternateContent>
    <xdr:clientData/>
  </xdr:twoCellAnchor>
  <xdr:twoCellAnchor>
    <xdr:from>
      <xdr:col>3</xdr:col>
      <xdr:colOff>400050</xdr:colOff>
      <xdr:row>1</xdr:row>
      <xdr:rowOff>42862</xdr:rowOff>
    </xdr:from>
    <xdr:to>
      <xdr:col>7</xdr:col>
      <xdr:colOff>304800</xdr:colOff>
      <xdr:row>15</xdr:row>
      <xdr:rowOff>119062</xdr:rowOff>
    </xdr:to>
    <xdr:graphicFrame macro="">
      <xdr:nvGraphicFramePr>
        <xdr:cNvPr id="4" name="Gráfico 3">
          <a:extLst>
            <a:ext uri="{FF2B5EF4-FFF2-40B4-BE49-F238E27FC236}">
              <a16:creationId xmlns:a16="http://schemas.microsoft.com/office/drawing/2014/main" id="{F0507A80-EED0-F347-4292-04218423CD6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jalj153 Julio de León" refreshedDate="45706.880171874996" createdVersion="8" refreshedVersion="8" minRefreshableVersion="3" recordCount="116" xr:uid="{F72B885A-103E-4B47-8708-5A489AE9B58F}">
  <cacheSource type="worksheet">
    <worksheetSource name="_tbl_odoo_datos"/>
  </cacheSource>
  <cacheFields count="39">
    <cacheField name="PROYECTO ID" numFmtId="1">
      <sharedItems containsSemiMixedTypes="0" containsString="0" containsNumber="1" containsInteger="1" minValue="8245" maxValue="8453" count="116">
        <n v="8392"/>
        <n v="8395"/>
        <n v="8396"/>
        <n v="8397"/>
        <n v="8398"/>
        <n v="8399"/>
        <n v="8400"/>
        <n v="8401"/>
        <n v="8402"/>
        <n v="8403"/>
        <n v="8404"/>
        <n v="8405"/>
        <n v="8406"/>
        <n v="8407"/>
        <n v="8408"/>
        <n v="8410"/>
        <n v="8411"/>
        <n v="8412"/>
        <n v="8413"/>
        <n v="8451"/>
        <n v="8414"/>
        <n v="8415"/>
        <n v="8416"/>
        <n v="8418"/>
        <n v="8419"/>
        <n v="8420"/>
        <n v="8421"/>
        <n v="8422"/>
        <n v="8423"/>
        <n v="8426"/>
        <n v="8428"/>
        <n v="8429"/>
        <n v="8430"/>
        <n v="8431"/>
        <n v="8432"/>
        <n v="8433"/>
        <n v="8434"/>
        <n v="8435"/>
        <n v="8436"/>
        <n v="8437"/>
        <n v="8443"/>
        <n v="8444"/>
        <n v="8453"/>
        <n v="8245"/>
        <n v="8329"/>
        <n v="8263"/>
        <n v="8256"/>
        <n v="8259"/>
        <n v="8325"/>
        <n v="8264"/>
        <n v="8326"/>
        <n v="8253"/>
        <n v="8327"/>
        <n v="8261"/>
        <n v="8247"/>
        <n v="8270"/>
        <n v="8288"/>
        <n v="8292"/>
        <n v="8313"/>
        <n v="8280"/>
        <n v="8250"/>
        <n v="8286"/>
        <n v="8305"/>
        <n v="8306"/>
        <n v="8328"/>
        <n v="8452"/>
        <n v="8335"/>
        <n v="8262"/>
        <n v="8297"/>
        <n v="8448"/>
        <n v="8447"/>
        <n v="8248"/>
        <n v="8284"/>
        <n v="8255"/>
        <n v="8331"/>
        <n v="8289"/>
        <n v="8309"/>
        <n v="8321"/>
        <n v="8336"/>
        <n v="8290"/>
        <n v="8314"/>
        <n v="8324"/>
        <n v="8307"/>
        <n v="8293"/>
        <n v="8333"/>
        <n v="8334"/>
        <n v="8260"/>
        <n v="8299"/>
        <n v="8330"/>
        <n v="8287"/>
        <n v="8294"/>
        <n v="8254"/>
        <n v="8273"/>
        <n v="8281"/>
        <n v="8449"/>
        <n v="8316"/>
        <n v="8322"/>
        <n v="8268"/>
        <n v="8301"/>
        <n v="8265"/>
        <n v="8246"/>
        <n v="8304"/>
        <n v="8303"/>
        <n v="8320"/>
        <n v="8317"/>
        <n v="8291"/>
        <n v="8271"/>
        <n v="8276"/>
        <n v="8323"/>
        <n v="8298"/>
        <n v="8252"/>
        <n v="8269"/>
        <n v="8278"/>
        <n v="8258"/>
        <n v="8277"/>
        <n v="8300"/>
      </sharedItems>
    </cacheField>
    <cacheField name="STOD Ref." numFmtId="1">
      <sharedItems containsSemiMixedTypes="0" containsString="0" containsNumber="1" containsInteger="1" minValue="0" maxValue="374" count="93">
        <n v="275"/>
        <n v="278"/>
        <n v="280"/>
        <n v="281"/>
        <n v="282"/>
        <n v="283"/>
        <n v="284"/>
        <n v="285"/>
        <n v="286"/>
        <n v="287"/>
        <n v="288"/>
        <n v="289"/>
        <n v="291"/>
        <n v="293"/>
        <n v="294"/>
        <n v="300"/>
        <n v="305"/>
        <n v="309"/>
        <n v="312"/>
        <n v="313"/>
        <n v="314"/>
        <n v="315"/>
        <n v="316"/>
        <n v="318"/>
        <n v="320"/>
        <n v="322"/>
        <n v="323"/>
        <n v="324"/>
        <n v="326"/>
        <n v="331"/>
        <n v="337"/>
        <n v="341"/>
        <n v="343"/>
        <n v="345"/>
        <n v="346"/>
        <n v="347"/>
        <n v="348"/>
        <n v="349"/>
        <n v="350"/>
        <n v="351"/>
        <n v="367"/>
        <n v="368"/>
        <n v="372"/>
        <n v="0"/>
        <n v="296"/>
        <n v="362"/>
        <n v="298"/>
        <n v="301"/>
        <n v="310"/>
        <n v="304"/>
        <n v="363"/>
        <n v="321"/>
        <n v="329"/>
        <n v="360"/>
        <n v="340"/>
        <n v="279"/>
        <n v="353"/>
        <n v="344"/>
        <n v="342"/>
        <n v="330"/>
        <n v="328"/>
        <n v="302"/>
        <n v="373"/>
        <n v="277"/>
        <n v="359"/>
        <n v="319"/>
        <n v="354"/>
        <n v="297"/>
        <n v="299"/>
        <n v="370"/>
        <n v="303"/>
        <n v="327"/>
        <n v="361"/>
        <n v="352"/>
        <n v="338"/>
        <n v="369"/>
        <n v="325"/>
        <n v="335"/>
        <n v="366"/>
        <n v="333"/>
        <n v="276"/>
        <n v="332"/>
        <n v="292"/>
        <n v="374"/>
        <n v="317"/>
        <n v="334"/>
        <n v="295"/>
        <n v="308"/>
        <n v="290"/>
        <n v="339"/>
        <n v="307"/>
        <n v="336"/>
        <n v="371"/>
      </sharedItems>
    </cacheField>
    <cacheField name="Proyecto" numFmtId="0">
      <sharedItems longText="1"/>
    </cacheField>
    <cacheField name="Solicitante ID" numFmtId="0">
      <sharedItems containsString="0" containsBlank="1" containsNumber="1" containsInteger="1" minValue="246832" maxValue="293171"/>
    </cacheField>
    <cacheField name="Solicitante" numFmtId="0">
      <sharedItems containsBlank="1"/>
    </cacheField>
    <cacheField name="Etapa ID" numFmtId="1">
      <sharedItems containsSemiMixedTypes="0" containsString="0" containsNumber="1" containsInteger="1" minValue="21" maxValue="30"/>
    </cacheField>
    <cacheField name="Etapa" numFmtId="0">
      <sharedItems/>
    </cacheField>
    <cacheField name="Asignado ID" numFmtId="1">
      <sharedItems containsString="0" containsBlank="1" containsNumber="1" containsInteger="1" minValue="195" maxValue="3234"/>
    </cacheField>
    <cacheField name="Asignado" numFmtId="0">
      <sharedItems containsBlank="1" count="14">
        <s v="Carlos Rosales"/>
        <s v="Josue Eleazar Chet Cuellar"/>
        <m/>
        <s v="Daniel Castillo"/>
        <s v="Erick Estuardo Hernandez Andrino"/>
        <s v="Gerson Castro"/>
        <s v="Jose Pablo Reyes Gonzalez"/>
        <s v="Williams Galvan"/>
        <s v="Jose Andres Chajon Cueto"/>
        <s v="Julio de León"/>
        <s v="Antonio Manuel Alejandro García González"/>
        <s v="Carlos Eduardo Galindo Miranda"/>
        <s v="Olga María Hinestroza Lima"/>
        <s v="Gerson Gabriel Flores Montúfar"/>
      </sharedItems>
    </cacheField>
    <cacheField name="Es único?" numFmtId="0">
      <sharedItems/>
    </cacheField>
    <cacheField name="Emergente" numFmtId="0">
      <sharedItems containsBlank="1"/>
    </cacheField>
    <cacheField name="Clasificación ID" numFmtId="0">
      <sharedItems containsString="0" containsBlank="1" containsNumber="1" containsInteger="1" minValue="1" maxValue="4"/>
    </cacheField>
    <cacheField name="Clasificación" numFmtId="0">
      <sharedItems containsBlank="1"/>
    </cacheField>
    <cacheField name="Complejidad ID" numFmtId="1">
      <sharedItems containsString="0" containsBlank="1" containsNumber="1" containsInteger="1" minValue="1" maxValue="2"/>
    </cacheField>
    <cacheField name="Complejidad" numFmtId="0">
      <sharedItems containsBlank="1"/>
    </cacheField>
    <cacheField name="Importancia ID" numFmtId="0">
      <sharedItems containsString="0" containsBlank="1" containsNumber="1" containsInteger="1" minValue="1" maxValue="3"/>
    </cacheField>
    <cacheField name="Importancia" numFmtId="0">
      <sharedItems containsString="0" containsBlank="1" containsNumber="1" containsInteger="1" minValue="1" maxValue="3"/>
    </cacheField>
    <cacheField name="Urgencia ID" numFmtId="1">
      <sharedItems containsString="0" containsBlank="1" containsNumber="1" containsInteger="1" minValue="1" maxValue="3"/>
    </cacheField>
    <cacheField name="Urgencia" numFmtId="0">
      <sharedItems containsString="0" containsBlank="1" containsNumber="1" containsInteger="1" minValue="1" maxValue="3"/>
    </cacheField>
    <cacheField name="Tamaño ID" numFmtId="1">
      <sharedItems containsString="0" containsBlank="1" containsNumber="1" containsInteger="1" minValue="1" maxValue="2"/>
    </cacheField>
    <cacheField name="Tamaño" numFmtId="0">
      <sharedItems containsBlank="1"/>
    </cacheField>
    <cacheField name="Fecha Creación" numFmtId="14">
      <sharedItems containsNonDate="0" containsDate="1" containsString="0" containsBlank="1" minDate="2024-12-27T00:00:00" maxDate="2025-02-18T00:00:00"/>
    </cacheField>
    <cacheField name="Fecha Inicio" numFmtId="14">
      <sharedItems containsNonDate="0" containsDate="1" containsString="0" containsBlank="1" minDate="1899-12-31T00:00:00" maxDate="2025-02-18T00:00:00"/>
    </cacheField>
    <cacheField name="Fecha Informática" numFmtId="14">
      <sharedItems containsNonDate="0" containsDate="1" containsString="0" containsBlank="1" minDate="2025-01-15T00:00:00" maxDate="2025-11-01T00:00:00" count="29">
        <d v="2025-01-31T00:00:00"/>
        <d v="2025-01-28T00:00:00"/>
        <d v="2025-03-28T00:00:00"/>
        <d v="2025-02-28T00:00:00"/>
        <d v="2025-04-30T00:00:00"/>
        <d v="2025-04-14T00:00:00"/>
        <d v="2025-03-10T00:00:00"/>
        <d v="2025-02-21T00:00:00"/>
        <d v="2025-02-14T00:00:00"/>
        <d v="2025-02-24T00:00:00"/>
        <d v="2025-01-24T00:00:00"/>
        <d v="2025-07-31T00:00:00"/>
        <d v="2025-04-13T00:00:00"/>
        <d v="2025-02-07T00:00:00"/>
        <d v="2025-01-18T00:00:00"/>
        <m/>
        <d v="2025-03-14T00:00:00"/>
        <d v="2025-02-03T00:00:00"/>
        <d v="2025-02-05T00:00:00"/>
        <d v="2025-03-31T00:00:00"/>
        <d v="2025-02-13T00:00:00"/>
        <d v="2025-01-15T00:00:00"/>
        <d v="2025-02-18T00:00:00"/>
        <d v="2025-02-17T00:00:00"/>
        <d v="2025-02-10T00:00:00"/>
        <d v="2025-02-12T00:00:00"/>
        <d v="2025-01-21T00:00:00"/>
        <d v="2025-10-31T00:00:00"/>
        <d v="2025-02-11T00:00:00"/>
      </sharedItems>
      <fieldGroup par="32"/>
    </cacheField>
    <cacheField name="Fecha Gerencia" numFmtId="14">
      <sharedItems containsNonDate="0" containsDate="1" containsString="0" containsBlank="1" minDate="2025-01-18T00:00:00" maxDate="2025-10-31T00:00:00" count="28">
        <d v="2025-01-31T00:00:00"/>
        <d v="2025-02-28T00:00:00"/>
        <d v="2025-03-28T00:00:00"/>
        <d v="2025-04-30T00:00:00"/>
        <d v="2025-04-14T00:00:00"/>
        <d v="2025-04-28T00:00:00"/>
        <d v="2025-05-14T00:00:00"/>
        <d v="2025-03-10T00:00:00"/>
        <d v="2025-04-10T00:00:00"/>
        <d v="2025-02-24T00:00:00"/>
        <d v="2025-03-24T00:00:00"/>
        <d v="2025-07-31T00:00:00"/>
        <d v="2025-04-13T00:00:00"/>
        <d v="2025-05-13T00:00:00"/>
        <d v="2025-02-14T00:00:00"/>
        <d v="2025-03-07T00:00:00"/>
        <d v="2025-02-07T00:00:00"/>
        <d v="2025-01-18T00:00:00"/>
        <m/>
        <d v="2025-01-27T00:00:00"/>
        <d v="2025-02-06T00:00:00"/>
        <d v="2025-03-31T00:00:00"/>
        <d v="2025-02-13T00:00:00"/>
        <d v="2025-02-05T00:00:00"/>
        <d v="2025-02-10T00:00:00"/>
        <d v="2025-02-12T00:00:00"/>
        <d v="2025-10-30T00:00:00"/>
        <d v="2025-02-11T00:00:00"/>
      </sharedItems>
      <fieldGroup par="30"/>
    </cacheField>
    <cacheField name="Fecha Cierre" numFmtId="14">
      <sharedItems containsNonDate="0" containsDate="1" containsString="0" containsBlank="1" minDate="2025-01-31T00:00:00" maxDate="2025-03-02T00:00:00"/>
    </cacheField>
    <cacheField name="Descripción" numFmtId="0">
      <sharedItems containsBlank="1" longText="1"/>
    </cacheField>
    <cacheField name="Fecha Informática Mes" numFmtId="14">
      <sharedItems containsSemiMixedTypes="0" containsNonDate="0" containsDate="1" containsString="0" minDate="1899-12-31T00:00:00" maxDate="2025-10-02T00:00:00" count="7">
        <d v="2025-01-01T00:00:00"/>
        <d v="2025-03-01T00:00:00"/>
        <d v="2025-02-01T00:00:00"/>
        <d v="2025-04-01T00:00:00"/>
        <d v="2025-07-01T00:00:00"/>
        <d v="1899-12-31T00:00:00"/>
        <d v="2025-10-01T00:00:00"/>
      </sharedItems>
      <fieldGroup par="38"/>
    </cacheField>
    <cacheField name="Fecha Gerencia Mes" numFmtId="14">
      <sharedItems containsSemiMixedTypes="0" containsNonDate="0" containsDate="1" containsString="0" minDate="1899-12-31T00:00:00" maxDate="2025-10-02T00:00:00" count="7">
        <d v="2025-01-01T00:00:00"/>
        <d v="2025-03-01T00:00:00"/>
        <d v="2025-02-01T00:00:00"/>
        <d v="2025-04-01T00:00:00"/>
        <d v="2025-07-01T00:00:00"/>
        <d v="1899-12-31T00:00:00"/>
        <d v="2025-10-01T00:00:00"/>
      </sharedItems>
      <fieldGroup par="35"/>
    </cacheField>
    <cacheField name="Días (Fecha Gerencia)" numFmtId="0" databaseField="0">
      <fieldGroup base="24">
        <rangePr groupBy="days" startDate="2025-01-18T00:00:00" endDate="2025-10-31T00:00:00"/>
        <groupItems count="368">
          <s v="&lt;2025-01-18"/>
          <s v="01-Jan"/>
          <s v="02-Jan"/>
          <s v="03-Jan"/>
          <s v="04-Jan"/>
          <s v="05-Jan"/>
          <s v="06-Jan"/>
          <s v="07-Jan"/>
          <s v="08-Jan"/>
          <s v="09-Jan"/>
          <s v="10-Jan"/>
          <s v="11-Jan"/>
          <s v="12-Jan"/>
          <s v="13-Jan"/>
          <s v="14-Jan"/>
          <s v="15-Jan"/>
          <s v="16-Jan"/>
          <s v="17-Jan"/>
          <s v="18-Jan"/>
          <s v="19-Jan"/>
          <s v="20-Jan"/>
          <s v="21-Jan"/>
          <s v="22-Jan"/>
          <s v="23-Jan"/>
          <s v="24-Jan"/>
          <s v="25-Jan"/>
          <s v="26-Jan"/>
          <s v="27-Jan"/>
          <s v="28-Jan"/>
          <s v="29-Jan"/>
          <s v="30-Jan"/>
          <s v="31-Jan"/>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pr"/>
          <s v="02-Apr"/>
          <s v="03-Apr"/>
          <s v="04-Apr"/>
          <s v="05-Apr"/>
          <s v="06-Apr"/>
          <s v="07-Apr"/>
          <s v="08-Apr"/>
          <s v="09-Apr"/>
          <s v="10-Apr"/>
          <s v="11-Apr"/>
          <s v="12-Apr"/>
          <s v="13-Apr"/>
          <s v="14-Apr"/>
          <s v="15-Apr"/>
          <s v="16-Apr"/>
          <s v="17-Apr"/>
          <s v="18-Apr"/>
          <s v="19-Apr"/>
          <s v="20-Apr"/>
          <s v="21-Apr"/>
          <s v="22-Apr"/>
          <s v="23-Apr"/>
          <s v="24-Apr"/>
          <s v="25-Apr"/>
          <s v="26-Apr"/>
          <s v="27-Apr"/>
          <s v="28-Apr"/>
          <s v="29-Apr"/>
          <s v="30-Ap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ug"/>
          <s v="02-Aug"/>
          <s v="03-Aug"/>
          <s v="04-Aug"/>
          <s v="05-Aug"/>
          <s v="06-Aug"/>
          <s v="07-Aug"/>
          <s v="08-Aug"/>
          <s v="09-Aug"/>
          <s v="10-Aug"/>
          <s v="11-Aug"/>
          <s v="12-Aug"/>
          <s v="13-Aug"/>
          <s v="14-Aug"/>
          <s v="15-Aug"/>
          <s v="16-Aug"/>
          <s v="17-Aug"/>
          <s v="18-Aug"/>
          <s v="19-Aug"/>
          <s v="20-Aug"/>
          <s v="21-Aug"/>
          <s v="22-Aug"/>
          <s v="23-Aug"/>
          <s v="24-Aug"/>
          <s v="25-Aug"/>
          <s v="26-Aug"/>
          <s v="27-Aug"/>
          <s v="28-Aug"/>
          <s v="29-Aug"/>
          <s v="30-Aug"/>
          <s v="31-Aug"/>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ec"/>
          <s v="02-Dec"/>
          <s v="03-Dec"/>
          <s v="04-Dec"/>
          <s v="05-Dec"/>
          <s v="06-Dec"/>
          <s v="07-Dec"/>
          <s v="08-Dec"/>
          <s v="09-Dec"/>
          <s v="10-Dec"/>
          <s v="11-Dec"/>
          <s v="12-Dec"/>
          <s v="13-Dec"/>
          <s v="14-Dec"/>
          <s v="15-Dec"/>
          <s v="16-Dec"/>
          <s v="17-Dec"/>
          <s v="18-Dec"/>
          <s v="19-Dec"/>
          <s v="20-Dec"/>
          <s v="21-Dec"/>
          <s v="22-Dec"/>
          <s v="23-Dec"/>
          <s v="24-Dec"/>
          <s v="25-Dec"/>
          <s v="26-Dec"/>
          <s v="27-Dec"/>
          <s v="28-Dec"/>
          <s v="29-Dec"/>
          <s v="30-Dec"/>
          <s v="31-Dec"/>
          <s v="&gt;2025-10-31"/>
        </groupItems>
      </fieldGroup>
    </cacheField>
    <cacheField name="Meses (Fecha Gerencia)" numFmtId="0" databaseField="0">
      <fieldGroup base="24">
        <rangePr groupBy="months" startDate="2025-01-18T00:00:00" endDate="2025-10-31T00:00:00"/>
        <groupItems count="14">
          <s v="&lt;2025-01-18"/>
          <s v="Jan"/>
          <s v="Feb"/>
          <s v="Mar"/>
          <s v="Apr"/>
          <s v="May"/>
          <s v="Jun"/>
          <s v="Jul"/>
          <s v="Aug"/>
          <s v="Sep"/>
          <s v="Oct"/>
          <s v="Nov"/>
          <s v="Dec"/>
          <s v="&gt;2025-10-31"/>
        </groupItems>
      </fieldGroup>
    </cacheField>
    <cacheField name="Días (Fecha Informática)" numFmtId="0" databaseField="0">
      <fieldGroup base="23">
        <rangePr groupBy="days" startDate="2025-01-15T00:00:00" endDate="2025-11-01T00:00:00"/>
        <groupItems count="368">
          <s v="&lt;2025-01-15"/>
          <s v="01-Jan"/>
          <s v="02-Jan"/>
          <s v="03-Jan"/>
          <s v="04-Jan"/>
          <s v="05-Jan"/>
          <s v="06-Jan"/>
          <s v="07-Jan"/>
          <s v="08-Jan"/>
          <s v="09-Jan"/>
          <s v="10-Jan"/>
          <s v="11-Jan"/>
          <s v="12-Jan"/>
          <s v="13-Jan"/>
          <s v="14-Jan"/>
          <s v="15-Jan"/>
          <s v="16-Jan"/>
          <s v="17-Jan"/>
          <s v="18-Jan"/>
          <s v="19-Jan"/>
          <s v="20-Jan"/>
          <s v="21-Jan"/>
          <s v="22-Jan"/>
          <s v="23-Jan"/>
          <s v="24-Jan"/>
          <s v="25-Jan"/>
          <s v="26-Jan"/>
          <s v="27-Jan"/>
          <s v="28-Jan"/>
          <s v="29-Jan"/>
          <s v="30-Jan"/>
          <s v="31-Jan"/>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pr"/>
          <s v="02-Apr"/>
          <s v="03-Apr"/>
          <s v="04-Apr"/>
          <s v="05-Apr"/>
          <s v="06-Apr"/>
          <s v="07-Apr"/>
          <s v="08-Apr"/>
          <s v="09-Apr"/>
          <s v="10-Apr"/>
          <s v="11-Apr"/>
          <s v="12-Apr"/>
          <s v="13-Apr"/>
          <s v="14-Apr"/>
          <s v="15-Apr"/>
          <s v="16-Apr"/>
          <s v="17-Apr"/>
          <s v="18-Apr"/>
          <s v="19-Apr"/>
          <s v="20-Apr"/>
          <s v="21-Apr"/>
          <s v="22-Apr"/>
          <s v="23-Apr"/>
          <s v="24-Apr"/>
          <s v="25-Apr"/>
          <s v="26-Apr"/>
          <s v="27-Apr"/>
          <s v="28-Apr"/>
          <s v="29-Apr"/>
          <s v="30-Ap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ug"/>
          <s v="02-Aug"/>
          <s v="03-Aug"/>
          <s v="04-Aug"/>
          <s v="05-Aug"/>
          <s v="06-Aug"/>
          <s v="07-Aug"/>
          <s v="08-Aug"/>
          <s v="09-Aug"/>
          <s v="10-Aug"/>
          <s v="11-Aug"/>
          <s v="12-Aug"/>
          <s v="13-Aug"/>
          <s v="14-Aug"/>
          <s v="15-Aug"/>
          <s v="16-Aug"/>
          <s v="17-Aug"/>
          <s v="18-Aug"/>
          <s v="19-Aug"/>
          <s v="20-Aug"/>
          <s v="21-Aug"/>
          <s v="22-Aug"/>
          <s v="23-Aug"/>
          <s v="24-Aug"/>
          <s v="25-Aug"/>
          <s v="26-Aug"/>
          <s v="27-Aug"/>
          <s v="28-Aug"/>
          <s v="29-Aug"/>
          <s v="30-Aug"/>
          <s v="31-Aug"/>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ec"/>
          <s v="02-Dec"/>
          <s v="03-Dec"/>
          <s v="04-Dec"/>
          <s v="05-Dec"/>
          <s v="06-Dec"/>
          <s v="07-Dec"/>
          <s v="08-Dec"/>
          <s v="09-Dec"/>
          <s v="10-Dec"/>
          <s v="11-Dec"/>
          <s v="12-Dec"/>
          <s v="13-Dec"/>
          <s v="14-Dec"/>
          <s v="15-Dec"/>
          <s v="16-Dec"/>
          <s v="17-Dec"/>
          <s v="18-Dec"/>
          <s v="19-Dec"/>
          <s v="20-Dec"/>
          <s v="21-Dec"/>
          <s v="22-Dec"/>
          <s v="23-Dec"/>
          <s v="24-Dec"/>
          <s v="25-Dec"/>
          <s v="26-Dec"/>
          <s v="27-Dec"/>
          <s v="28-Dec"/>
          <s v="29-Dec"/>
          <s v="30-Dec"/>
          <s v="31-Dec"/>
          <s v="&gt;2025-11-01"/>
        </groupItems>
      </fieldGroup>
    </cacheField>
    <cacheField name="Meses (Fecha Informática)" numFmtId="0" databaseField="0">
      <fieldGroup base="23">
        <rangePr groupBy="months" startDate="2025-01-15T00:00:00" endDate="2025-11-01T00:00:00"/>
        <groupItems count="14">
          <s v="&lt;2025-01-15"/>
          <s v="Jan"/>
          <s v="Feb"/>
          <s v="Mar"/>
          <s v="Apr"/>
          <s v="May"/>
          <s v="Jun"/>
          <s v="Jul"/>
          <s v="Aug"/>
          <s v="Sep"/>
          <s v="Oct"/>
          <s v="Nov"/>
          <s v="Dec"/>
          <s v="&gt;2025-11-01"/>
        </groupItems>
      </fieldGroup>
    </cacheField>
    <cacheField name="Meses (Fecha Gerencia Mes)" numFmtId="0" databaseField="0">
      <fieldGroup base="28">
        <rangePr groupBy="months" startDate="1899-12-31T00:00:00" endDate="2025-10-02T00:00:00"/>
        <groupItems count="14">
          <s v="&lt;1900-01-01"/>
          <s v="Jan"/>
          <s v="Feb"/>
          <s v="Mar"/>
          <s v="Apr"/>
          <s v="May"/>
          <s v="Jun"/>
          <s v="Jul"/>
          <s v="Aug"/>
          <s v="Sep"/>
          <s v="Oct"/>
          <s v="Nov"/>
          <s v="Dec"/>
          <s v="&gt;2025-10-02"/>
        </groupItems>
      </fieldGroup>
    </cacheField>
    <cacheField name="Trimestres (Fecha Gerencia Mes)" numFmtId="0" databaseField="0">
      <fieldGroup base="28">
        <rangePr groupBy="quarters" startDate="1899-12-31T00:00:00" endDate="2025-10-02T00:00:00"/>
        <groupItems count="6">
          <s v="&lt;1900-01-01"/>
          <s v="Trim.1"/>
          <s v="Trim.2"/>
          <s v="Trim.3"/>
          <s v="Trim.4"/>
          <s v="&gt;2025-10-02"/>
        </groupItems>
      </fieldGroup>
    </cacheField>
    <cacheField name="Años (Fecha Gerencia Mes)" numFmtId="0" databaseField="0">
      <fieldGroup base="28">
        <rangePr groupBy="years" startDate="1899-12-31T00:00:00" endDate="2025-10-02T00:00:00"/>
        <groupItems count="128">
          <s v="&lt;1900-01-01"/>
          <s v="1900"/>
          <s v="1901"/>
          <s v="1902"/>
          <s v="1903"/>
          <s v="1904"/>
          <s v="1905"/>
          <s v="1906"/>
          <s v="1907"/>
          <s v="1908"/>
          <s v="1909"/>
          <s v="1910"/>
          <s v="1911"/>
          <s v="1912"/>
          <s v="1913"/>
          <s v="1914"/>
          <s v="1915"/>
          <s v="1916"/>
          <s v="1917"/>
          <s v="1918"/>
          <s v="1919"/>
          <s v="1920"/>
          <s v="1921"/>
          <s v="1922"/>
          <s v="1923"/>
          <s v="1924"/>
          <s v="1925"/>
          <s v="1926"/>
          <s v="1927"/>
          <s v="1928"/>
          <s v="1929"/>
          <s v="1930"/>
          <s v="1931"/>
          <s v="1932"/>
          <s v="1933"/>
          <s v="1934"/>
          <s v="1935"/>
          <s v="1936"/>
          <s v="1937"/>
          <s v="1938"/>
          <s v="1939"/>
          <s v="1940"/>
          <s v="1941"/>
          <s v="1942"/>
          <s v="1943"/>
          <s v="1944"/>
          <s v="1945"/>
          <s v="1946"/>
          <s v="1947"/>
          <s v="1948"/>
          <s v="1949"/>
          <s v="1950"/>
          <s v="1951"/>
          <s v="1952"/>
          <s v="1953"/>
          <s v="1954"/>
          <s v="1955"/>
          <s v="1956"/>
          <s v="1957"/>
          <s v="1958"/>
          <s v="1959"/>
          <s v="1960"/>
          <s v="1961"/>
          <s v="1962"/>
          <s v="1963"/>
          <s v="1964"/>
          <s v="1965"/>
          <s v="1966"/>
          <s v="1967"/>
          <s v="1968"/>
          <s v="1969"/>
          <s v="1970"/>
          <s v="1971"/>
          <s v="1972"/>
          <s v="1973"/>
          <s v="1974"/>
          <s v="1975"/>
          <s v="1976"/>
          <s v="1977"/>
          <s v="1978"/>
          <s v="1979"/>
          <s v="1980"/>
          <s v="1981"/>
          <s v="1982"/>
          <s v="1983"/>
          <s v="1984"/>
          <s v="1985"/>
          <s v="1986"/>
          <s v="1987"/>
          <s v="1988"/>
          <s v="1989"/>
          <s v="1990"/>
          <s v="1991"/>
          <s v="1992"/>
          <s v="1993"/>
          <s v="1994"/>
          <s v="1995"/>
          <s v="1996"/>
          <s v="1997"/>
          <s v="1998"/>
          <s v="1999"/>
          <s v="2000"/>
          <s v="2001"/>
          <s v="2002"/>
          <s v="2003"/>
          <s v="2004"/>
          <s v="2005"/>
          <s v="2006"/>
          <s v="2007"/>
          <s v="2008"/>
          <s v="2009"/>
          <s v="2010"/>
          <s v="2011"/>
          <s v="2012"/>
          <s v="2013"/>
          <s v="2014"/>
          <s v="2015"/>
          <s v="2016"/>
          <s v="2017"/>
          <s v="2018"/>
          <s v="2019"/>
          <s v="2020"/>
          <s v="2021"/>
          <s v="2022"/>
          <s v="2023"/>
          <s v="2024"/>
          <s v="2025"/>
          <s v="&gt;2025-10-02"/>
        </groupItems>
      </fieldGroup>
    </cacheField>
    <cacheField name="Meses (Fecha Informática Mes)" numFmtId="0" databaseField="0">
      <fieldGroup base="27">
        <rangePr groupBy="months" startDate="1899-12-31T00:00:00" endDate="2025-10-02T00:00:00"/>
        <groupItems count="14">
          <s v="&lt;1900-01-01"/>
          <s v="Jan"/>
          <s v="Feb"/>
          <s v="Mar"/>
          <s v="Apr"/>
          <s v="May"/>
          <s v="Jun"/>
          <s v="Jul"/>
          <s v="Aug"/>
          <s v="Sep"/>
          <s v="Oct"/>
          <s v="Nov"/>
          <s v="Dec"/>
          <s v="&gt;2025-10-02"/>
        </groupItems>
      </fieldGroup>
    </cacheField>
    <cacheField name="Trimestres (Fecha Informática Mes)" numFmtId="0" databaseField="0">
      <fieldGroup base="27">
        <rangePr groupBy="quarters" startDate="1899-12-31T00:00:00" endDate="2025-10-02T00:00:00"/>
        <groupItems count="6">
          <s v="&lt;1900-01-01"/>
          <s v="Trim.1"/>
          <s v="Trim.2"/>
          <s v="Trim.3"/>
          <s v="Trim.4"/>
          <s v="&gt;2025-10-02"/>
        </groupItems>
      </fieldGroup>
    </cacheField>
    <cacheField name="Años (Fecha Informática Mes)" numFmtId="0" databaseField="0">
      <fieldGroup base="27">
        <rangePr groupBy="years" startDate="1899-12-31T00:00:00" endDate="2025-10-02T00:00:00"/>
        <groupItems count="128">
          <s v="&lt;1900-01-01"/>
          <s v="1900"/>
          <s v="1901"/>
          <s v="1902"/>
          <s v="1903"/>
          <s v="1904"/>
          <s v="1905"/>
          <s v="1906"/>
          <s v="1907"/>
          <s v="1908"/>
          <s v="1909"/>
          <s v="1910"/>
          <s v="1911"/>
          <s v="1912"/>
          <s v="1913"/>
          <s v="1914"/>
          <s v="1915"/>
          <s v="1916"/>
          <s v="1917"/>
          <s v="1918"/>
          <s v="1919"/>
          <s v="1920"/>
          <s v="1921"/>
          <s v="1922"/>
          <s v="1923"/>
          <s v="1924"/>
          <s v="1925"/>
          <s v="1926"/>
          <s v="1927"/>
          <s v="1928"/>
          <s v="1929"/>
          <s v="1930"/>
          <s v="1931"/>
          <s v="1932"/>
          <s v="1933"/>
          <s v="1934"/>
          <s v="1935"/>
          <s v="1936"/>
          <s v="1937"/>
          <s v="1938"/>
          <s v="1939"/>
          <s v="1940"/>
          <s v="1941"/>
          <s v="1942"/>
          <s v="1943"/>
          <s v="1944"/>
          <s v="1945"/>
          <s v="1946"/>
          <s v="1947"/>
          <s v="1948"/>
          <s v="1949"/>
          <s v="1950"/>
          <s v="1951"/>
          <s v="1952"/>
          <s v="1953"/>
          <s v="1954"/>
          <s v="1955"/>
          <s v="1956"/>
          <s v="1957"/>
          <s v="1958"/>
          <s v="1959"/>
          <s v="1960"/>
          <s v="1961"/>
          <s v="1962"/>
          <s v="1963"/>
          <s v="1964"/>
          <s v="1965"/>
          <s v="1966"/>
          <s v="1967"/>
          <s v="1968"/>
          <s v="1969"/>
          <s v="1970"/>
          <s v="1971"/>
          <s v="1972"/>
          <s v="1973"/>
          <s v="1974"/>
          <s v="1975"/>
          <s v="1976"/>
          <s v="1977"/>
          <s v="1978"/>
          <s v="1979"/>
          <s v="1980"/>
          <s v="1981"/>
          <s v="1982"/>
          <s v="1983"/>
          <s v="1984"/>
          <s v="1985"/>
          <s v="1986"/>
          <s v="1987"/>
          <s v="1988"/>
          <s v="1989"/>
          <s v="1990"/>
          <s v="1991"/>
          <s v="1992"/>
          <s v="1993"/>
          <s v="1994"/>
          <s v="1995"/>
          <s v="1996"/>
          <s v="1997"/>
          <s v="1998"/>
          <s v="1999"/>
          <s v="2000"/>
          <s v="2001"/>
          <s v="2002"/>
          <s v="2003"/>
          <s v="2004"/>
          <s v="2005"/>
          <s v="2006"/>
          <s v="2007"/>
          <s v="2008"/>
          <s v="2009"/>
          <s v="2010"/>
          <s v="2011"/>
          <s v="2012"/>
          <s v="2013"/>
          <s v="2014"/>
          <s v="2015"/>
          <s v="2016"/>
          <s v="2017"/>
          <s v="2018"/>
          <s v="2019"/>
          <s v="2020"/>
          <s v="2021"/>
          <s v="2022"/>
          <s v="2023"/>
          <s v="2024"/>
          <s v="2025"/>
          <s v="&gt;2025-10-02"/>
        </groupItems>
      </fieldGroup>
    </cacheField>
  </cacheFields>
  <extLst>
    <ext xmlns:x14="http://schemas.microsoft.com/office/spreadsheetml/2009/9/main" uri="{725AE2AE-9491-48be-B2B4-4EB974FC3084}">
      <x14:pivotCacheDefinition pivotCacheId="1028912134"/>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jalj153 Julio de León" refreshedDate="45706.906005092591" createdVersion="8" refreshedVersion="8" minRefreshableVersion="3" recordCount="232" xr:uid="{1F2043C4-DDF2-4BCC-B338-2D043D412ACD}">
  <cacheSource type="worksheet">
    <worksheetSource name="_tbl_odoo_datos2"/>
  </cacheSource>
  <cacheFields count="41">
    <cacheField name="PROYECTO ID" numFmtId="1">
      <sharedItems/>
    </cacheField>
    <cacheField name="STOD Ref." numFmtId="1">
      <sharedItems containsSemiMixedTypes="0" containsString="0" containsNumber="1" containsInteger="1" minValue="0" maxValue="374"/>
    </cacheField>
    <cacheField name="Proyecto" numFmtId="0">
      <sharedItems longText="1"/>
    </cacheField>
    <cacheField name="Solicitante ID" numFmtId="0">
      <sharedItems containsString="0" containsBlank="1" containsNumber="1" containsInteger="1" minValue="246832" maxValue="293171"/>
    </cacheField>
    <cacheField name="Solicitante" numFmtId="0">
      <sharedItems containsBlank="1"/>
    </cacheField>
    <cacheField name="Etapa ID" numFmtId="1">
      <sharedItems containsSemiMixedTypes="0" containsString="0" containsNumber="1" containsInteger="1" minValue="21" maxValue="30"/>
    </cacheField>
    <cacheField name="Etapa" numFmtId="0">
      <sharedItems/>
    </cacheField>
    <cacheField name="Asignado ID" numFmtId="1">
      <sharedItems containsString="0" containsBlank="1" containsNumber="1" containsInteger="1" minValue="195" maxValue="3234"/>
    </cacheField>
    <cacheField name="Asignado" numFmtId="0">
      <sharedItems containsBlank="1"/>
    </cacheField>
    <cacheField name="Es único?" numFmtId="0">
      <sharedItems/>
    </cacheField>
    <cacheField name="Emergente" numFmtId="0">
      <sharedItems containsBlank="1"/>
    </cacheField>
    <cacheField name="Clasificación ID" numFmtId="0">
      <sharedItems containsString="0" containsBlank="1" containsNumber="1" containsInteger="1" minValue="1" maxValue="4"/>
    </cacheField>
    <cacheField name="Clasificación" numFmtId="0">
      <sharedItems containsBlank="1"/>
    </cacheField>
    <cacheField name="Complejidad ID" numFmtId="1">
      <sharedItems containsString="0" containsBlank="1" containsNumber="1" containsInteger="1" minValue="1" maxValue="2"/>
    </cacheField>
    <cacheField name="Complejidad" numFmtId="0">
      <sharedItems containsBlank="1"/>
    </cacheField>
    <cacheField name="Importancia ID" numFmtId="0">
      <sharedItems containsString="0" containsBlank="1" containsNumber="1" containsInteger="1" minValue="1" maxValue="3"/>
    </cacheField>
    <cacheField name="Importancia" numFmtId="0">
      <sharedItems containsString="0" containsBlank="1" containsNumber="1" containsInteger="1" minValue="1" maxValue="3"/>
    </cacheField>
    <cacheField name="Urgencia ID" numFmtId="1">
      <sharedItems containsString="0" containsBlank="1" containsNumber="1" containsInteger="1" minValue="1" maxValue="3"/>
    </cacheField>
    <cacheField name="Urgencia" numFmtId="0">
      <sharedItems containsString="0" containsBlank="1" containsNumber="1" containsInteger="1" minValue="1" maxValue="3"/>
    </cacheField>
    <cacheField name="Tamaño ID" numFmtId="1">
      <sharedItems containsString="0" containsBlank="1" containsNumber="1" containsInteger="1" minValue="1" maxValue="2"/>
    </cacheField>
    <cacheField name="Tamaño" numFmtId="0">
      <sharedItems containsBlank="1"/>
    </cacheField>
    <cacheField name="Fecha Creación" numFmtId="14">
      <sharedItems containsNonDate="0" containsDate="1" containsString="0" containsBlank="1" minDate="2024-12-27T00:00:00" maxDate="2025-02-18T00:00:00"/>
    </cacheField>
    <cacheField name="Fecha Inicio" numFmtId="14">
      <sharedItems containsNonDate="0" containsDate="1" containsString="0" containsBlank="1" minDate="1899-12-31T00:00:00" maxDate="2025-02-18T00:00:00"/>
    </cacheField>
    <cacheField name="Fecha Informática" numFmtId="14">
      <sharedItems containsNonDate="0" containsDate="1" containsString="0" containsBlank="1" minDate="2025-01-15T00:00:00" maxDate="2025-11-01T00:00:00"/>
    </cacheField>
    <cacheField name="Fecha Gerencia" numFmtId="14">
      <sharedItems containsNonDate="0" containsDate="1" containsString="0" containsBlank="1" minDate="2025-01-18T00:00:00" maxDate="2025-10-31T00:00:00" count="28">
        <d v="2025-01-31T00:00:00"/>
        <d v="2025-02-28T00:00:00"/>
        <d v="2025-03-28T00:00:00"/>
        <d v="2025-04-30T00:00:00"/>
        <d v="2025-04-14T00:00:00"/>
        <d v="2025-04-28T00:00:00"/>
        <d v="2025-05-14T00:00:00"/>
        <d v="2025-03-10T00:00:00"/>
        <d v="2025-04-10T00:00:00"/>
        <d v="2025-02-24T00:00:00"/>
        <d v="2025-03-24T00:00:00"/>
        <d v="2025-07-31T00:00:00"/>
        <d v="2025-04-13T00:00:00"/>
        <d v="2025-05-13T00:00:00"/>
        <d v="2025-02-14T00:00:00"/>
        <d v="2025-03-07T00:00:00"/>
        <d v="2025-02-07T00:00:00"/>
        <d v="2025-01-18T00:00:00"/>
        <m/>
        <d v="2025-01-27T00:00:00"/>
        <d v="2025-02-06T00:00:00"/>
        <d v="2025-03-31T00:00:00"/>
        <d v="2025-02-13T00:00:00"/>
        <d v="2025-02-05T00:00:00"/>
        <d v="2025-02-10T00:00:00"/>
        <d v="2025-02-12T00:00:00"/>
        <d v="2025-10-30T00:00:00"/>
        <d v="2025-02-11T00:00:00"/>
      </sharedItems>
    </cacheField>
    <cacheField name="Fecha Cierre" numFmtId="14">
      <sharedItems containsNonDate="0" containsDate="1" containsString="0" containsBlank="1" minDate="2025-01-31T00:00:00" maxDate="2025-03-02T00:00:00"/>
    </cacheField>
    <cacheField name="Descripción" numFmtId="0">
      <sharedItems containsBlank="1" longText="1"/>
    </cacheField>
    <cacheField name="Finf2" numFmtId="14">
      <sharedItems containsNonDate="0" containsDate="1" containsString="0" containsBlank="1" minDate="2024-12-31T00:00:00" maxDate="2025-10-01T00:00:00" count="7">
        <m/>
        <d v="2024-12-31T00:00:00"/>
        <d v="2025-02-28T00:00:00"/>
        <d v="2025-01-31T00:00:00"/>
        <d v="2025-03-31T00:00:00"/>
        <d v="2025-06-30T00:00:00"/>
        <d v="2025-09-30T00:00:00"/>
      </sharedItems>
      <fieldGroup par="34"/>
    </cacheField>
    <cacheField name="FGer2" numFmtId="14">
      <sharedItems containsNonDate="0" containsDate="1" containsString="0" containsBlank="1" minDate="2024-12-31T00:00:00" maxDate="2025-10-01T00:00:00" count="8">
        <d v="2024-12-31T00:00:00"/>
        <d v="2025-01-31T00:00:00"/>
        <d v="2025-02-28T00:00:00"/>
        <d v="2025-03-31T00:00:00"/>
        <d v="2025-04-30T00:00:00"/>
        <d v="2025-06-30T00:00:00"/>
        <m/>
        <d v="2025-09-30T00:00:00"/>
      </sharedItems>
      <fieldGroup par="37"/>
    </cacheField>
    <cacheField name="xGer" numFmtId="0">
      <sharedItems containsSemiMixedTypes="0" containsString="0" containsNumber="1" containsInteger="1" minValue="0" maxValue="1"/>
    </cacheField>
    <cacheField name="xInf" numFmtId="0">
      <sharedItems containsSemiMixedTypes="0" containsString="0" containsNumber="1" containsInteger="1" minValue="0" maxValue="1"/>
    </cacheField>
    <cacheField name="fEspecial" numFmtId="14">
      <sharedItems containsSemiMixedTypes="0" containsNonDate="0" containsDate="1" containsString="0" minDate="1899-12-30T00:00:00" maxDate="2025-10-01T00:00:00" count="8">
        <d v="2024-12-31T00:00:00"/>
        <d v="2025-01-31T00:00:00"/>
        <d v="2025-02-28T00:00:00"/>
        <d v="2025-03-31T00:00:00"/>
        <d v="2025-04-30T00:00:00"/>
        <d v="2025-06-30T00:00:00"/>
        <d v="1899-12-30T00:00:00"/>
        <d v="2025-09-30T00:00:00"/>
      </sharedItems>
      <fieldGroup par="40"/>
    </cacheField>
    <cacheField name="Meses (Finf2)" numFmtId="0" databaseField="0">
      <fieldGroup base="27">
        <rangePr groupBy="months" startDate="2024-12-31T00:00:00" endDate="2025-10-01T00:00:00"/>
        <groupItems count="14">
          <s v="&lt;2024-12-31"/>
          <s v="Jan"/>
          <s v="Feb"/>
          <s v="Mar"/>
          <s v="Apr"/>
          <s v="May"/>
          <s v="Jun"/>
          <s v="Jul"/>
          <s v="Aug"/>
          <s v="Sep"/>
          <s v="Oct"/>
          <s v="Nov"/>
          <s v="Dec"/>
          <s v="&gt;2025-10-01"/>
        </groupItems>
      </fieldGroup>
    </cacheField>
    <cacheField name="Trimestres (Finf2)" numFmtId="0" databaseField="0">
      <fieldGroup base="27">
        <rangePr groupBy="quarters" startDate="2024-12-31T00:00:00" endDate="2025-10-01T00:00:00"/>
        <groupItems count="6">
          <s v="&lt;2024-12-31"/>
          <s v="Trim.1"/>
          <s v="Trim.2"/>
          <s v="Trim.3"/>
          <s v="Trim.4"/>
          <s v="&gt;2025-10-01"/>
        </groupItems>
      </fieldGroup>
    </cacheField>
    <cacheField name="Años (Finf2)" numFmtId="0" databaseField="0">
      <fieldGroup base="27">
        <rangePr groupBy="years" startDate="2024-12-31T00:00:00" endDate="2025-10-01T00:00:00"/>
        <groupItems count="4">
          <s v="&lt;2024-12-31"/>
          <s v="2024"/>
          <s v="2025"/>
          <s v="&gt;2025-10-01"/>
        </groupItems>
      </fieldGroup>
    </cacheField>
    <cacheField name="Meses (FGer2)" numFmtId="0" databaseField="0">
      <fieldGroup base="28">
        <rangePr groupBy="months" startDate="2024-12-31T00:00:00" endDate="2025-10-01T00:00:00"/>
        <groupItems count="14">
          <s v="&lt;2024-12-31"/>
          <s v="Jan"/>
          <s v="Feb"/>
          <s v="Mar"/>
          <s v="Apr"/>
          <s v="May"/>
          <s v="Jun"/>
          <s v="Jul"/>
          <s v="Aug"/>
          <s v="Sep"/>
          <s v="Oct"/>
          <s v="Nov"/>
          <s v="Dec"/>
          <s v="&gt;2025-10-01"/>
        </groupItems>
      </fieldGroup>
    </cacheField>
    <cacheField name="Trimestres (FGer2)" numFmtId="0" databaseField="0">
      <fieldGroup base="28">
        <rangePr groupBy="quarters" startDate="2024-12-31T00:00:00" endDate="2025-10-01T00:00:00"/>
        <groupItems count="6">
          <s v="&lt;2024-12-31"/>
          <s v="Trim.1"/>
          <s v="Trim.2"/>
          <s v="Trim.3"/>
          <s v="Trim.4"/>
          <s v="&gt;2025-10-01"/>
        </groupItems>
      </fieldGroup>
    </cacheField>
    <cacheField name="Años (FGer2)" numFmtId="0" databaseField="0">
      <fieldGroup base="28">
        <rangePr groupBy="years" startDate="2024-12-31T00:00:00" endDate="2025-10-01T00:00:00"/>
        <groupItems count="4">
          <s v="&lt;2024-12-31"/>
          <s v="2024"/>
          <s v="2025"/>
          <s v="&gt;2025-10-01"/>
        </groupItems>
      </fieldGroup>
    </cacheField>
    <cacheField name="Meses (fEspecial)" numFmtId="0" databaseField="0">
      <fieldGroup base="31">
        <rangePr groupBy="months" startDate="1899-12-30T00:00:00" endDate="2025-10-01T00:00:00"/>
        <groupItems count="14">
          <s v="&lt;1900-01-00"/>
          <s v="Jan"/>
          <s v="Feb"/>
          <s v="Mar"/>
          <s v="Apr"/>
          <s v="May"/>
          <s v="Jun"/>
          <s v="Jul"/>
          <s v="Aug"/>
          <s v="Sep"/>
          <s v="Oct"/>
          <s v="Nov"/>
          <s v="Dec"/>
          <s v="&gt;2025-10-01"/>
        </groupItems>
      </fieldGroup>
    </cacheField>
    <cacheField name="Trimestres (fEspecial)" numFmtId="0" databaseField="0">
      <fieldGroup base="31">
        <rangePr groupBy="quarters" startDate="1899-12-30T00:00:00" endDate="2025-10-01T00:00:00"/>
        <groupItems count="6">
          <s v="&lt;1900-01-00"/>
          <s v="Trim.1"/>
          <s v="Trim.2"/>
          <s v="Trim.3"/>
          <s v="Trim.4"/>
          <s v="&gt;2025-10-01"/>
        </groupItems>
      </fieldGroup>
    </cacheField>
    <cacheField name="Años (fEspecial)" numFmtId="0" databaseField="0">
      <fieldGroup base="31">
        <rangePr groupBy="years" startDate="1899-12-30T00:00:00" endDate="2025-10-01T00:00:00"/>
        <groupItems count="128">
          <s v="&lt;1900-01-00"/>
          <s v="1900"/>
          <s v="1901"/>
          <s v="1902"/>
          <s v="1903"/>
          <s v="1904"/>
          <s v="1905"/>
          <s v="1906"/>
          <s v="1907"/>
          <s v="1908"/>
          <s v="1909"/>
          <s v="1910"/>
          <s v="1911"/>
          <s v="1912"/>
          <s v="1913"/>
          <s v="1914"/>
          <s v="1915"/>
          <s v="1916"/>
          <s v="1917"/>
          <s v="1918"/>
          <s v="1919"/>
          <s v="1920"/>
          <s v="1921"/>
          <s v="1922"/>
          <s v="1923"/>
          <s v="1924"/>
          <s v="1925"/>
          <s v="1926"/>
          <s v="1927"/>
          <s v="1928"/>
          <s v="1929"/>
          <s v="1930"/>
          <s v="1931"/>
          <s v="1932"/>
          <s v="1933"/>
          <s v="1934"/>
          <s v="1935"/>
          <s v="1936"/>
          <s v="1937"/>
          <s v="1938"/>
          <s v="1939"/>
          <s v="1940"/>
          <s v="1941"/>
          <s v="1942"/>
          <s v="1943"/>
          <s v="1944"/>
          <s v="1945"/>
          <s v="1946"/>
          <s v="1947"/>
          <s v="1948"/>
          <s v="1949"/>
          <s v="1950"/>
          <s v="1951"/>
          <s v="1952"/>
          <s v="1953"/>
          <s v="1954"/>
          <s v="1955"/>
          <s v="1956"/>
          <s v="1957"/>
          <s v="1958"/>
          <s v="1959"/>
          <s v="1960"/>
          <s v="1961"/>
          <s v="1962"/>
          <s v="1963"/>
          <s v="1964"/>
          <s v="1965"/>
          <s v="1966"/>
          <s v="1967"/>
          <s v="1968"/>
          <s v="1969"/>
          <s v="1970"/>
          <s v="1971"/>
          <s v="1972"/>
          <s v="1973"/>
          <s v="1974"/>
          <s v="1975"/>
          <s v="1976"/>
          <s v="1977"/>
          <s v="1978"/>
          <s v="1979"/>
          <s v="1980"/>
          <s v="1981"/>
          <s v="1982"/>
          <s v="1983"/>
          <s v="1984"/>
          <s v="1985"/>
          <s v="1986"/>
          <s v="1987"/>
          <s v="1988"/>
          <s v="1989"/>
          <s v="1990"/>
          <s v="1991"/>
          <s v="1992"/>
          <s v="1993"/>
          <s v="1994"/>
          <s v="1995"/>
          <s v="1996"/>
          <s v="1997"/>
          <s v="1998"/>
          <s v="1999"/>
          <s v="2000"/>
          <s v="2001"/>
          <s v="2002"/>
          <s v="2003"/>
          <s v="2004"/>
          <s v="2005"/>
          <s v="2006"/>
          <s v="2007"/>
          <s v="2008"/>
          <s v="2009"/>
          <s v="2010"/>
          <s v="2011"/>
          <s v="2012"/>
          <s v="2013"/>
          <s v="2014"/>
          <s v="2015"/>
          <s v="2016"/>
          <s v="2017"/>
          <s v="2018"/>
          <s v="2019"/>
          <s v="2020"/>
          <s v="2021"/>
          <s v="2022"/>
          <s v="2023"/>
          <s v="2024"/>
          <s v="2025"/>
          <s v="&gt;2025-10-01"/>
        </groupItems>
      </fieldGroup>
    </cacheField>
  </cacheFields>
  <extLst>
    <ext xmlns:x14="http://schemas.microsoft.com/office/spreadsheetml/2009/9/main" uri="{725AE2AE-9491-48be-B2B4-4EB974FC3084}">
      <x14:pivotCacheDefinition pivotCacheId="1590167252"/>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16">
  <r>
    <x v="0"/>
    <x v="0"/>
    <s v="(275) PROCESO  ** Cambios para grabar presupuestos pintura en SAP, reporte y validaciones"/>
    <n v="247828"/>
    <s v="DOUGLAS ALEJANDRO MALDONADO DUMAS"/>
    <n v="30"/>
    <s v="40-DESARROLLO"/>
    <n v="3233"/>
    <x v="0"/>
    <s v="x"/>
    <m/>
    <m/>
    <m/>
    <m/>
    <m/>
    <n v="1"/>
    <n v="1"/>
    <n v="1"/>
    <n v="1"/>
    <m/>
    <m/>
    <d v="2025-01-01T00:00:00"/>
    <d v="1899-12-31T00:00:00"/>
    <x v="0"/>
    <x v="0"/>
    <m/>
    <s v="&lt;p&gt;PROCESO  ** Cambios para grabar presupuestos pintura en SAP, reporte y validaciones&lt;/p&gt;"/>
    <x v="0"/>
    <x v="0"/>
  </r>
  <r>
    <x v="1"/>
    <x v="1"/>
    <s v="(278) BI  ** Configuración de puerta de enlace para Power BI para Douglas Maldonado"/>
    <n v="247828"/>
    <s v="DOUGLAS ALEJANDRO MALDONADO DUMAS"/>
    <n v="30"/>
    <s v="40-DESARROLLO"/>
    <n v="3233"/>
    <x v="0"/>
    <s v="x"/>
    <b v="1"/>
    <m/>
    <m/>
    <m/>
    <m/>
    <n v="1"/>
    <n v="1"/>
    <n v="3"/>
    <n v="3"/>
    <m/>
    <m/>
    <d v="2025-01-01T00:00:00"/>
    <d v="1899-12-31T00:00:00"/>
    <x v="1"/>
    <x v="1"/>
    <m/>
    <s v="&lt;p&gt;BI  ** Configuración de puerta de enlace para Power BI para Douglas Maldonado&lt;/p&gt;"/>
    <x v="0"/>
    <x v="0"/>
  </r>
  <r>
    <x v="2"/>
    <x v="2"/>
    <s v="(280) SOPORTE Soporte y Capacitación de plantilla con Framework REACT/C Sharp para implementarlo en el sistema de SCONWEB del Departamento de Servicio Técnico"/>
    <n v="247541"/>
    <s v="ALEJANDRO ALBERTO GARCIA ARRECIS"/>
    <n v="28"/>
    <s v="20-ASIGNADO"/>
    <n v="3198"/>
    <x v="1"/>
    <s v="x"/>
    <m/>
    <m/>
    <m/>
    <m/>
    <m/>
    <n v="3"/>
    <n v="3"/>
    <n v="3"/>
    <n v="3"/>
    <m/>
    <m/>
    <d v="2025-01-01T00:00:00"/>
    <d v="1899-12-31T00:00:00"/>
    <x v="2"/>
    <x v="2"/>
    <m/>
    <s v="&lt;p&gt;SOPORTE Soporte y Capacitación de plantilla con Framework REACT/C Sharp para implementarlo en el sistema de SCONWEB del Departamento de Servicio Técnico&lt;/p&gt;"/>
    <x v="1"/>
    <x v="1"/>
  </r>
  <r>
    <x v="3"/>
    <x v="3"/>
    <s v="(281) PROCESO ** Implementación de Contabilidad NIIF"/>
    <n v="247795"/>
    <s v="SANDRA JUDITH LOARCA HERNANDEZ de PEREZ"/>
    <n v="28"/>
    <s v="20-ASIGNADO"/>
    <n v="3233"/>
    <x v="0"/>
    <s v="x"/>
    <m/>
    <m/>
    <m/>
    <m/>
    <m/>
    <n v="1"/>
    <n v="1"/>
    <n v="1"/>
    <n v="1"/>
    <m/>
    <m/>
    <d v="2025-01-01T00:00:00"/>
    <d v="1899-12-31T00:00:00"/>
    <x v="2"/>
    <x v="2"/>
    <m/>
    <s v="&lt;p&gt;PROCESO ** Implementación de Contabilidad NIIF&lt;/p&gt;"/>
    <x v="1"/>
    <x v="1"/>
  </r>
  <r>
    <x v="4"/>
    <x v="4"/>
    <s v="(282) MEJORAS  ** Mejoras al proceso de órdenes de entrega para sótano deben agregarse los campos indicados por Douglas Montoya"/>
    <n v="247556"/>
    <s v="DOUGLAS MONTOYA MONTAVES"/>
    <n v="28"/>
    <s v="20-ASIGNADO"/>
    <n v="3233"/>
    <x v="0"/>
    <s v="x"/>
    <m/>
    <m/>
    <m/>
    <m/>
    <m/>
    <n v="1"/>
    <n v="1"/>
    <n v="3"/>
    <n v="3"/>
    <m/>
    <m/>
    <d v="2025-01-01T00:00:00"/>
    <d v="1899-12-31T00:00:00"/>
    <x v="3"/>
    <x v="1"/>
    <m/>
    <s v="&lt;p&gt;MEJORAS  ** Mejoras al proceso de órdenes de entrega para sótano deben agregarse los campos indicados por Douglas Montoya&lt;/p&gt;"/>
    <x v="2"/>
    <x v="2"/>
  </r>
  <r>
    <x v="5"/>
    <x v="5"/>
    <s v="(283) CARGA DE DATOS ** Clasificación de clientes para carga masiva de SAP solicitada por Rene Cotto"/>
    <n v="247857"/>
    <s v="ARNALDO RENE COTTO STREMS"/>
    <n v="28"/>
    <s v="20-ASIGNADO"/>
    <m/>
    <x v="2"/>
    <s v="x"/>
    <m/>
    <m/>
    <m/>
    <m/>
    <m/>
    <n v="1"/>
    <n v="1"/>
    <n v="2"/>
    <n v="2"/>
    <m/>
    <m/>
    <d v="2025-01-01T00:00:00"/>
    <d v="1899-12-31T00:00:00"/>
    <x v="0"/>
    <x v="0"/>
    <m/>
    <s v="&lt;p&gt;CARGA DE DATOS ** Clasificación de clientes para carga masiva de SAP solicitada por Rene Cotto&lt;/p&gt;&lt;p&gt;PENDIENTE ASIGNAR LUIS GONZALEZ&lt;/p&gt;"/>
    <x v="0"/>
    <x v="0"/>
  </r>
  <r>
    <x v="6"/>
    <x v="6"/>
    <s v="(284) PROCESO ** Actualizacion de tablas de catálogos de SAP de acuerdo con 24 puntos que contiene el archivo enviado a Marisol Recinos"/>
    <n v="247885"/>
    <s v="AMABILIA MARISOL RECINOS ARGUETA"/>
    <n v="28"/>
    <s v="20-ASIGNADO"/>
    <n v="3233"/>
    <x v="0"/>
    <s v="x"/>
    <m/>
    <m/>
    <m/>
    <m/>
    <m/>
    <n v="1"/>
    <n v="1"/>
    <n v="1"/>
    <n v="1"/>
    <m/>
    <m/>
    <d v="2025-01-01T00:00:00"/>
    <d v="1899-12-31T00:00:00"/>
    <x v="4"/>
    <x v="3"/>
    <m/>
    <s v="&lt;p&gt;PROCESO ** Actualizacion de tablas de catálogos de SAP de acuerdo con 24 puntos que contiene el archivo enviado a Marisol Recinos&lt;/p&gt;"/>
    <x v="3"/>
    <x v="3"/>
  </r>
  <r>
    <x v="7"/>
    <x v="7"/>
    <s v="(285) PROCESO ** Cubo para analisis de personal activo y retirado, para realizar un kpi de rotación de personal"/>
    <n v="247277"/>
    <s v="JOSE ROBERTO AGUIRRE CANELLA"/>
    <n v="21"/>
    <s v="60-CERTIFICADO"/>
    <n v="3233"/>
    <x v="0"/>
    <s v="x"/>
    <m/>
    <m/>
    <m/>
    <m/>
    <m/>
    <n v="1"/>
    <n v="1"/>
    <n v="1"/>
    <n v="1"/>
    <m/>
    <m/>
    <d v="2025-01-01T00:00:00"/>
    <d v="1899-12-31T00:00:00"/>
    <x v="0"/>
    <x v="0"/>
    <m/>
    <s v="&lt;p&gt;PROCESO ** Cubo para analisis de personal activo y retirado, para realizar un kpi de rotación de personal&lt;/p&gt;"/>
    <x v="0"/>
    <x v="0"/>
  </r>
  <r>
    <x v="8"/>
    <x v="8"/>
    <s v="(286) PROCESO ** Seguimiento a Cuadtratica para Vesa"/>
    <n v="247795"/>
    <s v="SANDRA JUDITH LOARCA HERNANDEZ de PEREZ"/>
    <n v="28"/>
    <s v="20-ASIGNADO"/>
    <m/>
    <x v="2"/>
    <s v="x"/>
    <m/>
    <m/>
    <m/>
    <m/>
    <m/>
    <n v="2"/>
    <n v="2"/>
    <n v="2"/>
    <n v="2"/>
    <m/>
    <m/>
    <d v="2025-01-01T00:00:00"/>
    <d v="1899-12-31T00:00:00"/>
    <x v="3"/>
    <x v="1"/>
    <m/>
    <s v="&lt;p&gt;PROCESO ** Seguimiento a Cuadtratica para Vesa&lt;/p&gt;&lt;p&gt;PENDIENTE DE ASIGNAR LUIS GONZALEZ&lt;/p&gt;"/>
    <x v="2"/>
    <x v="2"/>
  </r>
  <r>
    <x v="9"/>
    <x v="9"/>
    <s v="(287) MEJORAS  ** Procesos de anulación en medios de pago SAP"/>
    <n v="289004"/>
    <s v="DOUGLAS MONTOYA MONTAVES"/>
    <n v="28"/>
    <s v="20-ASIGNADO"/>
    <m/>
    <x v="2"/>
    <s v="x"/>
    <m/>
    <m/>
    <m/>
    <m/>
    <m/>
    <n v="2"/>
    <n v="2"/>
    <n v="2"/>
    <n v="2"/>
    <m/>
    <m/>
    <d v="2025-01-01T00:00:00"/>
    <d v="1899-12-31T00:00:00"/>
    <x v="3"/>
    <x v="1"/>
    <m/>
    <s v="&lt;p&gt;MEJORAS  ** Procesos de anulación en medios de pago SAP&lt;/p&gt;&lt;p&gt;PENDIENTE DE ASIGNAR LUIS GONZALEZ&lt;/p&gt;"/>
    <x v="2"/>
    <x v="2"/>
  </r>
  <r>
    <x v="10"/>
    <x v="10"/>
    <s v="(288) REPORTE ** Se debe integrar al reporte de corte de caja generado en SAP los datos del resumen que los cajeros manejan en un archivo Excel. Además, se deben agregar parámetros que permitan almacenar en la base de datos la información de las boletas de depósito realizadas por los cajeros al final del día, junto con los comentarios adjuntos."/>
    <n v="289006"/>
    <s v="SULY DANIELA CHUN SANTOS de RIVERA"/>
    <n v="22"/>
    <s v="50-IMPLEMENTACION"/>
    <n v="195"/>
    <x v="3"/>
    <s v="x"/>
    <b v="1"/>
    <m/>
    <m/>
    <m/>
    <m/>
    <n v="1"/>
    <n v="1"/>
    <n v="1"/>
    <n v="1"/>
    <m/>
    <m/>
    <d v="2025-01-01T00:00:00"/>
    <d v="1899-12-31T00:00:00"/>
    <x v="0"/>
    <x v="2"/>
    <m/>
    <s v="&lt;p&gt;REPORTE ** Se debe integrar al reporte de corte de caja generado en SAP los datos del resumen que los cajeros manejan en un archivo Excel. Además, se deben agregar parámetros que permitan almacenar en la base de datos la información de las boletas de depósito realizadas por los cajeros al final del día, junto con los comentarios adjuntos.&lt;/p&gt;"/>
    <x v="0"/>
    <x v="0"/>
  </r>
  <r>
    <x v="11"/>
    <x v="11"/>
    <s v="(289) MEJORAS ** Implementacion de Combos en GrafiPronto"/>
    <n v="247729"/>
    <s v="OLGA MARIA DE LA CRUZ VALLADARES GUILLEN de OVALLE"/>
    <n v="28"/>
    <s v="20-ASIGNADO"/>
    <m/>
    <x v="2"/>
    <s v="x"/>
    <m/>
    <m/>
    <m/>
    <m/>
    <m/>
    <n v="3"/>
    <n v="3"/>
    <n v="3"/>
    <n v="3"/>
    <m/>
    <m/>
    <d v="2025-01-01T00:00:00"/>
    <d v="1899-12-31T00:00:00"/>
    <x v="2"/>
    <x v="2"/>
    <m/>
    <s v="&lt;p&gt;MEJORAS ** Implementacion de Combos en GrafiPronto&lt;/p&gt;&lt;p&gt;PENDIENTE DE ASIGNAR LUIS GONZALEZ&lt;/p&gt;"/>
    <x v="1"/>
    <x v="1"/>
  </r>
  <r>
    <x v="12"/>
    <x v="12"/>
    <s v="(291) PROCESO ** Estandarización de las instancias SAP MAQUIPOS Y VESA"/>
    <n v="247393"/>
    <s v="MIGUEL EDUARDO PEREZ LOPEZ"/>
    <n v="28"/>
    <s v="20-ASIGNADO"/>
    <m/>
    <x v="2"/>
    <s v="x"/>
    <m/>
    <m/>
    <m/>
    <m/>
    <m/>
    <n v="3"/>
    <n v="3"/>
    <n v="3"/>
    <n v="3"/>
    <m/>
    <m/>
    <d v="2025-01-01T00:00:00"/>
    <d v="1899-12-31T00:00:00"/>
    <x v="5"/>
    <x v="4"/>
    <m/>
    <s v="&lt;p&gt;PROCESO ** Estandarización de las instancias SAP MAQUIPOS Y VESA&lt;/p&gt;&lt;p&gt;PENDIENTE DE ASIGNAR LUIS GONZALEZ&lt;/p&gt;"/>
    <x v="3"/>
    <x v="3"/>
  </r>
  <r>
    <x v="13"/>
    <x v="13"/>
    <s v="(293) PROCESO ** Seguimiento a Cuadtratica para Canella ** "/>
    <n v="247795"/>
    <s v="SANDRA JUDITH LOARCA HERNANDEZ de PEREZ"/>
    <n v="28"/>
    <s v="20-ASIGNADO"/>
    <m/>
    <x v="2"/>
    <s v="x"/>
    <m/>
    <m/>
    <m/>
    <m/>
    <m/>
    <n v="2"/>
    <n v="2"/>
    <n v="2"/>
    <n v="2"/>
    <m/>
    <m/>
    <d v="2025-01-01T00:00:00"/>
    <d v="1899-12-31T00:00:00"/>
    <x v="2"/>
    <x v="5"/>
    <m/>
    <s v="&lt;p&gt;PROCESO ** Seguimiento a Cuadtratica para Canella&lt;/p&gt;&lt;p&gt;PENNDIENTE DE ASIGNAR LUIS GONZALEZ&lt;/p&gt;"/>
    <x v="1"/>
    <x v="1"/>
  </r>
  <r>
    <x v="14"/>
    <x v="14"/>
    <s v="(294) PROCESO ** Implementación del Sistema de Inventario en tránsito VESA Y MAQUIPOS"/>
    <n v="247795"/>
    <s v="SANDRA JUDITH LOARCA HERNANDEZ de PEREZ"/>
    <n v="28"/>
    <s v="20-ASIGNADO"/>
    <m/>
    <x v="2"/>
    <s v="x"/>
    <m/>
    <m/>
    <m/>
    <m/>
    <m/>
    <n v="1"/>
    <n v="1"/>
    <n v="2"/>
    <n v="2"/>
    <m/>
    <m/>
    <d v="2025-01-01T00:00:00"/>
    <d v="1899-12-31T00:00:00"/>
    <x v="5"/>
    <x v="6"/>
    <m/>
    <s v="&lt;p&gt;PROCESO ** Implementación del Sistema de Inventario en tránsito VESA Y MAQUIPOS&lt;/p&gt;&lt;p&gt;PENDIENTE DE ASIGNAR LUIS GONNZALEZ&lt;/p&gt;"/>
    <x v="3"/>
    <x v="3"/>
  </r>
  <r>
    <x v="15"/>
    <x v="15"/>
    <s v="(300) REPORTE ** Se solicita agregar a nuevo personal al reporte, además de que se presenta el inconveniente ya que no aparecen ciertos mecánicos dentro de los registros. El usuario comenta lo siguiente: &quot;Me falta Kevin Raul España, Bryan Erickson Gomez Hernandez, y Anferny Antonio Lopez para que por favor sean agregados en ambos reportes"/>
    <n v="293171"/>
    <s v="GABRIEL EFRAIN MELENDEZ MARROQUIN"/>
    <n v="21"/>
    <s v="60-CERTIFICADO"/>
    <n v="195"/>
    <x v="3"/>
    <s v="x"/>
    <b v="1"/>
    <m/>
    <m/>
    <m/>
    <m/>
    <n v="1"/>
    <n v="1"/>
    <n v="2"/>
    <n v="2"/>
    <m/>
    <m/>
    <d v="2025-01-01T00:00:00"/>
    <d v="1899-12-31T00:00:00"/>
    <x v="6"/>
    <x v="7"/>
    <m/>
    <s v="&lt;p&gt;REPORTE ** Se solicita agregar a nuevo personal al reporte, además de que se presenta el inconveniente ya que no aparecen ciertos mecánicos dentro de los registros. El usuario comenta lo siguiente: &quot;Me falta Kevin Raul España, Bryan Erickson Gomez Hernandez, y Anferny Antonio Lopez para que por favor sean agregados en ambos reportes&lt;/p&gt;"/>
    <x v="1"/>
    <x v="1"/>
  </r>
  <r>
    <x v="16"/>
    <x v="16"/>
    <s v="(305) PROCESO ** Implementación de RPA para confirmación de boletas de deposito"/>
    <n v="247795"/>
    <s v="SANDRA JUDITH LOARCA HERNANDEZ de PEREZ"/>
    <n v="28"/>
    <s v="20-ASIGNADO"/>
    <n v="195"/>
    <x v="3"/>
    <s v="x"/>
    <m/>
    <m/>
    <m/>
    <m/>
    <m/>
    <n v="1"/>
    <n v="1"/>
    <n v="1"/>
    <n v="1"/>
    <m/>
    <m/>
    <d v="2025-01-01T00:00:00"/>
    <d v="1899-12-31T00:00:00"/>
    <x v="6"/>
    <x v="8"/>
    <m/>
    <s v="&lt;p&gt;PROCESO ** Implementación de RPA para confirmación de boletas de deposito&lt;/p&gt;&lt;p&gt;&lt;br&gt;&lt;/p&gt;"/>
    <x v="1"/>
    <x v="1"/>
  </r>
  <r>
    <x v="17"/>
    <x v="17"/>
    <s v="(309) PROCESO  ** Implementación del Sistema de PinPads para el manejo de Cajas en Facturación Fase 1"/>
    <n v="247795"/>
    <s v="SANDRA JUDITH LOARCA HERNANDEZ de PEREZ"/>
    <n v="21"/>
    <s v="60-CERTIFICADO"/>
    <m/>
    <x v="2"/>
    <s v="x"/>
    <m/>
    <m/>
    <m/>
    <m/>
    <m/>
    <n v="1"/>
    <n v="1"/>
    <n v="1"/>
    <n v="1"/>
    <m/>
    <m/>
    <d v="2025-01-01T00:00:00"/>
    <d v="1899-12-31T00:00:00"/>
    <x v="0"/>
    <x v="0"/>
    <m/>
    <s v="&lt;p&gt;PROCESO  ** Implementación del Sistema de PinPads para el manejo de Cajas en Facturación Fase 1&lt;/p&gt;&lt;p&gt;PENDIENTE DE ASIGNAR MARVIN VARGAS&lt;/p&gt;"/>
    <x v="0"/>
    <x v="0"/>
  </r>
  <r>
    <x v="18"/>
    <x v="18"/>
    <s v="(312) PROCESO ** Conexión a SAP para  consultas de CQM Yamaha"/>
    <n v="247807"/>
    <s v="EDUARDO JACOBO ARA GÓMEZ"/>
    <n v="28"/>
    <s v="20-ASIGNADO"/>
    <m/>
    <x v="2"/>
    <s v="x"/>
    <b v="1"/>
    <m/>
    <m/>
    <m/>
    <m/>
    <n v="2"/>
    <n v="2"/>
    <n v="2"/>
    <n v="2"/>
    <m/>
    <m/>
    <d v="2025-01-01T00:00:00"/>
    <d v="1899-12-31T00:00:00"/>
    <x v="0"/>
    <x v="6"/>
    <m/>
    <s v="&lt;p&gt;PROCESO ** Conexión a SAP para  consultas de CQM Yamaha&lt;/p&gt;&lt;p&gt;PENDIENTE DE ASIGNAR MARVIN VARGAS&lt;/p&gt;"/>
    <x v="0"/>
    <x v="0"/>
  </r>
  <r>
    <x v="19"/>
    <x v="19"/>
    <s v="(313) Información sobre la data del FEIC distribuidores para que se ingresen en un sitio web"/>
    <m/>
    <m/>
    <n v="28"/>
    <s v="20-ASIGNADO"/>
    <n v="3199"/>
    <x v="4"/>
    <s v="x"/>
    <m/>
    <m/>
    <m/>
    <m/>
    <m/>
    <n v="1"/>
    <n v="1"/>
    <n v="1"/>
    <n v="1"/>
    <m/>
    <m/>
    <d v="2025-01-01T00:00:00"/>
    <d v="1899-12-31T00:00:00"/>
    <x v="7"/>
    <x v="8"/>
    <m/>
    <m/>
    <x v="2"/>
    <x v="2"/>
  </r>
  <r>
    <x v="20"/>
    <x v="20"/>
    <s v="(314) PROCESO ** Tiendas en línea Motul-Interstate - Ipone, desarrollo de webservices con SAP"/>
    <n v="247857"/>
    <s v="ARNALDO RENE COTTO STREMS"/>
    <n v="28"/>
    <s v="20-ASIGNADO"/>
    <m/>
    <x v="2"/>
    <s v="x"/>
    <m/>
    <m/>
    <m/>
    <m/>
    <m/>
    <n v="2"/>
    <n v="2"/>
    <n v="2"/>
    <n v="2"/>
    <m/>
    <m/>
    <d v="2025-01-01T00:00:00"/>
    <d v="1899-12-31T00:00:00"/>
    <x v="8"/>
    <x v="7"/>
    <m/>
    <s v="&lt;p&gt;PROCESO ** Tiendas en línea Motul-Interstate - Ipone, desarrollo de webservices con SAP&lt;/p&gt;&lt;p&gt;PENDIENTE DE ASIGNAR MARVINN VARGAS&lt;/p&gt;"/>
    <x v="2"/>
    <x v="2"/>
  </r>
  <r>
    <x v="21"/>
    <x v="21"/>
    <s v="(315) PROCESO ** Modificación al reporte de la IVE y el nombre del reporte IVE-INF-05, Carlos Rosales hizo los ultimos ajustes por la auditoria de la IVE.  Luis enviara un correo detallando los ajustes a realizar"/>
    <n v="247651"/>
    <s v="LUIS FERNANDO BARRIOS MATIAS"/>
    <n v="21"/>
    <s v="60-CERTIFICADO"/>
    <n v="3199"/>
    <x v="4"/>
    <s v="x"/>
    <m/>
    <m/>
    <m/>
    <m/>
    <m/>
    <n v="1"/>
    <n v="1"/>
    <n v="3"/>
    <n v="3"/>
    <m/>
    <m/>
    <d v="2025-01-01T00:00:00"/>
    <d v="1899-12-31T00:00:00"/>
    <x v="3"/>
    <x v="7"/>
    <m/>
    <s v="&lt;p&gt;PROCESO ** Modificación al reporte de la IVE y el nombre del reporte IVE-INF-05, Carlos Rosales hizo los ultimos ajustes por la auditoria de la IVE.  Luis enviara un correo detallando los ajustes a realizar&lt;/p&gt;"/>
    <x v="2"/>
    <x v="2"/>
  </r>
  <r>
    <x v="22"/>
    <x v="22"/>
    <s v="(316) PROCESO ** Conexión a página web de distribuidores Canon y tienda en línea para interfaces con SAP"/>
    <n v="247770"/>
    <s v="JORGE LUIS MURALLES PAPPA"/>
    <n v="28"/>
    <s v="20-ASIGNADO"/>
    <m/>
    <x v="2"/>
    <s v="x"/>
    <m/>
    <m/>
    <m/>
    <m/>
    <m/>
    <n v="2"/>
    <n v="2"/>
    <n v="2"/>
    <n v="2"/>
    <m/>
    <m/>
    <d v="2025-01-01T00:00:00"/>
    <d v="1899-12-31T00:00:00"/>
    <x v="8"/>
    <x v="7"/>
    <m/>
    <s v="&lt;p&gt;PROCESO ** Conexión a página web de distribuidores Canon y tienda en línea para interfaces con SAP&lt;/p&gt;&lt;p&gt;PENDIENTE DE ASIGNAR MARVIN VARGAS&lt;/p&gt;"/>
    <x v="2"/>
    <x v="2"/>
  </r>
  <r>
    <x v="23"/>
    <x v="23"/>
    <s v="(318) PROCESO ** Seguimiento al proceso cotización de equipos y respuetos de Maquinaria, realizar webservices con SAP"/>
    <n v="247068"/>
    <s v="YESVI AVIGAIL ELIAS ORIZABAL"/>
    <n v="28"/>
    <s v="20-ASIGNADO"/>
    <m/>
    <x v="2"/>
    <s v="x"/>
    <m/>
    <m/>
    <m/>
    <m/>
    <m/>
    <n v="2"/>
    <n v="2"/>
    <n v="2"/>
    <n v="2"/>
    <m/>
    <m/>
    <d v="2025-01-02T00:00:00"/>
    <d v="1899-12-31T00:00:00"/>
    <x v="9"/>
    <x v="9"/>
    <m/>
    <s v="&lt;p&gt;PROCESO ** Seguimiento al proceso cotización de equipos y respuetos de Maquinaria, realizar webservices con SAP&lt;/p&gt;&lt;p&gt;PENDIENTE DE ASIGNAR MARVIN VARGAS&lt;/p&gt;"/>
    <x v="2"/>
    <x v="2"/>
  </r>
  <r>
    <x v="24"/>
    <x v="24"/>
    <s v="(320) MEJORAS ** 2da fase de tablero de atención al clientes para cajas del departamento de Repuestos"/>
    <n v="247556"/>
    <s v="DOUGLAS MONTOYA MONTAVES"/>
    <n v="28"/>
    <s v="20-ASIGNADO"/>
    <m/>
    <x v="2"/>
    <s v="x"/>
    <m/>
    <m/>
    <m/>
    <m/>
    <m/>
    <n v="3"/>
    <n v="3"/>
    <n v="3"/>
    <n v="3"/>
    <m/>
    <m/>
    <d v="2025-01-01T00:00:00"/>
    <d v="1899-12-31T00:00:00"/>
    <x v="5"/>
    <x v="4"/>
    <m/>
    <s v="&lt;p&gt;MEJORAS ** 2da fase de tablero de atención al clientes para cajas del departamento de Repuestos&lt;/p&gt;&lt;p&gt;PENDIENTE DE ASIGNAR MARVIN VARGAS&lt;/p&gt;"/>
    <x v="3"/>
    <x v="3"/>
  </r>
  <r>
    <x v="25"/>
    <x v="25"/>
    <s v="(322) CONSULTA EN SISTEMA DE PEDIDOS DISTRIBUIDORES - KRAS ** Consulta de estados de cuenta por el cliente en la web. Desde la página de pedidos del distribuidor se podrá accesar a la página de estados de cuenta"/>
    <n v="247857"/>
    <s v="ARNALDO RENE COTTO STREMS"/>
    <n v="28"/>
    <s v="20-ASIGNADO"/>
    <m/>
    <x v="2"/>
    <s v="x"/>
    <m/>
    <m/>
    <m/>
    <m/>
    <m/>
    <n v="3"/>
    <n v="3"/>
    <n v="1"/>
    <n v="1"/>
    <m/>
    <m/>
    <d v="2025-01-01T00:00:00"/>
    <d v="1899-12-31T00:00:00"/>
    <x v="5"/>
    <x v="4"/>
    <m/>
    <s v="&lt;p&gt;CONSULTA EN SISTEMA DE PEDIDOS DISTRIBUIDORES - KRAS ** Consulta de estados de cuenta por el cliente en la web. Desde la página de pedidos del distribuidor se podrá accesar a la página de estados de cuenta&lt;/p&gt;&lt;p&gt;PENDIENTE DE ASIGNAR MARVIN VARGAS&lt;/p&gt;"/>
    <x v="3"/>
    <x v="3"/>
  </r>
  <r>
    <x v="26"/>
    <x v="26"/>
    <s v="(323) PROCESO ** KPIS de rendimiento para personal de créditos y cobros"/>
    <n v="247722"/>
    <s v="RICARDO ALFONSO ESCOBEDO DACARET"/>
    <n v="28"/>
    <s v="20-ASIGNADO"/>
    <n v="2767"/>
    <x v="5"/>
    <s v="x"/>
    <m/>
    <m/>
    <m/>
    <m/>
    <m/>
    <n v="1"/>
    <n v="1"/>
    <n v="3"/>
    <n v="3"/>
    <m/>
    <m/>
    <d v="2025-01-01T00:00:00"/>
    <d v="1899-12-31T00:00:00"/>
    <x v="2"/>
    <x v="5"/>
    <m/>
    <s v="&lt;p&gt;PROCESO ** KPIS de rendimiento para personal de créditos y cobros&lt;/p&gt;"/>
    <x v="1"/>
    <x v="1"/>
  </r>
  <r>
    <x v="27"/>
    <x v="27"/>
    <s v="(324) PROCESO ** Seguimiento al proceso de entrega y preparación de vehículos, realizar webservices con SAP"/>
    <n v="247374"/>
    <s v="LUIS PEDRO LOPEZ RODAS"/>
    <n v="28"/>
    <s v="20-ASIGNADO"/>
    <m/>
    <x v="2"/>
    <s v="x"/>
    <m/>
    <m/>
    <m/>
    <m/>
    <m/>
    <n v="2"/>
    <n v="2"/>
    <n v="2"/>
    <n v="2"/>
    <m/>
    <m/>
    <d v="2025-01-01T00:00:00"/>
    <d v="1899-12-31T00:00:00"/>
    <x v="2"/>
    <x v="6"/>
    <m/>
    <s v="&lt;p&gt;PROCESO ** Seguimiento al proceso de entrega y preparación de vehículos, realizar webservices con SAP&lt;/p&gt;&lt;p&gt;PENDIENTE DE ASIGNAR MARVIN VARGAS&lt;/p&gt;"/>
    <x v="1"/>
    <x v="1"/>
  </r>
  <r>
    <x v="28"/>
    <x v="28"/>
    <s v="(326) PROCESO ** Conexión a SAP para retroalimentación de etapas de reparación de un vehículo"/>
    <n v="247828"/>
    <s v="DOUGLAS ALEJANDRO MALDONADO DUMAS"/>
    <n v="28"/>
    <s v="20-ASIGNADO"/>
    <m/>
    <x v="2"/>
    <s v="x"/>
    <m/>
    <m/>
    <m/>
    <m/>
    <m/>
    <n v="2"/>
    <n v="2"/>
    <n v="2"/>
    <n v="2"/>
    <m/>
    <m/>
    <d v="2025-01-01T00:00:00"/>
    <d v="1899-12-31T00:00:00"/>
    <x v="2"/>
    <x v="4"/>
    <m/>
    <s v="&lt;p&gt;PROCESO ** Conexión a SAP para retroalimentación de etapas de reparación de un vehículo&lt;/p&gt;&lt;p&gt;PENDIENTE DE ASIGNAR MARVIN VARGAS&lt;/p&gt;"/>
    <x v="1"/>
    <x v="1"/>
  </r>
  <r>
    <x v="29"/>
    <x v="29"/>
    <s v="(331) WMS  ** Implementación de WMS en Elisur. Las otras bodegas serán tickets adicionales (Bodega zona4, Taller Automotriz, Bodega Hyundai)"/>
    <n v="289092"/>
    <s v="CESAR ORLANDO MARTINEZ ABAL"/>
    <n v="21"/>
    <s v="60-CERTIFICADO"/>
    <n v="3203"/>
    <x v="6"/>
    <s v="x"/>
    <b v="1"/>
    <m/>
    <m/>
    <m/>
    <m/>
    <n v="1"/>
    <n v="1"/>
    <n v="1"/>
    <n v="1"/>
    <m/>
    <m/>
    <d v="2025-01-01T00:00:00"/>
    <d v="1899-12-31T00:00:00"/>
    <x v="0"/>
    <x v="4"/>
    <m/>
    <s v="&lt;p&gt;WMS  ** Implementación de WMS en Elisur. Las otras bodegas serán tickets adicionales (Bodega zona4, Taller Automotriz, Bodega Hyundai)&lt;/p&gt;"/>
    <x v="0"/>
    <x v="0"/>
  </r>
  <r>
    <x v="30"/>
    <x v="30"/>
    <s v="(337) ENSAMBLE DE MOTOS   - KRAS ** Implementación del Módulo de Ensamble de Motocicletas en Elizur Fase 1"/>
    <n v="289092"/>
    <s v="CESAR ORLANDO MARTINEZ ABAL"/>
    <n v="21"/>
    <s v="60-CERTIFICADO"/>
    <n v="3203"/>
    <x v="6"/>
    <s v="x"/>
    <b v="1"/>
    <m/>
    <m/>
    <m/>
    <m/>
    <n v="1"/>
    <n v="1"/>
    <n v="1"/>
    <n v="1"/>
    <m/>
    <m/>
    <d v="2025-01-01T00:00:00"/>
    <d v="1899-12-31T00:00:00"/>
    <x v="10"/>
    <x v="10"/>
    <m/>
    <s v="&lt;p&gt;ENSAMBLE DE MOTOS   - KRAS ** Implementación del Módulo de Ensamble de Motocicletas en Elizur Fase 1&lt;/p&gt;"/>
    <x v="0"/>
    <x v="0"/>
  </r>
  <r>
    <x v="31"/>
    <x v="31"/>
    <s v="(341) PROCESO ** Implementación de EVOLUTION sistema de RRHH"/>
    <n v="247904"/>
    <s v="MIRNA LISSETTE ARRECIS ROSALES"/>
    <n v="28"/>
    <s v="20-ASIGNADO"/>
    <n v="312"/>
    <x v="7"/>
    <s v="x"/>
    <m/>
    <m/>
    <m/>
    <m/>
    <m/>
    <n v="1"/>
    <n v="1"/>
    <n v="1"/>
    <n v="1"/>
    <m/>
    <m/>
    <d v="2025-01-01T00:00:00"/>
    <d v="1899-12-31T00:00:00"/>
    <x v="11"/>
    <x v="11"/>
    <m/>
    <s v="&lt;p&gt;PROCESO ** Implementación de EVOLUTION sistema de RRHH&lt;/p&gt;"/>
    <x v="4"/>
    <x v="4"/>
  </r>
  <r>
    <x v="32"/>
    <x v="32"/>
    <s v="(343) PROCESO ** Implementación de SAP 10 para la Empresa Canella"/>
    <n v="247885"/>
    <s v="AMABILIA MARISOL RECINOS ARGUETA"/>
    <n v="28"/>
    <s v="20-ASIGNADO"/>
    <n v="312"/>
    <x v="7"/>
    <s v="x"/>
    <m/>
    <m/>
    <m/>
    <m/>
    <m/>
    <n v="1"/>
    <n v="1"/>
    <n v="1"/>
    <n v="1"/>
    <m/>
    <m/>
    <d v="2025-01-01T00:00:00"/>
    <d v="1899-12-31T00:00:00"/>
    <x v="12"/>
    <x v="12"/>
    <m/>
    <s v="&lt;p&gt;PROCESO ** Implementación de SAP 10 para la Empresa Canella&lt;/p&gt;"/>
    <x v="3"/>
    <x v="3"/>
  </r>
  <r>
    <x v="33"/>
    <x v="33"/>
    <s v="(345) PROCESO ** Seguimiento al Sistema SAP para mejorar la estabilidad, bloqueos y mejoras en redimiento. Identificar procesos clave y hacer un plan de trabajo"/>
    <n v="247885"/>
    <s v="AMABILIA MARISOL RECINOS ARGUETA"/>
    <n v="28"/>
    <s v="20-ASIGNADO"/>
    <n v="312"/>
    <x v="7"/>
    <s v="x"/>
    <m/>
    <m/>
    <m/>
    <m/>
    <m/>
    <n v="1"/>
    <n v="1"/>
    <n v="1"/>
    <n v="1"/>
    <m/>
    <m/>
    <d v="2025-01-01T00:00:00"/>
    <d v="1899-12-31T00:00:00"/>
    <x v="12"/>
    <x v="13"/>
    <m/>
    <s v="&lt;p&gt;PROCESO ** Seguimiento al Sistema SAP para mejorar la estabilidad, bloqueos y mejoras en redimiento. Identificar procesos clave y hacer un plan de trabajo&lt;/p&gt;"/>
    <x v="3"/>
    <x v="3"/>
  </r>
  <r>
    <x v="34"/>
    <x v="34"/>
    <s v="(346) PANTALLA  ** Creación de pantalla para cambiar códigos de artículos que tengan pase en el contrato, debido que a la hora de despachar no cuentan con el artículo.  "/>
    <n v="247828"/>
    <s v="DOUGLAS ALEJANDRO MALDONADO DUMAS"/>
    <n v="21"/>
    <s v="60-CERTIFICADO"/>
    <n v="3234"/>
    <x v="8"/>
    <s v="x"/>
    <m/>
    <m/>
    <m/>
    <m/>
    <m/>
    <n v="1"/>
    <n v="1"/>
    <n v="1"/>
    <n v="1"/>
    <m/>
    <m/>
    <d v="2025-01-01T00:00:00"/>
    <d v="1899-12-31T00:00:00"/>
    <x v="0"/>
    <x v="0"/>
    <m/>
    <s v="&lt;p&gt;PANTALLA  ** Creación de pantalla para cambiar códigos de artículos que tengan pase en el contrato, debido que a la hora de despachar no cuentan con el artículo.  &lt;/p&gt;"/>
    <x v="0"/>
    <x v="0"/>
  </r>
  <r>
    <x v="35"/>
    <x v="35"/>
    <s v="(347) MODULO DE COMISIONES ** Creación de modulo de comisiones con las indicaciones de Auditoría y Gerencia"/>
    <n v="247857"/>
    <s v="ARNALDO RENE COTTO STREMS"/>
    <n v="28"/>
    <s v="20-ASIGNADO"/>
    <n v="3234"/>
    <x v="8"/>
    <s v="x"/>
    <m/>
    <m/>
    <m/>
    <m/>
    <m/>
    <n v="3"/>
    <n v="3"/>
    <n v="1"/>
    <n v="1"/>
    <m/>
    <m/>
    <d v="2025-01-01T00:00:00"/>
    <d v="1899-12-31T00:00:00"/>
    <x v="3"/>
    <x v="4"/>
    <m/>
    <s v="&lt;p&gt;MODULO DE COMISIONES ** Creación de modulo de comisiones con las indicaciones de Auditoría y Gerencia&lt;/p&gt;"/>
    <x v="2"/>
    <x v="2"/>
  </r>
  <r>
    <x v="36"/>
    <x v="36"/>
    <s v="(348) PROCESO ** Necesitamos realizar un desarrollo en SAP, practicamente es que cuando un cliente con facturas en mora se ponga al día, el sistema lo desbloquee en automático sin la intervención de Créditos. Edward Garcia fue el solicitante"/>
    <n v="247722"/>
    <s v="RICARDO ALFONSO ESCOBEDO DACARET"/>
    <n v="21"/>
    <s v="60-CERTIFICADO"/>
    <n v="3234"/>
    <x v="8"/>
    <s v="x"/>
    <m/>
    <m/>
    <m/>
    <m/>
    <m/>
    <n v="1"/>
    <n v="1"/>
    <n v="1"/>
    <n v="1"/>
    <m/>
    <m/>
    <d v="2025-01-01T00:00:00"/>
    <d v="1899-12-31T00:00:00"/>
    <x v="0"/>
    <x v="0"/>
    <m/>
    <s v="&lt;p&gt;PROCESO ** Necesitamos realizar un desarrollo en SAP, practicamente es que cuando un cliente con facturas en mora se ponga al día, el sistema lo desbloquee en automático sin la intervención de Créditos. Edward Garcia fue el solicitante&lt;/p&gt;"/>
    <x v="0"/>
    <x v="0"/>
  </r>
  <r>
    <x v="37"/>
    <x v="37"/>
    <s v="(349) PROCESO  ** Implementación tarifario de mano de obra Isuzu (Esto está detenido por Douglas porque necesita un reporte de líneas de vehículo de José Roberto para depurar las líneas en SAP)"/>
    <n v="247828"/>
    <s v="DOUGLAS ALEJANDRO MALDONADO DUMAS"/>
    <n v="28"/>
    <s v="20-ASIGNADO"/>
    <n v="3234"/>
    <x v="8"/>
    <s v="x"/>
    <m/>
    <m/>
    <m/>
    <m/>
    <m/>
    <n v="3"/>
    <n v="3"/>
    <n v="3"/>
    <n v="3"/>
    <m/>
    <m/>
    <d v="2025-01-01T00:00:00"/>
    <d v="1899-12-31T00:00:00"/>
    <x v="6"/>
    <x v="7"/>
    <m/>
    <s v="&lt;p&gt;PROCESO  ** Implementación tarifario de mano de obra Isuzu (Esto está detenido por Douglas porque necesita un reporte de líneas de vehículo de José Roberto para depurar las líneas en SAP)&lt;/p&gt;"/>
    <x v="1"/>
    <x v="1"/>
  </r>
  <r>
    <x v="38"/>
    <x v="38"/>
    <s v="(350) REPORTE ** Realizar un reporte de Inventario con las columnas indicadas por Rene Cotto"/>
    <n v="247857"/>
    <s v="ARNALDO RENE COTTO STREMS"/>
    <n v="28"/>
    <s v="20-ASIGNADO"/>
    <n v="3234"/>
    <x v="8"/>
    <s v="x"/>
    <m/>
    <m/>
    <m/>
    <m/>
    <m/>
    <n v="1"/>
    <n v="1"/>
    <n v="1"/>
    <n v="1"/>
    <m/>
    <m/>
    <d v="2025-01-01T00:00:00"/>
    <d v="1899-12-31T00:00:00"/>
    <x v="8"/>
    <x v="14"/>
    <m/>
    <s v="&lt;p&gt;REPORTE ** Realizar un reporte de Inventario con las columnas indicadas por Rene Cotto&lt;/p&gt;"/>
    <x v="2"/>
    <x v="2"/>
  </r>
  <r>
    <x v="39"/>
    <x v="39"/>
    <s v="(351) PROCESO  ** Cambio de códigos de mano de obra en el módulo de contratos de mantenimiento para salir en vivo con el tarifario de mano de obra isuzu (en espera de listado de códigos de parte de Douglas)."/>
    <n v="247828"/>
    <s v="DOUGLAS ALEJANDRO MALDONADO DUMAS"/>
    <n v="28"/>
    <s v="20-ASIGNADO"/>
    <n v="3234"/>
    <x v="8"/>
    <s v="x"/>
    <m/>
    <m/>
    <m/>
    <m/>
    <m/>
    <n v="3"/>
    <n v="3"/>
    <n v="1"/>
    <n v="1"/>
    <m/>
    <m/>
    <d v="2025-01-01T00:00:00"/>
    <d v="1899-12-31T00:00:00"/>
    <x v="3"/>
    <x v="8"/>
    <m/>
    <s v="&lt;p&gt;PROCESO  ** Cambio de códigos de mano de obra en el módulo de contratos de mantenimiento para salir en vivo con el tarifario de mano de obra isuzu (en espera de listado de códigos de parte de Douglas).&lt;/p&gt;"/>
    <x v="2"/>
    <x v="2"/>
  </r>
  <r>
    <x v="40"/>
    <x v="40"/>
    <s v="(367) Mejoras al sistema SQM y STOD en la parte de registro de Leas y Cotizaciones para que no exista doble digitación"/>
    <n v="247605"/>
    <s v="MANUEL RAMIRO LOPEZ PIEDRASANTA"/>
    <n v="29"/>
    <s v="10-COLA"/>
    <m/>
    <x v="2"/>
    <s v="x"/>
    <m/>
    <m/>
    <m/>
    <m/>
    <m/>
    <n v="2"/>
    <n v="2"/>
    <n v="2"/>
    <n v="2"/>
    <m/>
    <m/>
    <d v="2025-01-28T00:00:00"/>
    <d v="1899-12-31T00:00:00"/>
    <x v="3"/>
    <x v="15"/>
    <m/>
    <s v="&lt;p&gt;Mejoras al sistema SQM y STOD en la parte de registro de Leas y Cotizaciones para que no exista doble digitación&lt;/p&gt;"/>
    <x v="2"/>
    <x v="2"/>
  </r>
  <r>
    <x v="41"/>
    <x v="41"/>
    <s v="(368) Cerrar todas las ordenes abiertas de la División Soluciones de Oficina hasta el 30 de septiembre de 2024"/>
    <n v="247888"/>
    <s v="JUAN MANUEL SOTO GUTIERREZ"/>
    <n v="22"/>
    <s v="50-IMPLEMENTACION"/>
    <n v="3233"/>
    <x v="0"/>
    <s v="x"/>
    <m/>
    <m/>
    <m/>
    <m/>
    <m/>
    <n v="1"/>
    <n v="1"/>
    <n v="1"/>
    <n v="1"/>
    <m/>
    <m/>
    <d v="2024-12-27T00:00:00"/>
    <d v="1899-12-31T00:00:00"/>
    <x v="13"/>
    <x v="16"/>
    <m/>
    <s v="&lt;p&gt;Cerrar todas las ordenes abiertas de la División Soluciones de Oficina hasta el 30 de septiembre de 2024,&lt;/p&gt;&lt;p&gt;En conjunto con Marvin Vargas se cerraron automáticamente las OC&lt;/p&gt;"/>
    <x v="2"/>
    <x v="2"/>
  </r>
  <r>
    <x v="42"/>
    <x v="42"/>
    <s v="(372) Se da soporte al proceso de confirmación de boletas en el caso donde se confirmo una boleta con banco incorrecto y en donde el detalle de montos"/>
    <n v="289036"/>
    <s v="MADELYN SUSANA BRAN OLIVAREZ"/>
    <n v="29"/>
    <s v="10-COLA"/>
    <n v="195"/>
    <x v="3"/>
    <s v="x"/>
    <b v="1"/>
    <m/>
    <m/>
    <m/>
    <m/>
    <m/>
    <m/>
    <n v="1"/>
    <n v="1"/>
    <m/>
    <m/>
    <d v="2025-01-16T00:00:00"/>
    <d v="1899-12-31T00:00:00"/>
    <x v="14"/>
    <x v="17"/>
    <m/>
    <m/>
    <x v="0"/>
    <x v="0"/>
  </r>
  <r>
    <x v="43"/>
    <x v="43"/>
    <s v="(NT) Test 01 (CN006)"/>
    <m/>
    <m/>
    <n v="29"/>
    <s v="10-COLA"/>
    <n v="252"/>
    <x v="9"/>
    <s v="x"/>
    <m/>
    <n v="1"/>
    <s v="API"/>
    <m/>
    <m/>
    <m/>
    <m/>
    <m/>
    <m/>
    <m/>
    <m/>
    <m/>
    <m/>
    <x v="15"/>
    <x v="18"/>
    <m/>
    <m/>
    <x v="5"/>
    <x v="5"/>
  </r>
  <r>
    <x v="44"/>
    <x v="43"/>
    <s v="(NT) Test Williams Galván"/>
    <n v="247047"/>
    <s v="JULIO RENE PAIZ ANDRADE"/>
    <n v="29"/>
    <s v="10-COLA"/>
    <n v="312"/>
    <x v="7"/>
    <s v="x"/>
    <b v="1"/>
    <m/>
    <m/>
    <m/>
    <m/>
    <m/>
    <m/>
    <m/>
    <m/>
    <m/>
    <m/>
    <m/>
    <m/>
    <x v="15"/>
    <x v="18"/>
    <m/>
    <m/>
    <x v="5"/>
    <x v="5"/>
  </r>
  <r>
    <x v="45"/>
    <x v="44"/>
    <s v="ACTUALIZACION ESTADOS DE CUENTA DE BANCOS (CN006)"/>
    <m/>
    <m/>
    <n v="29"/>
    <s v="10-COLA"/>
    <n v="3202"/>
    <x v="10"/>
    <s v="x"/>
    <m/>
    <m/>
    <m/>
    <m/>
    <m/>
    <n v="3"/>
    <n v="3"/>
    <n v="1"/>
    <n v="1"/>
    <m/>
    <m/>
    <d v="2025-01-01T00:00:00"/>
    <d v="1899-12-31T00:00:00"/>
    <x v="16"/>
    <x v="4"/>
    <m/>
    <m/>
    <x v="1"/>
    <x v="1"/>
  </r>
  <r>
    <x v="46"/>
    <x v="45"/>
    <s v="Actualización Masiva de Asientos Contables (CN006)"/>
    <n v="247002"/>
    <s v="AMI PAOLA YOC LOPEZ"/>
    <n v="21"/>
    <s v="60-CERTIFICADO"/>
    <n v="3202"/>
    <x v="10"/>
    <s v="x"/>
    <b v="1"/>
    <m/>
    <m/>
    <m/>
    <m/>
    <n v="1"/>
    <n v="1"/>
    <n v="2"/>
    <n v="2"/>
    <m/>
    <m/>
    <d v="2025-01-20T00:00:00"/>
    <d v="1899-12-31T00:00:00"/>
    <x v="10"/>
    <x v="19"/>
    <d v="2025-03-01T00:00:00"/>
    <m/>
    <x v="0"/>
    <x v="0"/>
  </r>
  <r>
    <x v="47"/>
    <x v="46"/>
    <s v="Actualizar campos de usuario que indicará el estado del documento en la orden de compra. (CN006)"/>
    <n v="247002"/>
    <s v="AMI PAOLA YOC LOPEZ"/>
    <n v="22"/>
    <s v="50-IMPLEMENTACION"/>
    <n v="3202"/>
    <x v="10"/>
    <s v="x"/>
    <m/>
    <m/>
    <m/>
    <m/>
    <m/>
    <n v="1"/>
    <n v="1"/>
    <n v="1"/>
    <n v="1"/>
    <m/>
    <m/>
    <d v="2025-01-01T00:00:00"/>
    <d v="1899-12-31T00:00:00"/>
    <x v="17"/>
    <x v="0"/>
    <m/>
    <m/>
    <x v="2"/>
    <x v="2"/>
  </r>
  <r>
    <x v="48"/>
    <x v="43"/>
    <s v="Ajuste de reporte de STOD MOVIL"/>
    <n v="247857"/>
    <s v="ARNALDO RENE COTTO STREMS"/>
    <n v="29"/>
    <s v="10-COLA"/>
    <n v="252"/>
    <x v="9"/>
    <s v="x"/>
    <b v="1"/>
    <n v="3"/>
    <s v="REPORTE"/>
    <n v="2"/>
    <s v="MEDIA"/>
    <n v="2"/>
    <n v="2"/>
    <n v="2"/>
    <n v="2"/>
    <n v="1"/>
    <s v="PEQUEÑO"/>
    <d v="2025-02-11T00:00:00"/>
    <d v="2025-02-17T00:00:00"/>
    <x v="15"/>
    <x v="18"/>
    <m/>
    <m/>
    <x v="5"/>
    <x v="5"/>
  </r>
  <r>
    <x v="49"/>
    <x v="47"/>
    <s v="Ajustes a los libros fiscales en todos los SAP (CN006)"/>
    <m/>
    <m/>
    <n v="29"/>
    <s v="10-COLA"/>
    <n v="3202"/>
    <x v="10"/>
    <s v="x"/>
    <m/>
    <m/>
    <m/>
    <m/>
    <m/>
    <n v="3"/>
    <n v="3"/>
    <n v="3"/>
    <n v="3"/>
    <m/>
    <m/>
    <d v="2025-01-01T00:00:00"/>
    <d v="1899-12-31T00:00:00"/>
    <x v="2"/>
    <x v="6"/>
    <m/>
    <m/>
    <x v="1"/>
    <x v="1"/>
  </r>
  <r>
    <x v="50"/>
    <x v="43"/>
    <s v="Ajustes al reporte - REP - TableroDistribuicion Z13 - Entregas Pendientes (Caja)"/>
    <n v="289006"/>
    <s v="SULY DANIELA CHUN SANTOS de RIVERA"/>
    <n v="30"/>
    <s v="40-DESARROLLO"/>
    <n v="3202"/>
    <x v="10"/>
    <s v="x"/>
    <b v="1"/>
    <n v="4"/>
    <s v="SOPORTE/CAPACITACION"/>
    <n v="1"/>
    <s v="BAJA"/>
    <n v="2"/>
    <n v="2"/>
    <n v="2"/>
    <n v="2"/>
    <n v="1"/>
    <s v="PEQUEÑO"/>
    <d v="2025-02-06T00:00:00"/>
    <d v="2025-02-13T00:00:00"/>
    <x v="3"/>
    <x v="1"/>
    <m/>
    <m/>
    <x v="2"/>
    <x v="2"/>
  </r>
  <r>
    <x v="51"/>
    <x v="48"/>
    <s v="Ajustes de sistema estados de cuentas (CN006)"/>
    <m/>
    <m/>
    <n v="27"/>
    <s v="30-ANALISIS"/>
    <n v="3200"/>
    <x v="11"/>
    <s v="x"/>
    <m/>
    <m/>
    <m/>
    <m/>
    <m/>
    <n v="1"/>
    <n v="1"/>
    <n v="2"/>
    <n v="2"/>
    <m/>
    <m/>
    <d v="2025-01-01T00:00:00"/>
    <d v="1899-12-31T00:00:00"/>
    <x v="9"/>
    <x v="9"/>
    <m/>
    <s v="&lt;p&gt;Se necesita enviar un correo por el cual se avisara a los socios de negocio de distribución Yamaha que tiene un portal en el cual pueden ingresar para ver su estado de cuentas.&lt;/p&gt;"/>
    <x v="2"/>
    <x v="2"/>
  </r>
  <r>
    <x v="52"/>
    <x v="43"/>
    <s v="Autorización de facturas de Proveedores externos"/>
    <n v="247791"/>
    <s v="ASTRID VICTORIA PEÑA DIEGUEZ"/>
    <n v="29"/>
    <s v="10-COLA"/>
    <n v="3201"/>
    <x v="12"/>
    <s v="x"/>
    <m/>
    <n v="2"/>
    <s v="PROCESO"/>
    <n v="2"/>
    <s v="MEDIA"/>
    <n v="2"/>
    <n v="2"/>
    <n v="2"/>
    <n v="2"/>
    <n v="2"/>
    <s v="MEDIANO"/>
    <d v="2025-02-01T00:00:00"/>
    <m/>
    <x v="15"/>
    <x v="18"/>
    <m/>
    <m/>
    <x v="5"/>
    <x v="5"/>
  </r>
  <r>
    <x v="53"/>
    <x v="49"/>
    <s v="Consultas para reconciliaciones operados en Banco Industrial (CN006)"/>
    <n v="247795"/>
    <s v="SANDRA JUDITH LOARCA HERNANDEZ de PEREZ"/>
    <n v="21"/>
    <s v="60-CERTIFICADO"/>
    <n v="3202"/>
    <x v="10"/>
    <s v="x"/>
    <m/>
    <m/>
    <m/>
    <m/>
    <m/>
    <n v="1"/>
    <n v="1"/>
    <n v="3"/>
    <n v="3"/>
    <m/>
    <m/>
    <d v="2025-01-01T00:00:00"/>
    <d v="1899-12-31T00:00:00"/>
    <x v="8"/>
    <x v="6"/>
    <d v="2025-02-04T00:00:00"/>
    <m/>
    <x v="2"/>
    <x v="2"/>
  </r>
  <r>
    <x v="54"/>
    <x v="50"/>
    <s v="Corrección y Mejoras en el FEIC (CN006)"/>
    <n v="247651"/>
    <s v="LUIS FERNANDO BARRIOS MATIAS"/>
    <n v="28"/>
    <s v="20-ASIGNADO"/>
    <n v="3199"/>
    <x v="4"/>
    <s v="x"/>
    <m/>
    <m/>
    <m/>
    <m/>
    <m/>
    <n v="2"/>
    <n v="2"/>
    <n v="2"/>
    <n v="2"/>
    <m/>
    <m/>
    <d v="2025-01-22T00:00:00"/>
    <d v="1899-12-31T00:00:00"/>
    <x v="18"/>
    <x v="20"/>
    <m/>
    <s v="&lt;p&gt;Corrección en la gramática de diferentes vistas del FEIC, junto con mejoras en los selectores y validaciones. Estas incluyen la implementación de reglas para evitar que los campos queden vacíos, asegurando así que no se interrumpa el proceso de guardado del formulario del FEIC.&lt;/p&gt;"/>
    <x v="2"/>
    <x v="2"/>
  </r>
  <r>
    <x v="55"/>
    <x v="51"/>
    <s v="Creditos y Cobros Fase 2 - Cobro a domiciliario"/>
    <m/>
    <m/>
    <n v="22"/>
    <s v="50-IMPLEMENTACION"/>
    <n v="2767"/>
    <x v="5"/>
    <s v="x"/>
    <m/>
    <m/>
    <m/>
    <m/>
    <m/>
    <n v="1"/>
    <n v="1"/>
    <n v="1"/>
    <n v="1"/>
    <m/>
    <m/>
    <d v="2025-01-01T00:00:00"/>
    <d v="1899-12-31T00:00:00"/>
    <x v="0"/>
    <x v="0"/>
    <m/>
    <s v="&lt;p&gt; ** PROCESO Implementación del sistema de cobro de calle en ODOO. Luis Polanco fue el solicitante **  ** &lt;/p&gt;"/>
    <x v="0"/>
    <x v="0"/>
  </r>
  <r>
    <x v="56"/>
    <x v="52"/>
    <s v="Cubos de BI sobre plataforma de Ucontact para análisis de datos (CN006)"/>
    <m/>
    <m/>
    <n v="29"/>
    <s v="10-COLA"/>
    <n v="3201"/>
    <x v="12"/>
    <s v="x"/>
    <m/>
    <m/>
    <m/>
    <m/>
    <m/>
    <n v="2"/>
    <n v="2"/>
    <n v="2"/>
    <n v="2"/>
    <m/>
    <m/>
    <d v="2025-01-01T00:00:00"/>
    <d v="1899-12-31T00:00:00"/>
    <x v="8"/>
    <x v="7"/>
    <m/>
    <m/>
    <x v="2"/>
    <x v="2"/>
  </r>
  <r>
    <x v="57"/>
    <x v="53"/>
    <s v="Digitalización y clasificación de DUCAS e IPrimas (CN006)"/>
    <n v="246895"/>
    <s v="CARLOS JOSE REMBERTO CONTRERAS FLORIAN"/>
    <n v="29"/>
    <s v="10-COLA"/>
    <n v="3201"/>
    <x v="12"/>
    <s v="x"/>
    <m/>
    <m/>
    <m/>
    <m/>
    <m/>
    <n v="1"/>
    <n v="1"/>
    <n v="2"/>
    <n v="2"/>
    <m/>
    <m/>
    <d v="2025-02-10T00:00:00"/>
    <d v="1899-12-31T00:00:00"/>
    <x v="19"/>
    <x v="21"/>
    <m/>
    <m/>
    <x v="1"/>
    <x v="1"/>
  </r>
  <r>
    <x v="58"/>
    <x v="43"/>
    <s v="Implementación de Sistema de Contraseñas de Proveedores Locales (copia)"/>
    <n v="254970"/>
    <s v="ROSA SOFIA PIRIR FERNANDEZ de SANCHEZ"/>
    <n v="21"/>
    <s v="60-CERTIFICADO"/>
    <n v="3204"/>
    <x v="13"/>
    <s v="x"/>
    <m/>
    <n v="4"/>
    <s v="SOPORTE/CAPACITACION"/>
    <n v="2"/>
    <s v="MEDIA"/>
    <n v="2"/>
    <n v="2"/>
    <n v="2"/>
    <n v="2"/>
    <n v="1"/>
    <s v="PEQUEÑO"/>
    <d v="2025-02-05T00:00:00"/>
    <d v="2025-02-05T00:00:00"/>
    <x v="15"/>
    <x v="18"/>
    <m/>
    <m/>
    <x v="5"/>
    <x v="5"/>
  </r>
  <r>
    <x v="59"/>
    <x v="54"/>
    <s v="MEJORAS Ajustes a eSFA para que se muestre la trazabilidad de tiempo de atención de visitas al cliente (CN006)"/>
    <m/>
    <m/>
    <n v="29"/>
    <s v="10-COLA"/>
    <n v="3204"/>
    <x v="13"/>
    <s v="x"/>
    <m/>
    <m/>
    <m/>
    <m/>
    <m/>
    <n v="1"/>
    <n v="1"/>
    <n v="1"/>
    <n v="1"/>
    <m/>
    <m/>
    <d v="2025-01-01T00:00:00"/>
    <d v="1899-12-31T00:00:00"/>
    <x v="3"/>
    <x v="1"/>
    <m/>
    <m/>
    <x v="2"/>
    <x v="2"/>
  </r>
  <r>
    <x v="60"/>
    <x v="55"/>
    <s v="Mejora interface API SCON WEB (CN006)"/>
    <m/>
    <m/>
    <n v="29"/>
    <s v="10-COLA"/>
    <n v="3198"/>
    <x v="1"/>
    <s v="x"/>
    <m/>
    <m/>
    <m/>
    <m/>
    <m/>
    <n v="1"/>
    <n v="1"/>
    <n v="3"/>
    <n v="3"/>
    <m/>
    <m/>
    <d v="2025-01-01T00:00:00"/>
    <d v="1899-12-31T00:00:00"/>
    <x v="3"/>
    <x v="1"/>
    <m/>
    <m/>
    <x v="2"/>
    <x v="2"/>
  </r>
  <r>
    <x v="61"/>
    <x v="56"/>
    <s v="Obtención de Entrada de Mercancía y generación de factura (CN006)"/>
    <n v="247795"/>
    <s v="SANDRA JUDITH LOARCA HERNANDEZ de PEREZ"/>
    <n v="28"/>
    <s v="20-ASIGNADO"/>
    <n v="3201"/>
    <x v="12"/>
    <s v="x"/>
    <m/>
    <m/>
    <m/>
    <m/>
    <m/>
    <n v="1"/>
    <n v="1"/>
    <n v="1"/>
    <n v="1"/>
    <m/>
    <m/>
    <d v="2025-01-01T00:00:00"/>
    <d v="1899-12-31T00:00:00"/>
    <x v="0"/>
    <x v="0"/>
    <m/>
    <s v="&lt;p&gt; ** Obtención de Entrada de Mercancía, notificación automática a Proveedor para envío y validación de documentos, API para generación de factura desde SAP **  ** &lt;/p&gt;"/>
    <x v="0"/>
    <x v="0"/>
  </r>
  <r>
    <x v="62"/>
    <x v="57"/>
    <s v="PROCESO Automatización de carga extracto bancario de las cuentas BANRURAL para la empresa CANELLA - MT940(CN006)"/>
    <m/>
    <m/>
    <n v="30"/>
    <s v="40-DESARROLLO"/>
    <n v="3204"/>
    <x v="13"/>
    <s v="x"/>
    <m/>
    <m/>
    <m/>
    <m/>
    <m/>
    <n v="1"/>
    <n v="1"/>
    <n v="3"/>
    <n v="3"/>
    <m/>
    <m/>
    <d v="2025-01-01T00:00:00"/>
    <d v="1899-12-31T00:00:00"/>
    <x v="3"/>
    <x v="7"/>
    <m/>
    <m/>
    <x v="2"/>
    <x v="2"/>
  </r>
  <r>
    <x v="63"/>
    <x v="58"/>
    <s v="PROCESO Mejoras en los tiempos de impresión de facturas y certificación con Guatefacturas(CN006)"/>
    <m/>
    <m/>
    <n v="29"/>
    <s v="10-COLA"/>
    <n v="3204"/>
    <x v="13"/>
    <s v="x"/>
    <m/>
    <m/>
    <m/>
    <m/>
    <m/>
    <n v="1"/>
    <n v="1"/>
    <n v="3"/>
    <n v="3"/>
    <m/>
    <m/>
    <d v="2025-01-01T00:00:00"/>
    <d v="1899-12-31T00:00:00"/>
    <x v="2"/>
    <x v="2"/>
    <m/>
    <m/>
    <x v="1"/>
    <x v="1"/>
  </r>
  <r>
    <x v="64"/>
    <x v="59"/>
    <s v="PROCESO Plantilla para grabar extensiones e ISR(CN006)"/>
    <n v="246933"/>
    <s v="EDWARD ANTONY GARCIA ALVARADO"/>
    <n v="28"/>
    <s v="20-ASIGNADO"/>
    <n v="2767"/>
    <x v="5"/>
    <s v="x"/>
    <m/>
    <m/>
    <m/>
    <m/>
    <m/>
    <n v="1"/>
    <n v="1"/>
    <n v="2"/>
    <n v="2"/>
    <m/>
    <m/>
    <d v="2025-01-01T00:00:00"/>
    <d v="1899-12-31T00:00:00"/>
    <x v="2"/>
    <x v="2"/>
    <m/>
    <m/>
    <x v="1"/>
    <x v="1"/>
  </r>
  <r>
    <x v="65"/>
    <x v="60"/>
    <s v="PROCESO Robot que confirma boletas y valida duplicidad para Créditos y Cobros.  Edward Garcia fue el solicitante"/>
    <n v="247722"/>
    <s v="RICARDO ALFONSO ESCOBEDO DACARET"/>
    <n v="21"/>
    <s v="60-CERTIFICADO"/>
    <n v="195"/>
    <x v="3"/>
    <s v="x"/>
    <m/>
    <m/>
    <m/>
    <m/>
    <m/>
    <n v="1"/>
    <n v="1"/>
    <n v="2"/>
    <n v="2"/>
    <m/>
    <m/>
    <d v="2025-01-01T00:00:00"/>
    <d v="1899-12-31T00:00:00"/>
    <x v="0"/>
    <x v="0"/>
    <m/>
    <m/>
    <x v="0"/>
    <x v="0"/>
  </r>
  <r>
    <x v="66"/>
    <x v="43"/>
    <s v="Pagos por anticipo ( medios de pago)."/>
    <n v="247884"/>
    <s v="ANA CAROLINA PALACIOS GONZALEZ de MENENDEZ"/>
    <n v="22"/>
    <s v="50-IMPLEMENTACION"/>
    <n v="3204"/>
    <x v="13"/>
    <s v="x"/>
    <m/>
    <n v="3"/>
    <s v="REPORTE"/>
    <m/>
    <m/>
    <m/>
    <m/>
    <m/>
    <m/>
    <m/>
    <m/>
    <d v="2025-02-13T00:00:00"/>
    <d v="2025-02-13T00:00:00"/>
    <x v="20"/>
    <x v="22"/>
    <d v="2025-02-13T00:00:00"/>
    <m/>
    <x v="2"/>
    <x v="2"/>
  </r>
  <r>
    <x v="67"/>
    <x v="61"/>
    <s v="Proceso para cargas masivas de medios de pago (CN006)"/>
    <m/>
    <m/>
    <n v="29"/>
    <s v="10-COLA"/>
    <n v="3202"/>
    <x v="10"/>
    <s v="x"/>
    <m/>
    <m/>
    <m/>
    <m/>
    <m/>
    <n v="3"/>
    <n v="3"/>
    <n v="1"/>
    <n v="1"/>
    <m/>
    <m/>
    <d v="2025-01-01T00:00:00"/>
    <d v="1899-12-31T00:00:00"/>
    <x v="3"/>
    <x v="7"/>
    <m/>
    <m/>
    <x v="2"/>
    <x v="2"/>
  </r>
  <r>
    <x v="68"/>
    <x v="62"/>
    <s v="RPA Mr Credit - Envío de facturas (CN006)"/>
    <m/>
    <m/>
    <n v="21"/>
    <s v="60-CERTIFICADO"/>
    <n v="195"/>
    <x v="3"/>
    <s v="x"/>
    <b v="1"/>
    <m/>
    <m/>
    <m/>
    <m/>
    <m/>
    <m/>
    <n v="1"/>
    <n v="1"/>
    <m/>
    <m/>
    <d v="2025-01-01T00:00:00"/>
    <d v="1899-12-31T00:00:00"/>
    <x v="21"/>
    <x v="17"/>
    <m/>
    <m/>
    <x v="0"/>
    <x v="0"/>
  </r>
  <r>
    <x v="69"/>
    <x v="43"/>
    <s v="Reporte compras para Auditoria"/>
    <n v="247647"/>
    <s v="EMILIA LETICIA DIAZ MAZARIEGOS"/>
    <n v="22"/>
    <s v="50-IMPLEMENTACION"/>
    <n v="3233"/>
    <x v="0"/>
    <s v="x"/>
    <b v="1"/>
    <n v="3"/>
    <s v="REPORTE"/>
    <n v="2"/>
    <s v="MEDIA"/>
    <n v="1"/>
    <n v="1"/>
    <n v="1"/>
    <n v="1"/>
    <n v="2"/>
    <s v="MEDIANO"/>
    <d v="2025-02-10T00:00:00"/>
    <d v="2025-02-11T00:00:00"/>
    <x v="22"/>
    <x v="18"/>
    <m/>
    <s v="&lt;p&gt;Reporte de facturas de compras por servicios en SAP Canella, Maquipos y VESA, según modelo enviado.&lt;/p&gt;"/>
    <x v="2"/>
    <x v="2"/>
  </r>
  <r>
    <x v="70"/>
    <x v="43"/>
    <s v="Reporte de interfaces"/>
    <n v="289030"/>
    <s v="WILLIAMS GIOVANNI GALVAN ESTRADA"/>
    <n v="29"/>
    <s v="10-COLA"/>
    <n v="3198"/>
    <x v="1"/>
    <s v="x"/>
    <b v="1"/>
    <n v="3"/>
    <s v="REPORTE"/>
    <n v="1"/>
    <s v="BAJA"/>
    <n v="2"/>
    <n v="2"/>
    <n v="1"/>
    <n v="1"/>
    <n v="1"/>
    <s v="PEQUEÑO"/>
    <d v="2025-02-17T00:00:00"/>
    <d v="2025-02-17T00:00:00"/>
    <x v="23"/>
    <x v="18"/>
    <m/>
    <m/>
    <x v="2"/>
    <x v="2"/>
  </r>
  <r>
    <x v="71"/>
    <x v="63"/>
    <s v="Reporte de inventario Motul (CN006)"/>
    <n v="247857"/>
    <s v="ARNALDO RENE COTTO STREMS"/>
    <n v="21"/>
    <s v="60-CERTIFICADO"/>
    <n v="3198"/>
    <x v="1"/>
    <s v="x"/>
    <m/>
    <m/>
    <m/>
    <m/>
    <m/>
    <n v="1"/>
    <n v="1"/>
    <n v="2"/>
    <n v="2"/>
    <m/>
    <m/>
    <d v="2025-01-01T00:00:00"/>
    <d v="1899-12-31T00:00:00"/>
    <x v="0"/>
    <x v="0"/>
    <m/>
    <s v="&lt;p&gt; ** INDICADORES Consulta de ventas, KPI, clientes para utliizar en el celular **  ** &lt;/p&gt;"/>
    <x v="0"/>
    <x v="0"/>
  </r>
  <r>
    <x v="72"/>
    <x v="43"/>
    <s v="Reporte del detalle de usuario en entregas SAP (CN006)"/>
    <m/>
    <m/>
    <n v="21"/>
    <s v="60-CERTIFICADO"/>
    <n v="3198"/>
    <x v="1"/>
    <s v="x"/>
    <m/>
    <m/>
    <m/>
    <m/>
    <m/>
    <m/>
    <m/>
    <m/>
    <m/>
    <m/>
    <m/>
    <m/>
    <m/>
    <x v="15"/>
    <x v="18"/>
    <m/>
    <m/>
    <x v="5"/>
    <x v="5"/>
  </r>
  <r>
    <x v="73"/>
    <x v="64"/>
    <s v="Reporte facturas Admin Seguridad (CN006)"/>
    <m/>
    <m/>
    <n v="21"/>
    <s v="60-CERTIFICADO"/>
    <n v="3201"/>
    <x v="12"/>
    <s v="x"/>
    <b v="1"/>
    <m/>
    <m/>
    <m/>
    <m/>
    <n v="1"/>
    <n v="1"/>
    <n v="1"/>
    <n v="1"/>
    <m/>
    <m/>
    <d v="2025-01-20T00:00:00"/>
    <d v="1899-12-31T00:00:00"/>
    <x v="0"/>
    <x v="0"/>
    <m/>
    <m/>
    <x v="0"/>
    <x v="0"/>
  </r>
  <r>
    <x v="74"/>
    <x v="65"/>
    <s v="SEGUIMIENTO A PEDIDOS (TRACKING) - KRAS(CN006)"/>
    <n v="247857"/>
    <s v="ARNALDO RENE COTTO STREMS"/>
    <n v="28"/>
    <s v="20-ASIGNADO"/>
    <n v="2767"/>
    <x v="5"/>
    <s v="x"/>
    <m/>
    <m/>
    <m/>
    <m/>
    <m/>
    <n v="1"/>
    <n v="1"/>
    <n v="1"/>
    <n v="1"/>
    <m/>
    <m/>
    <d v="2025-01-01T00:00:00"/>
    <d v="1899-12-31T00:00:00"/>
    <x v="2"/>
    <x v="5"/>
    <m/>
    <s v="&lt;p&gt;En una aplicación web los clientes deben poder ver sus pedidos con su respectivo estatus Pedido, Oferta, Orden, Entrega, Facturado, etc. &lt;/p&gt;"/>
    <x v="1"/>
    <x v="1"/>
  </r>
  <r>
    <x v="75"/>
    <x v="43"/>
    <s v="Soporte (CN006)"/>
    <m/>
    <m/>
    <n v="28"/>
    <s v="20-ASIGNADO"/>
    <n v="3203"/>
    <x v="6"/>
    <s v="x"/>
    <m/>
    <m/>
    <m/>
    <m/>
    <m/>
    <m/>
    <m/>
    <m/>
    <m/>
    <m/>
    <m/>
    <d v="2025-02-03T00:00:00"/>
    <d v="2025-02-03T00:00:00"/>
    <x v="15"/>
    <x v="18"/>
    <m/>
    <m/>
    <x v="5"/>
    <x v="5"/>
  </r>
  <r>
    <x v="76"/>
    <x v="43"/>
    <s v="Soporte Carga de Excel a STOD (CN006)"/>
    <n v="247417"/>
    <s v="ALVARO LEONEL GUTIERREZ LOPEZ"/>
    <n v="21"/>
    <s v="60-CERTIFICADO"/>
    <n v="3202"/>
    <x v="10"/>
    <s v="x"/>
    <m/>
    <n v="4"/>
    <s v="SOPORTE/CAPACITACION"/>
    <n v="1"/>
    <s v="BAJA"/>
    <n v="1"/>
    <n v="1"/>
    <n v="2"/>
    <n v="2"/>
    <n v="1"/>
    <s v="PEQUEÑO"/>
    <d v="2025-02-04T00:00:00"/>
    <d v="2025-02-04T00:00:00"/>
    <x v="18"/>
    <x v="23"/>
    <d v="2025-02-05T00:00:00"/>
    <m/>
    <x v="2"/>
    <x v="2"/>
  </r>
  <r>
    <x v="77"/>
    <x v="43"/>
    <s v="Soporte Contabilidad Corte de Caja"/>
    <n v="247804"/>
    <s v="NANCY ELIZABETH ALVARADO TOLEDO"/>
    <n v="22"/>
    <s v="50-IMPLEMENTACION"/>
    <n v="3204"/>
    <x v="13"/>
    <s v="x"/>
    <m/>
    <m/>
    <m/>
    <m/>
    <m/>
    <m/>
    <m/>
    <m/>
    <m/>
    <m/>
    <m/>
    <d v="2025-02-10T00:00:00"/>
    <d v="2025-02-10T00:00:00"/>
    <x v="24"/>
    <x v="24"/>
    <d v="2025-02-10T00:00:00"/>
    <m/>
    <x v="2"/>
    <x v="2"/>
  </r>
  <r>
    <x v="78"/>
    <x v="43"/>
    <s v="Soporte en creación Recibos de Pago"/>
    <n v="247897"/>
    <s v="JOSE LUIS PRADO PORTILLO"/>
    <n v="21"/>
    <s v="60-CERTIFICADO"/>
    <n v="3202"/>
    <x v="10"/>
    <s v="x"/>
    <b v="1"/>
    <n v="4"/>
    <s v="SOPORTE/CAPACITACION"/>
    <n v="1"/>
    <s v="BAJA"/>
    <n v="2"/>
    <n v="2"/>
    <n v="2"/>
    <n v="2"/>
    <n v="1"/>
    <s v="PEQUEÑO"/>
    <d v="2025-02-13T00:00:00"/>
    <d v="2025-02-13T00:00:00"/>
    <x v="20"/>
    <x v="22"/>
    <d v="2025-02-13T00:00:00"/>
    <m/>
    <x v="2"/>
    <x v="2"/>
  </r>
  <r>
    <x v="79"/>
    <x v="43"/>
    <s v="Soporte enero (CN006)"/>
    <m/>
    <m/>
    <n v="21"/>
    <s v="60-CERTIFICADO"/>
    <n v="3201"/>
    <x v="12"/>
    <s v="x"/>
    <m/>
    <n v="4"/>
    <s v="SOPORTE/CAPACITACION"/>
    <n v="1"/>
    <s v="BAJA"/>
    <n v="2"/>
    <n v="2"/>
    <n v="3"/>
    <n v="3"/>
    <n v="2"/>
    <s v="MEDIANO"/>
    <d v="2025-01-01T00:00:00"/>
    <d v="2025-01-01T00:00:00"/>
    <x v="0"/>
    <x v="0"/>
    <d v="2025-01-31T00:00:00"/>
    <m/>
    <x v="0"/>
    <x v="0"/>
  </r>
  <r>
    <x v="80"/>
    <x v="43"/>
    <s v="Soporte febrero (CN006)"/>
    <m/>
    <m/>
    <n v="22"/>
    <s v="50-IMPLEMENTACION"/>
    <n v="3201"/>
    <x v="12"/>
    <s v="x"/>
    <m/>
    <n v="4"/>
    <s v="SOPORTE/CAPACITACION"/>
    <n v="1"/>
    <s v="BAJA"/>
    <n v="2"/>
    <n v="2"/>
    <n v="3"/>
    <n v="3"/>
    <n v="1"/>
    <s v="PEQUEÑO"/>
    <d v="2025-02-01T00:00:00"/>
    <d v="2025-02-01T00:00:00"/>
    <x v="3"/>
    <x v="1"/>
    <m/>
    <m/>
    <x v="2"/>
    <x v="2"/>
  </r>
  <r>
    <x v="81"/>
    <x v="43"/>
    <s v="Soporte query saldo de cuenta"/>
    <n v="246832"/>
    <s v="KAREN SELENA MENDIZABAL LOPEZ"/>
    <n v="22"/>
    <s v="50-IMPLEMENTACION"/>
    <n v="3204"/>
    <x v="13"/>
    <s v="x"/>
    <m/>
    <n v="4"/>
    <s v="SOPORTE/CAPACITACION"/>
    <m/>
    <m/>
    <m/>
    <m/>
    <m/>
    <m/>
    <m/>
    <m/>
    <d v="2025-02-12T00:00:00"/>
    <d v="2025-02-12T00:00:00"/>
    <x v="25"/>
    <x v="25"/>
    <d v="2025-02-12T00:00:00"/>
    <m/>
    <x v="2"/>
    <x v="2"/>
  </r>
  <r>
    <x v="82"/>
    <x v="43"/>
    <s v="Soporte y documentación de proyectos (CN006)"/>
    <m/>
    <m/>
    <n v="30"/>
    <s v="40-DESARROLLO"/>
    <n v="195"/>
    <x v="3"/>
    <s v="x"/>
    <m/>
    <m/>
    <m/>
    <m/>
    <m/>
    <m/>
    <m/>
    <m/>
    <m/>
    <m/>
    <m/>
    <m/>
    <m/>
    <x v="15"/>
    <x v="18"/>
    <m/>
    <m/>
    <x v="5"/>
    <x v="5"/>
  </r>
  <r>
    <x v="83"/>
    <x v="66"/>
    <s v="Subdistribuidores Isuzu (CN006)"/>
    <n v="247791"/>
    <s v="ASTRID VICTORIA PEÑA DIEGUEZ"/>
    <n v="27"/>
    <s v="30-ANALISIS"/>
    <n v="3201"/>
    <x v="12"/>
    <s v="x"/>
    <m/>
    <m/>
    <m/>
    <m/>
    <m/>
    <n v="1"/>
    <n v="1"/>
    <n v="1"/>
    <n v="1"/>
    <m/>
    <m/>
    <d v="2025-01-01T00:00:00"/>
    <d v="1899-12-31T00:00:00"/>
    <x v="19"/>
    <x v="21"/>
    <m/>
    <m/>
    <x v="1"/>
    <x v="1"/>
  </r>
  <r>
    <x v="84"/>
    <x v="67"/>
    <s v="Traslado de"/>
    <n v="289006"/>
    <s v="SULY DANIELA CHUN SANTOS de RIVERA"/>
    <n v="30"/>
    <s v="40-DESARROLLO"/>
    <n v="195"/>
    <x v="3"/>
    <s v="x"/>
    <m/>
    <m/>
    <m/>
    <m/>
    <m/>
    <n v="1"/>
    <n v="1"/>
    <n v="1"/>
    <n v="1"/>
    <m/>
    <m/>
    <d v="2025-01-01T00:00:00"/>
    <d v="1899-12-31T00:00:00"/>
    <x v="8"/>
    <x v="14"/>
    <m/>
    <m/>
    <x v="2"/>
    <x v="2"/>
  </r>
  <r>
    <x v="85"/>
    <x v="43"/>
    <s v="Traslado de sitio web Dashboard MOTUL"/>
    <n v="247857"/>
    <s v="ARNALDO RENE COTTO STREMS"/>
    <n v="22"/>
    <s v="50-IMPLEMENTACION"/>
    <n v="195"/>
    <x v="3"/>
    <s v="x"/>
    <b v="1"/>
    <n v="2"/>
    <s v="PROCESO"/>
    <n v="2"/>
    <s v="MEDIA"/>
    <n v="2"/>
    <n v="2"/>
    <n v="2"/>
    <n v="2"/>
    <n v="2"/>
    <s v="MEDIANO"/>
    <d v="2025-02-01T00:00:00"/>
    <d v="2025-02-01T00:00:00"/>
    <x v="8"/>
    <x v="14"/>
    <m/>
    <s v="&lt;p&gt;Se solicita trasladar el sitio web que contiene el Dashboard de ventas MOTUL ya que este no se encuentra operando actualmente.&lt;/p&gt;"/>
    <x v="2"/>
    <x v="2"/>
  </r>
  <r>
    <x v="86"/>
    <x v="68"/>
    <s v="Agregar la opción &quot;Depósitos Mixtos&quot; al módulo de Recibos de Caja (CN006)"/>
    <m/>
    <m/>
    <n v="22"/>
    <s v="50-IMPLEMENTACION"/>
    <n v="3202"/>
    <x v="10"/>
    <s v="x"/>
    <m/>
    <m/>
    <m/>
    <m/>
    <m/>
    <n v="1"/>
    <n v="1"/>
    <n v="1"/>
    <n v="1"/>
    <m/>
    <m/>
    <d v="2025-01-01T00:00:00"/>
    <d v="1899-12-31T00:00:00"/>
    <x v="8"/>
    <x v="14"/>
    <m/>
    <m/>
    <x v="2"/>
    <x v="2"/>
  </r>
  <r>
    <x v="87"/>
    <x v="69"/>
    <s v="Corrección de pantalla de gestión de correos de contratos de mantenimiento"/>
    <n v="247614"/>
    <s v="LEIDI PAOLA ESQUIVEL RAMIREZ"/>
    <n v="21"/>
    <s v="60-CERTIFICADO"/>
    <n v="195"/>
    <x v="3"/>
    <s v="x"/>
    <b v="1"/>
    <m/>
    <m/>
    <m/>
    <m/>
    <m/>
    <m/>
    <n v="2"/>
    <n v="2"/>
    <m/>
    <m/>
    <d v="2025-01-21T00:00:00"/>
    <d v="1899-12-31T00:00:00"/>
    <x v="26"/>
    <x v="0"/>
    <d v="2025-02-07T00:00:00"/>
    <m/>
    <x v="0"/>
    <x v="0"/>
  </r>
  <r>
    <x v="88"/>
    <x v="70"/>
    <s v="Desarrollo de modulo de lavado de vehículos"/>
    <n v="247614"/>
    <s v="LEIDI PAOLA ESQUIVEL RAMIREZ"/>
    <n v="30"/>
    <s v="40-DESARROLLO"/>
    <n v="195"/>
    <x v="3"/>
    <s v="x"/>
    <m/>
    <m/>
    <m/>
    <m/>
    <m/>
    <n v="1"/>
    <n v="1"/>
    <n v="1"/>
    <n v="1"/>
    <m/>
    <m/>
    <d v="2025-01-01T00:00:00"/>
    <d v="1899-12-31T00:00:00"/>
    <x v="3"/>
    <x v="5"/>
    <m/>
    <m/>
    <x v="2"/>
    <x v="2"/>
  </r>
  <r>
    <x v="89"/>
    <x v="71"/>
    <s v="Implementación de Sistema de Contraseñas de Proveedores Locales"/>
    <n v="247795"/>
    <s v="SANDRA JUDITH LOARCA HERNANDEZ de PEREZ"/>
    <n v="22"/>
    <s v="50-IMPLEMENTACION"/>
    <n v="3201"/>
    <x v="12"/>
    <s v="x"/>
    <m/>
    <m/>
    <m/>
    <m/>
    <m/>
    <n v="1"/>
    <n v="1"/>
    <n v="1"/>
    <n v="1"/>
    <m/>
    <m/>
    <d v="2025-01-01T00:00:00"/>
    <d v="1899-12-31T00:00:00"/>
    <x v="8"/>
    <x v="14"/>
    <m/>
    <s v="&lt;p&gt; ** Implementación del Sistema de Contraseñas de Proveedores Locales SAP/LASERFICHE **  ** &lt;/p&gt;"/>
    <x v="2"/>
    <x v="2"/>
  </r>
  <r>
    <x v="90"/>
    <x v="72"/>
    <s v="Optimización de creación y actualización de Proveedores (CN006)"/>
    <n v="247556"/>
    <s v="DOUGLAS MONTOYA MONTAVES"/>
    <n v="27"/>
    <s v="30-ANALISIS"/>
    <n v="3201"/>
    <x v="12"/>
    <s v="x"/>
    <m/>
    <m/>
    <m/>
    <m/>
    <m/>
    <n v="1"/>
    <n v="1"/>
    <n v="1"/>
    <n v="1"/>
    <m/>
    <m/>
    <d v="2025-01-30T00:00:00"/>
    <d v="1899-12-31T00:00:00"/>
    <x v="4"/>
    <x v="3"/>
    <m/>
    <s v="&lt;p&gt; ** Proceso para creación proveedores con generación automática de código en SAP, alertas para actualización de datos y documentos, validación interna, almacenamiento y clasificación de expediente de proveedor. **  ** &lt;/p&gt;"/>
    <x v="3"/>
    <x v="3"/>
  </r>
  <r>
    <x v="91"/>
    <x v="73"/>
    <s v="Placas Yamaha (CN006)"/>
    <m/>
    <m/>
    <n v="21"/>
    <s v="60-CERTIFICADO"/>
    <n v="3201"/>
    <x v="12"/>
    <s v="x"/>
    <m/>
    <m/>
    <m/>
    <m/>
    <m/>
    <n v="1"/>
    <n v="1"/>
    <n v="1"/>
    <n v="1"/>
    <m/>
    <m/>
    <d v="2025-01-01T00:00:00"/>
    <d v="1899-12-31T00:00:00"/>
    <x v="0"/>
    <x v="0"/>
    <m/>
    <m/>
    <x v="0"/>
    <x v="0"/>
  </r>
  <r>
    <x v="92"/>
    <x v="74"/>
    <s v="Reporte de Geolocalizacion interstate"/>
    <n v="247857"/>
    <s v="ARNALDO RENE COTTO STREMS"/>
    <n v="21"/>
    <s v="60-CERTIFICADO"/>
    <n v="3204"/>
    <x v="13"/>
    <s v="x"/>
    <m/>
    <m/>
    <m/>
    <m/>
    <m/>
    <n v="1"/>
    <n v="1"/>
    <n v="1"/>
    <n v="1"/>
    <m/>
    <m/>
    <d v="2025-01-01T00:00:00"/>
    <d v="1899-12-31T00:00:00"/>
    <x v="0"/>
    <x v="0"/>
    <m/>
    <m/>
    <x v="0"/>
    <x v="0"/>
  </r>
  <r>
    <x v="93"/>
    <x v="75"/>
    <s v="Reporte de SAP sobre las cajas de repuestos"/>
    <n v="289006"/>
    <s v="SULY DANIELA CHUN SANTOS de RIVERA"/>
    <n v="21"/>
    <s v="60-CERTIFICADO"/>
    <n v="3200"/>
    <x v="11"/>
    <s v="x"/>
    <m/>
    <m/>
    <m/>
    <m/>
    <m/>
    <n v="2"/>
    <n v="2"/>
    <n v="2"/>
    <n v="2"/>
    <m/>
    <m/>
    <d v="2025-01-28T00:00:00"/>
    <d v="1899-12-31T00:00:00"/>
    <x v="25"/>
    <x v="25"/>
    <m/>
    <s v="&lt;p&gt;Realizar un reporte sobre&amp;nbsp; ** las cajas de repuestos y que contenga la siguiente información:&lt;/p&gt;&lt;ul&gt; **  &lt;li&gt;Fecha y hora de emisión **      de entrega &lt;/li&gt; **  &lt;li&gt;Nombre del cliente o **      código&lt;/li&gt; **  &lt;li&gt;Hora de &lt;u&gt;impresión&lt;/u&gt; **      de la entrega &lt;/li&gt; **  &lt;li&gt;Hora de &lt;u&gt;facturación **      de las entrega&lt;/u&gt; &lt;/li&gt; **  &lt;li&gt;Recuento de entregas &lt;u&gt;por **      encomiendas&lt;/u&gt;&lt;/li&gt; ** &lt;/ul&gt;&lt;p&gt; **  **  **  **  **  ** &lt;/p&gt;"/>
    <x v="2"/>
    <x v="2"/>
  </r>
  <r>
    <x v="94"/>
    <x v="43"/>
    <s v="Reserva de vehículo - Isuzu Subdistribuidor"/>
    <n v="247791"/>
    <s v="ASTRID VICTORIA PEÑA DIEGUEZ"/>
    <n v="28"/>
    <s v="20-ASIGNADO"/>
    <n v="3201"/>
    <x v="12"/>
    <s v="x"/>
    <m/>
    <n v="2"/>
    <s v="PROCESO"/>
    <n v="2"/>
    <s v="MEDIA"/>
    <n v="2"/>
    <n v="2"/>
    <n v="2"/>
    <n v="2"/>
    <n v="1"/>
    <s v="PEQUEÑO"/>
    <d v="2025-02-17T00:00:00"/>
    <m/>
    <x v="15"/>
    <x v="18"/>
    <m/>
    <m/>
    <x v="5"/>
    <x v="5"/>
  </r>
  <r>
    <x v="95"/>
    <x v="76"/>
    <s v="Soporte Creditos y Cobros General"/>
    <m/>
    <m/>
    <n v="22"/>
    <s v="50-IMPLEMENTACION"/>
    <n v="2767"/>
    <x v="5"/>
    <s v="x"/>
    <b v="1"/>
    <m/>
    <m/>
    <m/>
    <m/>
    <n v="1"/>
    <n v="1"/>
    <n v="1"/>
    <n v="1"/>
    <m/>
    <m/>
    <d v="2025-01-01T00:00:00"/>
    <d v="1899-12-31T00:00:00"/>
    <x v="0"/>
    <x v="8"/>
    <m/>
    <s v="&lt;p&gt; ** SEGUIMIENTO Soporte al Sistema de Cobranza en ODOO. Edward Garcia fue el solicitante **  ** &lt;/p&gt;"/>
    <x v="0"/>
    <x v="0"/>
  </r>
  <r>
    <x v="96"/>
    <x v="43"/>
    <s v="Soporte PINPAD"/>
    <n v="289006"/>
    <s v="SULY DANIELA CHUN SANTOS de RIVERA"/>
    <n v="22"/>
    <s v="50-IMPLEMENTACION"/>
    <n v="3204"/>
    <x v="13"/>
    <s v="x"/>
    <m/>
    <m/>
    <m/>
    <m/>
    <m/>
    <m/>
    <m/>
    <m/>
    <m/>
    <m/>
    <m/>
    <d v="2025-02-12T00:00:00"/>
    <d v="2025-02-12T00:00:00"/>
    <x v="25"/>
    <x v="25"/>
    <d v="2025-02-12T00:00:00"/>
    <m/>
    <x v="2"/>
    <x v="2"/>
  </r>
  <r>
    <x v="97"/>
    <x v="77"/>
    <s v="Conciliación bancaria MT940BI(CN006)"/>
    <n v="247417"/>
    <s v="ALVARO LEONEL GUTIERREZ LOPEZ"/>
    <n v="21"/>
    <s v="60-CERTIFICADO"/>
    <n v="3204"/>
    <x v="13"/>
    <s v="x"/>
    <m/>
    <m/>
    <m/>
    <m/>
    <m/>
    <n v="1"/>
    <n v="1"/>
    <n v="1"/>
    <n v="1"/>
    <m/>
    <m/>
    <d v="2025-01-01T00:00:00"/>
    <d v="1899-12-31T00:00:00"/>
    <x v="0"/>
    <x v="0"/>
    <m/>
    <s v="&lt;p&gt;Carga de estado de cuenta MT940 banco industrial hacia SAP Canella&lt;/p&gt;"/>
    <x v="0"/>
    <x v="0"/>
  </r>
  <r>
    <x v="98"/>
    <x v="78"/>
    <s v="Desarrollo de reporte de personal 2024 de Taller Isuzu (CN006)"/>
    <m/>
    <m/>
    <n v="22"/>
    <s v="50-IMPLEMENTACION"/>
    <n v="195"/>
    <x v="3"/>
    <s v="x"/>
    <b v="1"/>
    <m/>
    <m/>
    <m/>
    <m/>
    <m/>
    <m/>
    <n v="1"/>
    <n v="1"/>
    <m/>
    <m/>
    <d v="2025-01-01T00:00:00"/>
    <d v="1899-12-31T00:00:00"/>
    <x v="0"/>
    <x v="0"/>
    <m/>
    <m/>
    <x v="0"/>
    <x v="0"/>
  </r>
  <r>
    <x v="99"/>
    <x v="79"/>
    <s v="Implementación de WMS en Elizur (CN006)"/>
    <m/>
    <m/>
    <n v="21"/>
    <s v="60-CERTIFICADO"/>
    <n v="3203"/>
    <x v="6"/>
    <s v="x"/>
    <m/>
    <m/>
    <m/>
    <m/>
    <m/>
    <n v="1"/>
    <n v="1"/>
    <n v="2"/>
    <n v="2"/>
    <m/>
    <m/>
    <d v="2025-01-01T00:00:00"/>
    <d v="1899-12-31T00:00:00"/>
    <x v="0"/>
    <x v="0"/>
    <m/>
    <m/>
    <x v="0"/>
    <x v="0"/>
  </r>
  <r>
    <x v="100"/>
    <x v="80"/>
    <s v="Proyecto GESCON (CN006)"/>
    <n v="247888"/>
    <s v="JUAN MANUEL SOTO GUTIERREZ"/>
    <n v="30"/>
    <s v="40-DESARROLLO"/>
    <n v="3198"/>
    <x v="1"/>
    <s v="x"/>
    <m/>
    <m/>
    <m/>
    <m/>
    <m/>
    <n v="1"/>
    <n v="1"/>
    <n v="1"/>
    <n v="1"/>
    <m/>
    <m/>
    <d v="2025-01-01T00:00:00"/>
    <d v="1899-12-31T00:00:00"/>
    <x v="27"/>
    <x v="26"/>
    <m/>
    <s v="&lt;p&gt; ** PROCESO Implementación y Renovación del nuevo Sistema de Contratos de Arrendamiento a una tecnología actualizada, revisión&amp;nbsp;y mejoras en los procesos, se agregara KPI y Gestión de las Cotizaciones, se cambiara nombre a la herramienta a GESCON **  ** &lt;/p&gt;"/>
    <x v="6"/>
    <x v="6"/>
  </r>
  <r>
    <x v="101"/>
    <x v="81"/>
    <s v="RPA de confirmación de boletas bancarias Créditos y Cobros"/>
    <n v="247722"/>
    <s v="RICARDO ALFONSO ESCOBEDO DACARET"/>
    <n v="30"/>
    <s v="40-DESARROLLO"/>
    <n v="195"/>
    <x v="3"/>
    <s v="x"/>
    <m/>
    <m/>
    <m/>
    <m/>
    <m/>
    <n v="1"/>
    <n v="1"/>
    <n v="2"/>
    <n v="2"/>
    <m/>
    <m/>
    <d v="2025-01-01T00:00:00"/>
    <d v="1899-12-31T00:00:00"/>
    <x v="8"/>
    <x v="7"/>
    <m/>
    <s v="&lt;p&gt; ** PROCESO Se requiere desarrollar un sistema que facilite la validación masiva de boletas de transacciones bancarias, tomando como referencia el sistema de confirmación de boletas RPA implementado en el área de contabilidad. El nuevo sistema empleará las mismas validaciones y base de datos que el sistema de contabilidad, con el objetivo de eliminar la duplicidad de boletas, un problema recurrente en el proceso manual actual. **  ** &lt;/p&gt;"/>
    <x v="2"/>
    <x v="2"/>
  </r>
  <r>
    <x v="102"/>
    <x v="82"/>
    <s v="Sistema de encuestas Taller Isuzu (CN006)"/>
    <m/>
    <m/>
    <n v="21"/>
    <s v="60-CERTIFICADO"/>
    <n v="195"/>
    <x v="3"/>
    <s v="x"/>
    <m/>
    <m/>
    <m/>
    <m/>
    <m/>
    <n v="1"/>
    <n v="1"/>
    <n v="2"/>
    <n v="2"/>
    <m/>
    <m/>
    <d v="2025-01-01T00:00:00"/>
    <d v="1899-12-31T00:00:00"/>
    <x v="0"/>
    <x v="0"/>
    <m/>
    <m/>
    <x v="0"/>
    <x v="0"/>
  </r>
  <r>
    <x v="103"/>
    <x v="43"/>
    <s v="Soporte Carga masiva Contabilidad TC Credomatic"/>
    <n v="289036"/>
    <s v="MADELYN SUSANA BRAN OLIVAREZ"/>
    <n v="22"/>
    <s v="50-IMPLEMENTACION"/>
    <n v="3204"/>
    <x v="13"/>
    <s v="x"/>
    <m/>
    <n v="4"/>
    <s v="SOPORTE/CAPACITACION"/>
    <n v="1"/>
    <s v="BAJA"/>
    <n v="2"/>
    <n v="2"/>
    <n v="2"/>
    <n v="2"/>
    <n v="1"/>
    <s v="PEQUEÑO"/>
    <d v="2025-02-11T00:00:00"/>
    <d v="2025-02-11T00:00:00"/>
    <x v="28"/>
    <x v="27"/>
    <d v="2025-02-11T00:00:00"/>
    <m/>
    <x v="2"/>
    <x v="2"/>
  </r>
  <r>
    <x v="104"/>
    <x v="43"/>
    <s v="Soporte RPA - Boletas"/>
    <m/>
    <m/>
    <n v="22"/>
    <s v="50-IMPLEMENTACION"/>
    <n v="2767"/>
    <x v="5"/>
    <s v="x"/>
    <m/>
    <m/>
    <m/>
    <m/>
    <m/>
    <m/>
    <m/>
    <m/>
    <m/>
    <m/>
    <m/>
    <d v="2025-02-06T00:00:00"/>
    <m/>
    <x v="3"/>
    <x v="1"/>
    <m/>
    <s v="&lt;p&gt;Seguimiento con problemas con las boletas de los bancos, problemas de estados de cuentas, cheques etc.&lt;/p&gt;"/>
    <x v="2"/>
    <x v="2"/>
  </r>
  <r>
    <x v="105"/>
    <x v="83"/>
    <s v="Soporte impresión Yamaha (CN006)"/>
    <n v="247807"/>
    <s v="EDUARDO JACOBO ARA GÓMEZ"/>
    <n v="22"/>
    <s v="50-IMPLEMENTACION"/>
    <n v="3201"/>
    <x v="12"/>
    <s v="x"/>
    <m/>
    <m/>
    <m/>
    <m/>
    <m/>
    <n v="3"/>
    <n v="3"/>
    <n v="2"/>
    <n v="2"/>
    <m/>
    <m/>
    <d v="2025-01-31T00:00:00"/>
    <d v="1899-12-31T00:00:00"/>
    <x v="3"/>
    <x v="1"/>
    <m/>
    <s v="&lt;p&gt;Pruebas de impresión de lote de expedientes con personal del departamento de Placas ubicados en Yamaha Liberación, validando orden, expedientes completos, reimpresión y bitácora de estado de expedientes.&lt;/p&gt;"/>
    <x v="2"/>
    <x v="2"/>
  </r>
  <r>
    <x v="106"/>
    <x v="84"/>
    <s v="Creditos y Cobros Fase 2 - Cobro a domiciliario"/>
    <m/>
    <m/>
    <n v="22"/>
    <s v="50-IMPLEMENTACION"/>
    <n v="2767"/>
    <x v="5"/>
    <s v="x"/>
    <m/>
    <m/>
    <m/>
    <m/>
    <m/>
    <n v="1"/>
    <n v="1"/>
    <n v="1"/>
    <n v="1"/>
    <m/>
    <m/>
    <d v="2025-01-01T00:00:00"/>
    <d v="1899-12-31T00:00:00"/>
    <x v="8"/>
    <x v="14"/>
    <m/>
    <s v="&lt;p&gt; ** PROCESO Automatizar las retenciones de IVA e ISR mediante un robot RPA. Para IVA, el robot accede a la SAT, recopila las facturas del Régimen General y Pequeño Contribuyente, las almacena en SAP, las compara, y si coinciden, genera la retención correspondiente. En el caso de ISR, el robot gestiona diferentes escenarios asigna dicho escenario a cada factura y luego le genera la retención, notifica a contabilidad y envía al proveedor un correo con el archivo PDF. **  ** &lt;/p&gt;"/>
    <x v="2"/>
    <x v="2"/>
  </r>
  <r>
    <x v="107"/>
    <x v="85"/>
    <s v="Optimizacion de Llamadas de Servicio (CN006)"/>
    <m/>
    <m/>
    <n v="21"/>
    <s v="60-CERTIFICADO"/>
    <n v="3203"/>
    <x v="6"/>
    <s v="x"/>
    <b v="1"/>
    <m/>
    <m/>
    <m/>
    <m/>
    <n v="1"/>
    <n v="1"/>
    <n v="3"/>
    <n v="3"/>
    <m/>
    <m/>
    <d v="2025-01-01T00:00:00"/>
    <d v="1899-12-31T00:00:00"/>
    <x v="0"/>
    <x v="21"/>
    <m/>
    <m/>
    <x v="0"/>
    <x v="0"/>
  </r>
  <r>
    <x v="108"/>
    <x v="43"/>
    <s v="Soporte MT940 GYT"/>
    <n v="247417"/>
    <s v="ALVARO LEONEL GUTIERREZ LOPEZ"/>
    <n v="22"/>
    <s v="50-IMPLEMENTACION"/>
    <n v="3204"/>
    <x v="13"/>
    <s v="x"/>
    <m/>
    <n v="4"/>
    <s v="SOPORTE/CAPACITACION"/>
    <m/>
    <m/>
    <m/>
    <m/>
    <m/>
    <m/>
    <m/>
    <m/>
    <d v="2025-02-12T00:00:00"/>
    <d v="2025-02-12T00:00:00"/>
    <x v="25"/>
    <x v="25"/>
    <d v="2025-02-12T00:00:00"/>
    <m/>
    <x v="2"/>
    <x v="2"/>
  </r>
  <r>
    <x v="109"/>
    <x v="86"/>
    <s v="Soporte de confirmación de boletas Enero (CN006)"/>
    <n v="293171"/>
    <s v="GABRIEL EFRAIN MELENDEZ MARROQUIN"/>
    <n v="21"/>
    <s v="60-CERTIFICADO"/>
    <n v="195"/>
    <x v="3"/>
    <s v="x"/>
    <b v="1"/>
    <m/>
    <m/>
    <m/>
    <m/>
    <n v="1"/>
    <n v="1"/>
    <n v="1"/>
    <n v="1"/>
    <m/>
    <m/>
    <d v="2025-01-01T00:00:00"/>
    <d v="1899-12-31T00:00:00"/>
    <x v="8"/>
    <x v="14"/>
    <d v="2025-02-12T00:00:00"/>
    <s v="&lt;p&gt; ** MEJORAS Traslado del módulo de pases de salida de SAP a STOD **  ** &lt;/p&gt;"/>
    <x v="2"/>
    <x v="2"/>
  </r>
  <r>
    <x v="110"/>
    <x v="87"/>
    <s v="Carga masiva de Activo Fijo (CN006)"/>
    <n v="247795"/>
    <s v="SANDRA JUDITH LOARCA HERNANDEZ de PEREZ"/>
    <n v="30"/>
    <s v="40-DESARROLLO"/>
    <n v="3200"/>
    <x v="11"/>
    <s v="x"/>
    <m/>
    <m/>
    <m/>
    <m/>
    <m/>
    <n v="1"/>
    <n v="1"/>
    <n v="3"/>
    <n v="3"/>
    <m/>
    <m/>
    <d v="2025-01-01T00:00:00"/>
    <d v="1899-12-31T00:00:00"/>
    <x v="3"/>
    <x v="7"/>
    <m/>
    <s v="&lt;p&gt; ** PROCESO Crear códigos de activos fijos por medio de un archivo Excel.&lt;/p&gt;"/>
    <x v="2"/>
    <x v="2"/>
  </r>
  <r>
    <x v="111"/>
    <x v="88"/>
    <s v="Módulo de RECALL taller ISUZU (CN006)"/>
    <n v="247828"/>
    <s v="DOUGLAS ALEJANDRO MALDONADO DUMAS"/>
    <n v="21"/>
    <s v="60-CERTIFICADO"/>
    <n v="195"/>
    <x v="3"/>
    <s v="x"/>
    <m/>
    <m/>
    <m/>
    <m/>
    <m/>
    <n v="1"/>
    <n v="1"/>
    <n v="1"/>
    <n v="1"/>
    <m/>
    <m/>
    <d v="2025-01-01T00:00:00"/>
    <d v="1899-12-31T00:00:00"/>
    <x v="0"/>
    <x v="0"/>
    <m/>
    <s v="&lt;p&gt; ** Ajustes al modulo de Recall con las indicaciones de Taller Automotriz **  ** &lt;/p&gt;"/>
    <x v="0"/>
    <x v="0"/>
  </r>
  <r>
    <x v="112"/>
    <x v="89"/>
    <s v="Sistema de Cubos ABC (CN006)"/>
    <m/>
    <m/>
    <n v="28"/>
    <s v="20-ASIGNADO"/>
    <n v="3203"/>
    <x v="6"/>
    <s v="x"/>
    <m/>
    <m/>
    <m/>
    <m/>
    <m/>
    <n v="1"/>
    <n v="1"/>
    <n v="2"/>
    <n v="2"/>
    <m/>
    <m/>
    <d v="2025-01-01T00:00:00"/>
    <d v="1899-12-31T00:00:00"/>
    <x v="3"/>
    <x v="1"/>
    <m/>
    <m/>
    <x v="2"/>
    <x v="2"/>
  </r>
  <r>
    <x v="113"/>
    <x v="90"/>
    <s v="Envío de correo en creación Pago Recibido en SAP (CN006)"/>
    <n v="247722"/>
    <s v="RICARDO ALFONSO ESCOBEDO DACARET"/>
    <n v="30"/>
    <s v="40-DESARROLLO"/>
    <n v="3202"/>
    <x v="10"/>
    <s v="x"/>
    <b v="1"/>
    <m/>
    <m/>
    <m/>
    <m/>
    <n v="1"/>
    <n v="1"/>
    <n v="2"/>
    <n v="2"/>
    <m/>
    <m/>
    <d v="2025-01-01T00:00:00"/>
    <d v="1899-12-31T00:00:00"/>
    <x v="0"/>
    <x v="5"/>
    <m/>
    <s v="&lt;p&gt;Se debe enviar un correo a Edward Garcia notificando y adjuntando el PDF del pago recibido&amp;nbsp;cuando se crea en SAP Canella.&lt;/p&gt;"/>
    <x v="0"/>
    <x v="0"/>
  </r>
  <r>
    <x v="114"/>
    <x v="91"/>
    <s v="Mejoras a SAP"/>
    <m/>
    <m/>
    <n v="30"/>
    <s v="40-DESARROLLO"/>
    <n v="3203"/>
    <x v="6"/>
    <s v="x"/>
    <m/>
    <m/>
    <m/>
    <m/>
    <m/>
    <n v="3"/>
    <n v="3"/>
    <n v="2"/>
    <n v="2"/>
    <m/>
    <m/>
    <d v="2025-01-01T00:00:00"/>
    <d v="1899-12-31T00:00:00"/>
    <x v="3"/>
    <x v="1"/>
    <m/>
    <m/>
    <x v="2"/>
    <x v="2"/>
  </r>
  <r>
    <x v="115"/>
    <x v="92"/>
    <s v="Soporte de ingreso de datos para presupuestos de pintura (CN006)"/>
    <m/>
    <m/>
    <n v="21"/>
    <s v="60-CERTIFICADO"/>
    <n v="195"/>
    <x v="3"/>
    <s v="x"/>
    <b v="1"/>
    <m/>
    <m/>
    <m/>
    <m/>
    <m/>
    <m/>
    <n v="1"/>
    <n v="1"/>
    <m/>
    <m/>
    <d v="2025-01-06T00:00:00"/>
    <d v="1899-12-31T00:00:00"/>
    <x v="0"/>
    <x v="0"/>
    <m/>
    <m/>
    <x v="0"/>
    <x v="0"/>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2">
  <r>
    <s v="Informática"/>
    <n v="275"/>
    <s v="(275) PROCESO  ** Cambios para grabar presupuestos pintura en SAP, reporte y validaciones"/>
    <n v="247828"/>
    <s v="DOUGLAS ALEJANDRO MALDONADO DUMAS"/>
    <n v="30"/>
    <s v="40-DESARROLLO"/>
    <n v="3233"/>
    <s v="Carlos Rosales"/>
    <s v="x"/>
    <m/>
    <m/>
    <m/>
    <m/>
    <m/>
    <n v="1"/>
    <n v="1"/>
    <n v="1"/>
    <n v="1"/>
    <m/>
    <m/>
    <d v="2025-01-01T00:00:00"/>
    <d v="1899-12-31T00:00:00"/>
    <m/>
    <x v="0"/>
    <m/>
    <s v="&lt;p&gt;PROCESO  ** Cambios para grabar presupuestos pintura en SAP, reporte y validaciones&lt;/p&gt;"/>
    <x v="0"/>
    <x v="0"/>
    <n v="0"/>
    <n v="1"/>
    <x v="0"/>
  </r>
  <r>
    <s v="Informática"/>
    <n v="278"/>
    <s v="(278) BI  ** Configuración de puerta de enlace para Power BI para Douglas Maldonado"/>
    <n v="247828"/>
    <s v="DOUGLAS ALEJANDRO MALDONADO DUMAS"/>
    <n v="30"/>
    <s v="40-DESARROLLO"/>
    <n v="3233"/>
    <s v="Carlos Rosales"/>
    <s v="x"/>
    <b v="1"/>
    <m/>
    <m/>
    <m/>
    <m/>
    <n v="1"/>
    <n v="1"/>
    <n v="3"/>
    <n v="3"/>
    <m/>
    <m/>
    <d v="2025-01-01T00:00:00"/>
    <d v="1899-12-31T00:00:00"/>
    <m/>
    <x v="1"/>
    <m/>
    <s v="&lt;p&gt;BI  ** Configuración de puerta de enlace para Power BI para Douglas Maldonado&lt;/p&gt;"/>
    <x v="0"/>
    <x v="1"/>
    <n v="0"/>
    <n v="1"/>
    <x v="1"/>
  </r>
  <r>
    <s v="Informática"/>
    <n v="280"/>
    <s v="(280) SOPORTE Soporte y Capacitación de plantilla con Framework REACT/C Sharp para implementarlo en el sistema de SCONWEB del Departamento de Servicio Técnico"/>
    <n v="247541"/>
    <s v="ALEJANDRO ALBERTO GARCIA ARRECIS"/>
    <n v="28"/>
    <s v="20-ASIGNADO"/>
    <n v="3198"/>
    <s v="Josue Eleazar Chet Cuellar"/>
    <s v="x"/>
    <m/>
    <m/>
    <m/>
    <m/>
    <m/>
    <n v="3"/>
    <n v="3"/>
    <n v="3"/>
    <n v="3"/>
    <m/>
    <m/>
    <d v="2025-01-01T00:00:00"/>
    <d v="1899-12-31T00:00:00"/>
    <m/>
    <x v="2"/>
    <m/>
    <s v="&lt;p&gt;SOPORTE Soporte y Capacitación de plantilla con Framework REACT/C Sharp para implementarlo en el sistema de SCONWEB del Departamento de Servicio Técnico&lt;/p&gt;"/>
    <x v="0"/>
    <x v="2"/>
    <n v="0"/>
    <n v="1"/>
    <x v="2"/>
  </r>
  <r>
    <s v="Informática"/>
    <n v="281"/>
    <s v="(281) PROCESO ** Implementación de Contabilidad NIIF"/>
    <n v="247795"/>
    <s v="SANDRA JUDITH LOARCA HERNANDEZ de PEREZ"/>
    <n v="28"/>
    <s v="20-ASIGNADO"/>
    <n v="3233"/>
    <s v="Carlos Rosales"/>
    <s v="x"/>
    <m/>
    <m/>
    <m/>
    <m/>
    <m/>
    <n v="1"/>
    <n v="1"/>
    <n v="1"/>
    <n v="1"/>
    <m/>
    <m/>
    <d v="2025-01-01T00:00:00"/>
    <d v="1899-12-31T00:00:00"/>
    <m/>
    <x v="2"/>
    <m/>
    <s v="&lt;p&gt;PROCESO ** Implementación de Contabilidad NIIF&lt;/p&gt;"/>
    <x v="0"/>
    <x v="2"/>
    <n v="0"/>
    <n v="1"/>
    <x v="2"/>
  </r>
  <r>
    <s v="Informática"/>
    <n v="282"/>
    <s v="(282) MEJORAS  ** Mejoras al proceso de órdenes de entrega para sótano deben agregarse los campos indicados por Douglas Montoya"/>
    <n v="247556"/>
    <s v="DOUGLAS MONTOYA MONTAVES"/>
    <n v="28"/>
    <s v="20-ASIGNADO"/>
    <n v="3233"/>
    <s v="Carlos Rosales"/>
    <s v="x"/>
    <m/>
    <m/>
    <m/>
    <m/>
    <m/>
    <n v="1"/>
    <n v="1"/>
    <n v="3"/>
    <n v="3"/>
    <m/>
    <m/>
    <d v="2025-01-01T00:00:00"/>
    <d v="1899-12-31T00:00:00"/>
    <m/>
    <x v="1"/>
    <m/>
    <s v="&lt;p&gt;MEJORAS  ** Mejoras al proceso de órdenes de entrega para sótano deben agregarse los campos indicados por Douglas Montoya&lt;/p&gt;"/>
    <x v="0"/>
    <x v="1"/>
    <n v="0"/>
    <n v="1"/>
    <x v="1"/>
  </r>
  <r>
    <s v="Informática"/>
    <n v="283"/>
    <s v="(283) CARGA DE DATOS ** Clasificación de clientes para carga masiva de SAP solicitada por Rene Cotto"/>
    <n v="247857"/>
    <s v="ARNALDO RENE COTTO STREMS"/>
    <n v="28"/>
    <s v="20-ASIGNADO"/>
    <m/>
    <m/>
    <s v="x"/>
    <m/>
    <m/>
    <m/>
    <m/>
    <m/>
    <n v="1"/>
    <n v="1"/>
    <n v="2"/>
    <n v="2"/>
    <m/>
    <m/>
    <d v="2025-01-01T00:00:00"/>
    <d v="1899-12-31T00:00:00"/>
    <m/>
    <x v="0"/>
    <m/>
    <s v="&lt;p&gt;CARGA DE DATOS ** Clasificación de clientes para carga masiva de SAP solicitada por Rene Cotto&lt;/p&gt;&lt;p&gt;PENDIENTE ASIGNAR LUIS GONZALEZ&lt;/p&gt;"/>
    <x v="0"/>
    <x v="0"/>
    <n v="0"/>
    <n v="1"/>
    <x v="0"/>
  </r>
  <r>
    <s v="Informática"/>
    <n v="284"/>
    <s v="(284) PROCESO ** Actualizacion de tablas de catálogos de SAP de acuerdo con 24 puntos que contiene el archivo enviado a Marisol Recinos"/>
    <n v="247885"/>
    <s v="AMABILIA MARISOL RECINOS ARGUETA"/>
    <n v="28"/>
    <s v="20-ASIGNADO"/>
    <n v="3233"/>
    <s v="Carlos Rosales"/>
    <s v="x"/>
    <m/>
    <m/>
    <m/>
    <m/>
    <m/>
    <n v="1"/>
    <n v="1"/>
    <n v="1"/>
    <n v="1"/>
    <m/>
    <m/>
    <d v="2025-01-01T00:00:00"/>
    <d v="1899-12-31T00:00:00"/>
    <m/>
    <x v="3"/>
    <m/>
    <s v="&lt;p&gt;PROCESO ** Actualizacion de tablas de catálogos de SAP de acuerdo con 24 puntos que contiene el archivo enviado a Marisol Recinos&lt;/p&gt;"/>
    <x v="0"/>
    <x v="3"/>
    <n v="0"/>
    <n v="1"/>
    <x v="3"/>
  </r>
  <r>
    <s v="Informática"/>
    <n v="285"/>
    <s v="(285) PROCESO ** Cubo para analisis de personal activo y retirado, para realizar un kpi de rotación de personal"/>
    <n v="247277"/>
    <s v="JOSE ROBERTO AGUIRRE CANELLA"/>
    <n v="21"/>
    <s v="60-CERTIFICADO"/>
    <n v="3233"/>
    <s v="Carlos Rosales"/>
    <s v="x"/>
    <m/>
    <m/>
    <m/>
    <m/>
    <m/>
    <n v="1"/>
    <n v="1"/>
    <n v="1"/>
    <n v="1"/>
    <m/>
    <m/>
    <d v="2025-01-01T00:00:00"/>
    <d v="1899-12-31T00:00:00"/>
    <m/>
    <x v="0"/>
    <m/>
    <s v="&lt;p&gt;PROCESO ** Cubo para analisis de personal activo y retirado, para realizar un kpi de rotación de personal&lt;/p&gt;"/>
    <x v="0"/>
    <x v="0"/>
    <n v="0"/>
    <n v="1"/>
    <x v="0"/>
  </r>
  <r>
    <s v="Informática"/>
    <n v="286"/>
    <s v="(286) PROCESO ** Seguimiento a Cuadtratica para Vesa"/>
    <n v="247795"/>
    <s v="SANDRA JUDITH LOARCA HERNANDEZ de PEREZ"/>
    <n v="28"/>
    <s v="20-ASIGNADO"/>
    <m/>
    <m/>
    <s v="x"/>
    <m/>
    <m/>
    <m/>
    <m/>
    <m/>
    <n v="2"/>
    <n v="2"/>
    <n v="2"/>
    <n v="2"/>
    <m/>
    <m/>
    <d v="2025-01-01T00:00:00"/>
    <d v="1899-12-31T00:00:00"/>
    <m/>
    <x v="1"/>
    <m/>
    <s v="&lt;p&gt;PROCESO ** Seguimiento a Cuadtratica para Vesa&lt;/p&gt;&lt;p&gt;PENDIENTE DE ASIGNAR LUIS GONZALEZ&lt;/p&gt;"/>
    <x v="0"/>
    <x v="1"/>
    <n v="0"/>
    <n v="1"/>
    <x v="1"/>
  </r>
  <r>
    <s v="Informática"/>
    <n v="287"/>
    <s v="(287) MEJORAS  ** Procesos de anulación en medios de pago SAP"/>
    <n v="289004"/>
    <s v="DOUGLAS MONTOYA MONTAVES"/>
    <n v="28"/>
    <s v="20-ASIGNADO"/>
    <m/>
    <m/>
    <s v="x"/>
    <m/>
    <m/>
    <m/>
    <m/>
    <m/>
    <n v="2"/>
    <n v="2"/>
    <n v="2"/>
    <n v="2"/>
    <m/>
    <m/>
    <d v="2025-01-01T00:00:00"/>
    <d v="1899-12-31T00:00:00"/>
    <m/>
    <x v="1"/>
    <m/>
    <s v="&lt;p&gt;MEJORAS  ** Procesos de anulación en medios de pago SAP&lt;/p&gt;&lt;p&gt;PENDIENTE DE ASIGNAR LUIS GONZALEZ&lt;/p&gt;"/>
    <x v="0"/>
    <x v="1"/>
    <n v="0"/>
    <n v="1"/>
    <x v="1"/>
  </r>
  <r>
    <s v="Informática"/>
    <n v="288"/>
    <s v="(288) REPORTE ** Se debe integrar al reporte de corte de caja generado en SAP los datos del resumen que los cajeros manejan en un archivo Excel. Además, se deben agregar parámetros que permitan almacenar en la base de datos la información de las boletas de depósito realizadas por los cajeros al final del día, junto con los comentarios adjuntos."/>
    <n v="289006"/>
    <s v="SULY DANIELA CHUN SANTOS de RIVERA"/>
    <n v="22"/>
    <s v="50-IMPLEMENTACION"/>
    <n v="195"/>
    <s v="Daniel Castillo"/>
    <s v="x"/>
    <b v="1"/>
    <m/>
    <m/>
    <m/>
    <m/>
    <n v="1"/>
    <n v="1"/>
    <n v="1"/>
    <n v="1"/>
    <m/>
    <m/>
    <d v="2025-01-01T00:00:00"/>
    <d v="1899-12-31T00:00:00"/>
    <m/>
    <x v="2"/>
    <m/>
    <s v="&lt;p&gt;REPORTE ** Se debe integrar al reporte de corte de caja generado en SAP los datos del resumen que los cajeros manejan en un archivo Excel. Además, se deben agregar parámetros que permitan almacenar en la base de datos la información de las boletas de depósito realizadas por los cajeros al final del día, junto con los comentarios adjuntos.&lt;/p&gt;"/>
    <x v="0"/>
    <x v="2"/>
    <n v="0"/>
    <n v="1"/>
    <x v="2"/>
  </r>
  <r>
    <s v="Informática"/>
    <n v="289"/>
    <s v="(289) MEJORAS ** Implementacion de Combos en GrafiPronto"/>
    <n v="247729"/>
    <s v="OLGA MARIA DE LA CRUZ VALLADARES GUILLEN de OVALLE"/>
    <n v="28"/>
    <s v="20-ASIGNADO"/>
    <m/>
    <m/>
    <s v="x"/>
    <m/>
    <m/>
    <m/>
    <m/>
    <m/>
    <n v="3"/>
    <n v="3"/>
    <n v="3"/>
    <n v="3"/>
    <m/>
    <m/>
    <d v="2025-01-01T00:00:00"/>
    <d v="1899-12-31T00:00:00"/>
    <m/>
    <x v="2"/>
    <m/>
    <s v="&lt;p&gt;MEJORAS ** Implementacion de Combos en GrafiPronto&lt;/p&gt;&lt;p&gt;PENDIENTE DE ASIGNAR LUIS GONZALEZ&lt;/p&gt;"/>
    <x v="0"/>
    <x v="2"/>
    <n v="0"/>
    <n v="1"/>
    <x v="2"/>
  </r>
  <r>
    <s v="Informática"/>
    <n v="291"/>
    <s v="(291) PROCESO ** Estandarización de las instancias SAP MAQUIPOS Y VESA"/>
    <n v="247393"/>
    <s v="MIGUEL EDUARDO PEREZ LOPEZ"/>
    <n v="28"/>
    <s v="20-ASIGNADO"/>
    <m/>
    <m/>
    <s v="x"/>
    <m/>
    <m/>
    <m/>
    <m/>
    <m/>
    <n v="3"/>
    <n v="3"/>
    <n v="3"/>
    <n v="3"/>
    <m/>
    <m/>
    <d v="2025-01-01T00:00:00"/>
    <d v="1899-12-31T00:00:00"/>
    <m/>
    <x v="4"/>
    <m/>
    <s v="&lt;p&gt;PROCESO ** Estandarización de las instancias SAP MAQUIPOS Y VESA&lt;/p&gt;&lt;p&gt;PENDIENTE DE ASIGNAR LUIS GONZALEZ&lt;/p&gt;"/>
    <x v="0"/>
    <x v="3"/>
    <n v="0"/>
    <n v="1"/>
    <x v="3"/>
  </r>
  <r>
    <s v="Informática"/>
    <n v="293"/>
    <s v="(293) PROCESO ** Seguimiento a Cuadtratica para Canella ** "/>
    <n v="247795"/>
    <s v="SANDRA JUDITH LOARCA HERNANDEZ de PEREZ"/>
    <n v="28"/>
    <s v="20-ASIGNADO"/>
    <m/>
    <m/>
    <s v="x"/>
    <m/>
    <m/>
    <m/>
    <m/>
    <m/>
    <n v="2"/>
    <n v="2"/>
    <n v="2"/>
    <n v="2"/>
    <m/>
    <m/>
    <d v="2025-01-01T00:00:00"/>
    <d v="1899-12-31T00:00:00"/>
    <m/>
    <x v="5"/>
    <m/>
    <s v="&lt;p&gt;PROCESO ** Seguimiento a Cuadtratica para Canella&lt;/p&gt;&lt;p&gt;PENNDIENTE DE ASIGNAR LUIS GONZALEZ&lt;/p&gt;"/>
    <x v="0"/>
    <x v="3"/>
    <n v="0"/>
    <n v="1"/>
    <x v="3"/>
  </r>
  <r>
    <s v="Informática"/>
    <n v="294"/>
    <s v="(294) PROCESO ** Implementación del Sistema de Inventario en tránsito VESA Y MAQUIPOS"/>
    <n v="247795"/>
    <s v="SANDRA JUDITH LOARCA HERNANDEZ de PEREZ"/>
    <n v="28"/>
    <s v="20-ASIGNADO"/>
    <m/>
    <m/>
    <s v="x"/>
    <m/>
    <m/>
    <m/>
    <m/>
    <m/>
    <n v="1"/>
    <n v="1"/>
    <n v="2"/>
    <n v="2"/>
    <m/>
    <m/>
    <d v="2025-01-01T00:00:00"/>
    <d v="1899-12-31T00:00:00"/>
    <m/>
    <x v="6"/>
    <m/>
    <s v="&lt;p&gt;PROCESO ** Implementación del Sistema de Inventario en tránsito VESA Y MAQUIPOS&lt;/p&gt;&lt;p&gt;PENDIENTE DE ASIGNAR LUIS GONNZALEZ&lt;/p&gt;"/>
    <x v="0"/>
    <x v="4"/>
    <n v="0"/>
    <n v="1"/>
    <x v="4"/>
  </r>
  <r>
    <s v="Informática"/>
    <n v="300"/>
    <s v="(300) REPORTE ** Se solicita agregar a nuevo personal al reporte, además de que se presenta el inconveniente ya que no aparecen ciertos mecánicos dentro de los registros. El usuario comenta lo siguiente: &quot;Me falta Kevin Raul España, Bryan Erickson Gomez Hernandez, y Anferny Antonio Lopez para que por favor sean agregados en ambos reportes"/>
    <n v="293171"/>
    <s v="GABRIEL EFRAIN MELENDEZ MARROQUIN"/>
    <n v="21"/>
    <s v="60-CERTIFICADO"/>
    <n v="195"/>
    <s v="Daniel Castillo"/>
    <s v="x"/>
    <b v="1"/>
    <m/>
    <m/>
    <m/>
    <m/>
    <n v="1"/>
    <n v="1"/>
    <n v="2"/>
    <n v="2"/>
    <m/>
    <m/>
    <d v="2025-01-01T00:00:00"/>
    <d v="1899-12-31T00:00:00"/>
    <m/>
    <x v="7"/>
    <m/>
    <s v="&lt;p&gt;REPORTE ** Se solicita agregar a nuevo personal al reporte, además de que se presenta el inconveniente ya que no aparecen ciertos mecánicos dentro de los registros. El usuario comenta lo siguiente: &quot;Me falta Kevin Raul España, Bryan Erickson Gomez Hernandez, y Anferny Antonio Lopez para que por favor sean agregados en ambos reportes&lt;/p&gt;"/>
    <x v="0"/>
    <x v="2"/>
    <n v="0"/>
    <n v="1"/>
    <x v="2"/>
  </r>
  <r>
    <s v="Informática"/>
    <n v="305"/>
    <s v="(305) PROCESO ** Implementación de RPA para confirmación de boletas de deposito"/>
    <n v="247795"/>
    <s v="SANDRA JUDITH LOARCA HERNANDEZ de PEREZ"/>
    <n v="28"/>
    <s v="20-ASIGNADO"/>
    <n v="195"/>
    <s v="Daniel Castillo"/>
    <s v="x"/>
    <m/>
    <m/>
    <m/>
    <m/>
    <m/>
    <n v="1"/>
    <n v="1"/>
    <n v="1"/>
    <n v="1"/>
    <m/>
    <m/>
    <d v="2025-01-01T00:00:00"/>
    <d v="1899-12-31T00:00:00"/>
    <m/>
    <x v="8"/>
    <m/>
    <s v="&lt;p&gt;PROCESO ** Implementación de RPA para confirmación de boletas de deposito&lt;/p&gt;&lt;p&gt;&lt;br&gt;&lt;/p&gt;"/>
    <x v="0"/>
    <x v="3"/>
    <n v="0"/>
    <n v="1"/>
    <x v="3"/>
  </r>
  <r>
    <s v="Informática"/>
    <n v="309"/>
    <s v="(309) PROCESO  ** Implementación del Sistema de PinPads para el manejo de Cajas en Facturación Fase 1"/>
    <n v="247795"/>
    <s v="SANDRA JUDITH LOARCA HERNANDEZ de PEREZ"/>
    <n v="21"/>
    <s v="60-CERTIFICADO"/>
    <m/>
    <m/>
    <s v="x"/>
    <m/>
    <m/>
    <m/>
    <m/>
    <m/>
    <n v="1"/>
    <n v="1"/>
    <n v="1"/>
    <n v="1"/>
    <m/>
    <m/>
    <d v="2025-01-01T00:00:00"/>
    <d v="1899-12-31T00:00:00"/>
    <m/>
    <x v="0"/>
    <m/>
    <s v="&lt;p&gt;PROCESO  ** Implementación del Sistema de PinPads para el manejo de Cajas en Facturación Fase 1&lt;/p&gt;&lt;p&gt;PENDIENTE DE ASIGNAR MARVIN VARGAS&lt;/p&gt;"/>
    <x v="0"/>
    <x v="0"/>
    <n v="0"/>
    <n v="1"/>
    <x v="0"/>
  </r>
  <r>
    <s v="Informática"/>
    <n v="312"/>
    <s v="(312) PROCESO ** Conexión a SAP para  consultas de CQM Yamaha"/>
    <n v="247807"/>
    <s v="EDUARDO JACOBO ARA GÓMEZ"/>
    <n v="28"/>
    <s v="20-ASIGNADO"/>
    <m/>
    <m/>
    <s v="x"/>
    <b v="1"/>
    <m/>
    <m/>
    <m/>
    <m/>
    <n v="2"/>
    <n v="2"/>
    <n v="2"/>
    <n v="2"/>
    <m/>
    <m/>
    <d v="2025-01-01T00:00:00"/>
    <d v="1899-12-31T00:00:00"/>
    <m/>
    <x v="6"/>
    <m/>
    <s v="&lt;p&gt;PROCESO ** Conexión a SAP para  consultas de CQM Yamaha&lt;/p&gt;&lt;p&gt;PENDIENTE DE ASIGNAR MARVIN VARGAS&lt;/p&gt;"/>
    <x v="0"/>
    <x v="4"/>
    <n v="0"/>
    <n v="1"/>
    <x v="4"/>
  </r>
  <r>
    <s v="Informática"/>
    <n v="313"/>
    <s v="(313) Información sobre la data del FEIC distribuidores para que se ingresen en un sitio web"/>
    <m/>
    <m/>
    <n v="28"/>
    <s v="20-ASIGNADO"/>
    <n v="3199"/>
    <s v="Erick Estuardo Hernandez Andrino"/>
    <s v="x"/>
    <m/>
    <m/>
    <m/>
    <m/>
    <m/>
    <n v="1"/>
    <n v="1"/>
    <n v="1"/>
    <n v="1"/>
    <m/>
    <m/>
    <d v="2025-01-01T00:00:00"/>
    <d v="1899-12-31T00:00:00"/>
    <m/>
    <x v="8"/>
    <m/>
    <m/>
    <x v="0"/>
    <x v="3"/>
    <n v="0"/>
    <n v="1"/>
    <x v="3"/>
  </r>
  <r>
    <s v="Informática"/>
    <n v="314"/>
    <s v="(314) PROCESO ** Tiendas en línea Motul-Interstate - Ipone, desarrollo de webservices con SAP"/>
    <n v="247857"/>
    <s v="ARNALDO RENE COTTO STREMS"/>
    <n v="28"/>
    <s v="20-ASIGNADO"/>
    <m/>
    <m/>
    <s v="x"/>
    <m/>
    <m/>
    <m/>
    <m/>
    <m/>
    <n v="2"/>
    <n v="2"/>
    <n v="2"/>
    <n v="2"/>
    <m/>
    <m/>
    <d v="2025-01-01T00:00:00"/>
    <d v="1899-12-31T00:00:00"/>
    <m/>
    <x v="7"/>
    <m/>
    <s v="&lt;p&gt;PROCESO ** Tiendas en línea Motul-Interstate - Ipone, desarrollo de webservices con SAP&lt;/p&gt;&lt;p&gt;PENDIENTE DE ASIGNAR MARVINN VARGAS&lt;/p&gt;"/>
    <x v="0"/>
    <x v="2"/>
    <n v="0"/>
    <n v="1"/>
    <x v="2"/>
  </r>
  <r>
    <s v="Informática"/>
    <n v="315"/>
    <s v="(315) PROCESO ** Modificación al reporte de la IVE y el nombre del reporte IVE-INF-05, Carlos Rosales hizo los ultimos ajustes por la auditoria de la IVE.  Luis enviara un correo detallando los ajustes a realizar"/>
    <n v="247651"/>
    <s v="LUIS FERNANDO BARRIOS MATIAS"/>
    <n v="21"/>
    <s v="60-CERTIFICADO"/>
    <n v="3199"/>
    <s v="Erick Estuardo Hernandez Andrino"/>
    <s v="x"/>
    <m/>
    <m/>
    <m/>
    <m/>
    <m/>
    <n v="1"/>
    <n v="1"/>
    <n v="3"/>
    <n v="3"/>
    <m/>
    <m/>
    <d v="2025-01-01T00:00:00"/>
    <d v="1899-12-31T00:00:00"/>
    <m/>
    <x v="7"/>
    <m/>
    <s v="&lt;p&gt;PROCESO ** Modificación al reporte de la IVE y el nombre del reporte IVE-INF-05, Carlos Rosales hizo los ultimos ajustes por la auditoria de la IVE.  Luis enviara un correo detallando los ajustes a realizar&lt;/p&gt;"/>
    <x v="0"/>
    <x v="2"/>
    <n v="0"/>
    <n v="1"/>
    <x v="2"/>
  </r>
  <r>
    <s v="Informática"/>
    <n v="316"/>
    <s v="(316) PROCESO ** Conexión a página web de distribuidores Canon y tienda en línea para interfaces con SAP"/>
    <n v="247770"/>
    <s v="JORGE LUIS MURALLES PAPPA"/>
    <n v="28"/>
    <s v="20-ASIGNADO"/>
    <m/>
    <m/>
    <s v="x"/>
    <m/>
    <m/>
    <m/>
    <m/>
    <m/>
    <n v="2"/>
    <n v="2"/>
    <n v="2"/>
    <n v="2"/>
    <m/>
    <m/>
    <d v="2025-01-01T00:00:00"/>
    <d v="1899-12-31T00:00:00"/>
    <m/>
    <x v="7"/>
    <m/>
    <s v="&lt;p&gt;PROCESO ** Conexión a página web de distribuidores Canon y tienda en línea para interfaces con SAP&lt;/p&gt;&lt;p&gt;PENDIENTE DE ASIGNAR MARVIN VARGAS&lt;/p&gt;"/>
    <x v="0"/>
    <x v="2"/>
    <n v="0"/>
    <n v="1"/>
    <x v="2"/>
  </r>
  <r>
    <s v="Informática"/>
    <n v="318"/>
    <s v="(318) PROCESO ** Seguimiento al proceso cotización de equipos y respuetos de Maquinaria, realizar webservices con SAP"/>
    <n v="247068"/>
    <s v="YESVI AVIGAIL ELIAS ORIZABAL"/>
    <n v="28"/>
    <s v="20-ASIGNADO"/>
    <m/>
    <m/>
    <s v="x"/>
    <m/>
    <m/>
    <m/>
    <m/>
    <m/>
    <n v="2"/>
    <n v="2"/>
    <n v="2"/>
    <n v="2"/>
    <m/>
    <m/>
    <d v="2025-01-02T00:00:00"/>
    <d v="1899-12-31T00:00:00"/>
    <m/>
    <x v="9"/>
    <m/>
    <s v="&lt;p&gt;PROCESO ** Seguimiento al proceso cotización de equipos y respuetos de Maquinaria, realizar webservices con SAP&lt;/p&gt;&lt;p&gt;PENDIENTE DE ASIGNAR MARVIN VARGAS&lt;/p&gt;"/>
    <x v="0"/>
    <x v="1"/>
    <n v="0"/>
    <n v="1"/>
    <x v="1"/>
  </r>
  <r>
    <s v="Informática"/>
    <n v="320"/>
    <s v="(320) MEJORAS ** 2da fase de tablero de atención al clientes para cajas del departamento de Repuestos"/>
    <n v="247556"/>
    <s v="DOUGLAS MONTOYA MONTAVES"/>
    <n v="28"/>
    <s v="20-ASIGNADO"/>
    <m/>
    <m/>
    <s v="x"/>
    <m/>
    <m/>
    <m/>
    <m/>
    <m/>
    <n v="3"/>
    <n v="3"/>
    <n v="3"/>
    <n v="3"/>
    <m/>
    <m/>
    <d v="2025-01-01T00:00:00"/>
    <d v="1899-12-31T00:00:00"/>
    <m/>
    <x v="4"/>
    <m/>
    <s v="&lt;p&gt;MEJORAS ** 2da fase de tablero de atención al clientes para cajas del departamento de Repuestos&lt;/p&gt;&lt;p&gt;PENDIENTE DE ASIGNAR MARVIN VARGAS&lt;/p&gt;"/>
    <x v="0"/>
    <x v="3"/>
    <n v="0"/>
    <n v="1"/>
    <x v="3"/>
  </r>
  <r>
    <s v="Informática"/>
    <n v="322"/>
    <s v="(322) CONSULTA EN SISTEMA DE PEDIDOS DISTRIBUIDORES - KRAS ** Consulta de estados de cuenta por el cliente en la web. Desde la página de pedidos del distribuidor se podrá accesar a la página de estados de cuenta"/>
    <n v="247857"/>
    <s v="ARNALDO RENE COTTO STREMS"/>
    <n v="28"/>
    <s v="20-ASIGNADO"/>
    <m/>
    <m/>
    <s v="x"/>
    <m/>
    <m/>
    <m/>
    <m/>
    <m/>
    <n v="3"/>
    <n v="3"/>
    <n v="1"/>
    <n v="1"/>
    <m/>
    <m/>
    <d v="2025-01-01T00:00:00"/>
    <d v="1899-12-31T00:00:00"/>
    <m/>
    <x v="4"/>
    <m/>
    <s v="&lt;p&gt;CONSULTA EN SISTEMA DE PEDIDOS DISTRIBUIDORES - KRAS ** Consulta de estados de cuenta por el cliente en la web. Desde la página de pedidos del distribuidor se podrá accesar a la página de estados de cuenta&lt;/p&gt;&lt;p&gt;PENDIENTE DE ASIGNAR MARVIN VARGAS&lt;/p&gt;"/>
    <x v="0"/>
    <x v="3"/>
    <n v="0"/>
    <n v="1"/>
    <x v="3"/>
  </r>
  <r>
    <s v="Informática"/>
    <n v="323"/>
    <s v="(323) PROCESO ** KPIS de rendimiento para personal de créditos y cobros"/>
    <n v="247722"/>
    <s v="RICARDO ALFONSO ESCOBEDO DACARET"/>
    <n v="28"/>
    <s v="20-ASIGNADO"/>
    <n v="2767"/>
    <s v="Gerson Castro"/>
    <s v="x"/>
    <m/>
    <m/>
    <m/>
    <m/>
    <m/>
    <n v="1"/>
    <n v="1"/>
    <n v="3"/>
    <n v="3"/>
    <m/>
    <m/>
    <d v="2025-01-01T00:00:00"/>
    <d v="1899-12-31T00:00:00"/>
    <m/>
    <x v="5"/>
    <m/>
    <s v="&lt;p&gt;PROCESO ** KPIS de rendimiento para personal de créditos y cobros&lt;/p&gt;"/>
    <x v="0"/>
    <x v="3"/>
    <n v="0"/>
    <n v="1"/>
    <x v="3"/>
  </r>
  <r>
    <s v="Informática"/>
    <n v="324"/>
    <s v="(324) PROCESO ** Seguimiento al proceso de entrega y preparación de vehículos, realizar webservices con SAP"/>
    <n v="247374"/>
    <s v="LUIS PEDRO LOPEZ RODAS"/>
    <n v="28"/>
    <s v="20-ASIGNADO"/>
    <m/>
    <m/>
    <s v="x"/>
    <m/>
    <m/>
    <m/>
    <m/>
    <m/>
    <n v="2"/>
    <n v="2"/>
    <n v="2"/>
    <n v="2"/>
    <m/>
    <m/>
    <d v="2025-01-01T00:00:00"/>
    <d v="1899-12-31T00:00:00"/>
    <m/>
    <x v="6"/>
    <m/>
    <s v="&lt;p&gt;PROCESO ** Seguimiento al proceso de entrega y preparación de vehículos, realizar webservices con SAP&lt;/p&gt;&lt;p&gt;PENDIENTE DE ASIGNAR MARVIN VARGAS&lt;/p&gt;"/>
    <x v="0"/>
    <x v="4"/>
    <n v="0"/>
    <n v="1"/>
    <x v="4"/>
  </r>
  <r>
    <s v="Informática"/>
    <n v="326"/>
    <s v="(326) PROCESO ** Conexión a SAP para retroalimentación de etapas de reparación de un vehículo"/>
    <n v="247828"/>
    <s v="DOUGLAS ALEJANDRO MALDONADO DUMAS"/>
    <n v="28"/>
    <s v="20-ASIGNADO"/>
    <m/>
    <m/>
    <s v="x"/>
    <m/>
    <m/>
    <m/>
    <m/>
    <m/>
    <n v="2"/>
    <n v="2"/>
    <n v="2"/>
    <n v="2"/>
    <m/>
    <m/>
    <d v="2025-01-01T00:00:00"/>
    <d v="1899-12-31T00:00:00"/>
    <m/>
    <x v="4"/>
    <m/>
    <s v="&lt;p&gt;PROCESO ** Conexión a SAP para retroalimentación de etapas de reparación de un vehículo&lt;/p&gt;&lt;p&gt;PENDIENTE DE ASIGNAR MARVIN VARGAS&lt;/p&gt;"/>
    <x v="0"/>
    <x v="3"/>
    <n v="0"/>
    <n v="1"/>
    <x v="3"/>
  </r>
  <r>
    <s v="Informática"/>
    <n v="331"/>
    <s v="(331) WMS  ** Implementación de WMS en Elisur. Las otras bodegas serán tickets adicionales (Bodega zona4, Taller Automotriz, Bodega Hyundai)"/>
    <n v="289092"/>
    <s v="CESAR ORLANDO MARTINEZ ABAL"/>
    <n v="21"/>
    <s v="60-CERTIFICADO"/>
    <n v="3203"/>
    <s v="Jose Pablo Reyes Gonzalez"/>
    <s v="x"/>
    <b v="1"/>
    <m/>
    <m/>
    <m/>
    <m/>
    <n v="1"/>
    <n v="1"/>
    <n v="1"/>
    <n v="1"/>
    <m/>
    <m/>
    <d v="2025-01-01T00:00:00"/>
    <d v="1899-12-31T00:00:00"/>
    <m/>
    <x v="4"/>
    <m/>
    <s v="&lt;p&gt;WMS  ** Implementación de WMS en Elisur. Las otras bodegas serán tickets adicionales (Bodega zona4, Taller Automotriz, Bodega Hyundai)&lt;/p&gt;"/>
    <x v="0"/>
    <x v="3"/>
    <n v="0"/>
    <n v="1"/>
    <x v="3"/>
  </r>
  <r>
    <s v="Informática"/>
    <n v="337"/>
    <s v="(337) ENSAMBLE DE MOTOS   - KRAS ** Implementación del Módulo de Ensamble de Motocicletas en Elizur Fase 1"/>
    <n v="289092"/>
    <s v="CESAR ORLANDO MARTINEZ ABAL"/>
    <n v="21"/>
    <s v="60-CERTIFICADO"/>
    <n v="3203"/>
    <s v="Jose Pablo Reyes Gonzalez"/>
    <s v="x"/>
    <b v="1"/>
    <m/>
    <m/>
    <m/>
    <m/>
    <n v="1"/>
    <n v="1"/>
    <n v="1"/>
    <n v="1"/>
    <m/>
    <m/>
    <d v="2025-01-01T00:00:00"/>
    <d v="1899-12-31T00:00:00"/>
    <m/>
    <x v="10"/>
    <m/>
    <s v="&lt;p&gt;ENSAMBLE DE MOTOS   - KRAS ** Implementación del Módulo de Ensamble de Motocicletas en Elizur Fase 1&lt;/p&gt;"/>
    <x v="0"/>
    <x v="2"/>
    <n v="0"/>
    <n v="1"/>
    <x v="2"/>
  </r>
  <r>
    <s v="Informática"/>
    <n v="341"/>
    <s v="(341) PROCESO ** Implementación de EVOLUTION sistema de RRHH"/>
    <n v="247904"/>
    <s v="MIRNA LISSETTE ARRECIS ROSALES"/>
    <n v="28"/>
    <s v="20-ASIGNADO"/>
    <n v="312"/>
    <s v="Williams Galvan"/>
    <s v="x"/>
    <m/>
    <m/>
    <m/>
    <m/>
    <m/>
    <n v="1"/>
    <n v="1"/>
    <n v="1"/>
    <n v="1"/>
    <m/>
    <m/>
    <d v="2025-01-01T00:00:00"/>
    <d v="1899-12-31T00:00:00"/>
    <m/>
    <x v="11"/>
    <m/>
    <s v="&lt;p&gt;PROCESO ** Implementación de EVOLUTION sistema de RRHH&lt;/p&gt;"/>
    <x v="0"/>
    <x v="5"/>
    <n v="0"/>
    <n v="1"/>
    <x v="5"/>
  </r>
  <r>
    <s v="Informática"/>
    <n v="343"/>
    <s v="(343) PROCESO ** Implementación de SAP 10 para la Empresa Canella"/>
    <n v="247885"/>
    <s v="AMABILIA MARISOL RECINOS ARGUETA"/>
    <n v="28"/>
    <s v="20-ASIGNADO"/>
    <n v="312"/>
    <s v="Williams Galvan"/>
    <s v="x"/>
    <m/>
    <m/>
    <m/>
    <m/>
    <m/>
    <n v="1"/>
    <n v="1"/>
    <n v="1"/>
    <n v="1"/>
    <m/>
    <m/>
    <d v="2025-01-01T00:00:00"/>
    <d v="1899-12-31T00:00:00"/>
    <m/>
    <x v="12"/>
    <m/>
    <s v="&lt;p&gt;PROCESO ** Implementación de SAP 10 para la Empresa Canella&lt;/p&gt;"/>
    <x v="0"/>
    <x v="3"/>
    <n v="0"/>
    <n v="1"/>
    <x v="3"/>
  </r>
  <r>
    <s v="Informática"/>
    <n v="345"/>
    <s v="(345) PROCESO ** Seguimiento al Sistema SAP para mejorar la estabilidad, bloqueos y mejoras en redimiento. Identificar procesos clave y hacer un plan de trabajo"/>
    <n v="247885"/>
    <s v="AMABILIA MARISOL RECINOS ARGUETA"/>
    <n v="28"/>
    <s v="20-ASIGNADO"/>
    <n v="312"/>
    <s v="Williams Galvan"/>
    <s v="x"/>
    <m/>
    <m/>
    <m/>
    <m/>
    <m/>
    <n v="1"/>
    <n v="1"/>
    <n v="1"/>
    <n v="1"/>
    <m/>
    <m/>
    <d v="2025-01-01T00:00:00"/>
    <d v="1899-12-31T00:00:00"/>
    <m/>
    <x v="13"/>
    <m/>
    <s v="&lt;p&gt;PROCESO ** Seguimiento al Sistema SAP para mejorar la estabilidad, bloqueos y mejoras en redimiento. Identificar procesos clave y hacer un plan de trabajo&lt;/p&gt;"/>
    <x v="0"/>
    <x v="4"/>
    <n v="0"/>
    <n v="1"/>
    <x v="4"/>
  </r>
  <r>
    <s v="Informática"/>
    <n v="346"/>
    <s v="(346) PANTALLA  ** Creación de pantalla para cambiar códigos de artículos que tengan pase en el contrato, debido que a la hora de despachar no cuentan con el artículo.  "/>
    <n v="247828"/>
    <s v="DOUGLAS ALEJANDRO MALDONADO DUMAS"/>
    <n v="21"/>
    <s v="60-CERTIFICADO"/>
    <n v="3234"/>
    <s v="Jose Andres Chajon Cueto"/>
    <s v="x"/>
    <m/>
    <m/>
    <m/>
    <m/>
    <m/>
    <n v="1"/>
    <n v="1"/>
    <n v="1"/>
    <n v="1"/>
    <m/>
    <m/>
    <d v="2025-01-01T00:00:00"/>
    <d v="1899-12-31T00:00:00"/>
    <m/>
    <x v="0"/>
    <m/>
    <s v="&lt;p&gt;PANTALLA  ** Creación de pantalla para cambiar códigos de artículos que tengan pase en el contrato, debido que a la hora de despachar no cuentan con el artículo.  &lt;/p&gt;"/>
    <x v="0"/>
    <x v="0"/>
    <n v="0"/>
    <n v="1"/>
    <x v="0"/>
  </r>
  <r>
    <s v="Informática"/>
    <n v="347"/>
    <s v="(347) MODULO DE COMISIONES ** Creación de modulo de comisiones con las indicaciones de Auditoría y Gerencia"/>
    <n v="247857"/>
    <s v="ARNALDO RENE COTTO STREMS"/>
    <n v="28"/>
    <s v="20-ASIGNADO"/>
    <n v="3234"/>
    <s v="Jose Andres Chajon Cueto"/>
    <s v="x"/>
    <m/>
    <m/>
    <m/>
    <m/>
    <m/>
    <n v="3"/>
    <n v="3"/>
    <n v="1"/>
    <n v="1"/>
    <m/>
    <m/>
    <d v="2025-01-01T00:00:00"/>
    <d v="1899-12-31T00:00:00"/>
    <m/>
    <x v="4"/>
    <m/>
    <s v="&lt;p&gt;MODULO DE COMISIONES ** Creación de modulo de comisiones con las indicaciones de Auditoría y Gerencia&lt;/p&gt;"/>
    <x v="0"/>
    <x v="3"/>
    <n v="0"/>
    <n v="1"/>
    <x v="3"/>
  </r>
  <r>
    <s v="Informática"/>
    <n v="348"/>
    <s v="(348) PROCESO ** Necesitamos realizar un desarrollo en SAP, practicamente es que cuando un cliente con facturas en mora se ponga al día, el sistema lo desbloquee en automático sin la intervención de Créditos. Edward Garcia fue el solicitante"/>
    <n v="247722"/>
    <s v="RICARDO ALFONSO ESCOBEDO DACARET"/>
    <n v="21"/>
    <s v="60-CERTIFICADO"/>
    <n v="3234"/>
    <s v="Jose Andres Chajon Cueto"/>
    <s v="x"/>
    <m/>
    <m/>
    <m/>
    <m/>
    <m/>
    <n v="1"/>
    <n v="1"/>
    <n v="1"/>
    <n v="1"/>
    <m/>
    <m/>
    <d v="2025-01-01T00:00:00"/>
    <d v="1899-12-31T00:00:00"/>
    <m/>
    <x v="0"/>
    <m/>
    <s v="&lt;p&gt;PROCESO ** Necesitamos realizar un desarrollo en SAP, practicamente es que cuando un cliente con facturas en mora se ponga al día, el sistema lo desbloquee en automático sin la intervención de Créditos. Edward Garcia fue el solicitante&lt;/p&gt;"/>
    <x v="0"/>
    <x v="0"/>
    <n v="0"/>
    <n v="1"/>
    <x v="0"/>
  </r>
  <r>
    <s v="Informática"/>
    <n v="349"/>
    <s v="(349) PROCESO  ** Implementación tarifario de mano de obra Isuzu (Esto está detenido por Douglas porque necesita un reporte de líneas de vehículo de José Roberto para depurar las líneas en SAP)"/>
    <n v="247828"/>
    <s v="DOUGLAS ALEJANDRO MALDONADO DUMAS"/>
    <n v="28"/>
    <s v="20-ASIGNADO"/>
    <n v="3234"/>
    <s v="Jose Andres Chajon Cueto"/>
    <s v="x"/>
    <m/>
    <m/>
    <m/>
    <m/>
    <m/>
    <n v="3"/>
    <n v="3"/>
    <n v="3"/>
    <n v="3"/>
    <m/>
    <m/>
    <d v="2025-01-01T00:00:00"/>
    <d v="1899-12-31T00:00:00"/>
    <m/>
    <x v="7"/>
    <m/>
    <s v="&lt;p&gt;PROCESO  ** Implementación tarifario de mano de obra Isuzu (Esto está detenido por Douglas porque necesita un reporte de líneas de vehículo de José Roberto para depurar las líneas en SAP)&lt;/p&gt;"/>
    <x v="0"/>
    <x v="2"/>
    <n v="0"/>
    <n v="1"/>
    <x v="2"/>
  </r>
  <r>
    <s v="Informática"/>
    <n v="350"/>
    <s v="(350) REPORTE ** Realizar un reporte de Inventario con las columnas indicadas por Rene Cotto"/>
    <n v="247857"/>
    <s v="ARNALDO RENE COTTO STREMS"/>
    <n v="28"/>
    <s v="20-ASIGNADO"/>
    <n v="3234"/>
    <s v="Jose Andres Chajon Cueto"/>
    <s v="x"/>
    <m/>
    <m/>
    <m/>
    <m/>
    <m/>
    <n v="1"/>
    <n v="1"/>
    <n v="1"/>
    <n v="1"/>
    <m/>
    <m/>
    <d v="2025-01-01T00:00:00"/>
    <d v="1899-12-31T00:00:00"/>
    <m/>
    <x v="14"/>
    <m/>
    <s v="&lt;p&gt;REPORTE ** Realizar un reporte de Inventario con las columnas indicadas por Rene Cotto&lt;/p&gt;"/>
    <x v="0"/>
    <x v="1"/>
    <n v="0"/>
    <n v="1"/>
    <x v="1"/>
  </r>
  <r>
    <s v="Informática"/>
    <n v="351"/>
    <s v="(351) PROCESO  ** Cambio de códigos de mano de obra en el módulo de contratos de mantenimiento para salir en vivo con el tarifario de mano de obra isuzu (en espera de listado de códigos de parte de Douglas)."/>
    <n v="247828"/>
    <s v="DOUGLAS ALEJANDRO MALDONADO DUMAS"/>
    <n v="28"/>
    <s v="20-ASIGNADO"/>
    <n v="3234"/>
    <s v="Jose Andres Chajon Cueto"/>
    <s v="x"/>
    <m/>
    <m/>
    <m/>
    <m/>
    <m/>
    <n v="3"/>
    <n v="3"/>
    <n v="1"/>
    <n v="1"/>
    <m/>
    <m/>
    <d v="2025-01-01T00:00:00"/>
    <d v="1899-12-31T00:00:00"/>
    <m/>
    <x v="8"/>
    <m/>
    <s v="&lt;p&gt;PROCESO  ** Cambio de códigos de mano de obra en el módulo de contratos de mantenimiento para salir en vivo con el tarifario de mano de obra isuzu (en espera de listado de códigos de parte de Douglas).&lt;/p&gt;"/>
    <x v="0"/>
    <x v="3"/>
    <n v="0"/>
    <n v="1"/>
    <x v="3"/>
  </r>
  <r>
    <s v="Informática"/>
    <n v="367"/>
    <s v="(367) Mejoras al sistema SQM y STOD en la parte de registro de Leas y Cotizaciones para que no exista doble digitación"/>
    <n v="247605"/>
    <s v="MANUEL RAMIRO LOPEZ PIEDRASANTA"/>
    <n v="29"/>
    <s v="10-COLA"/>
    <m/>
    <m/>
    <s v="x"/>
    <m/>
    <m/>
    <m/>
    <m/>
    <m/>
    <n v="2"/>
    <n v="2"/>
    <n v="2"/>
    <n v="2"/>
    <m/>
    <m/>
    <d v="2025-01-28T00:00:00"/>
    <d v="1899-12-31T00:00:00"/>
    <m/>
    <x v="15"/>
    <m/>
    <s v="&lt;p&gt;Mejoras al sistema SQM y STOD en la parte de registro de Leas y Cotizaciones para que no exista doble digitación&lt;/p&gt;"/>
    <x v="0"/>
    <x v="2"/>
    <n v="0"/>
    <n v="1"/>
    <x v="2"/>
  </r>
  <r>
    <s v="Informática"/>
    <n v="368"/>
    <s v="(368) Cerrar todas las ordenes abiertas de la División Soluciones de Oficina hasta el 30 de septiembre de 2024"/>
    <n v="247888"/>
    <s v="JUAN MANUEL SOTO GUTIERREZ"/>
    <n v="22"/>
    <s v="50-IMPLEMENTACION"/>
    <n v="3233"/>
    <s v="Carlos Rosales"/>
    <s v="x"/>
    <m/>
    <m/>
    <m/>
    <m/>
    <m/>
    <n v="1"/>
    <n v="1"/>
    <n v="1"/>
    <n v="1"/>
    <m/>
    <m/>
    <d v="2024-12-27T00:00:00"/>
    <d v="1899-12-31T00:00:00"/>
    <m/>
    <x v="16"/>
    <m/>
    <s v="&lt;p&gt;Cerrar todas las ordenes abiertas de la División Soluciones de Oficina hasta el 30 de septiembre de 2024,&lt;/p&gt;&lt;p&gt;En conjunto con Marvin Vargas se cerraron automáticamente las OC&lt;/p&gt;"/>
    <x v="0"/>
    <x v="1"/>
    <n v="0"/>
    <n v="1"/>
    <x v="1"/>
  </r>
  <r>
    <s v="Informática"/>
    <n v="372"/>
    <s v="(372) Se da soporte al proceso de confirmación de boletas en el caso donde se confirmo una boleta con banco incorrecto y en donde el detalle de montos"/>
    <n v="289036"/>
    <s v="MADELYN SUSANA BRAN OLIVAREZ"/>
    <n v="29"/>
    <s v="10-COLA"/>
    <n v="195"/>
    <s v="Daniel Castillo"/>
    <s v="x"/>
    <b v="1"/>
    <m/>
    <m/>
    <m/>
    <m/>
    <m/>
    <m/>
    <n v="1"/>
    <n v="1"/>
    <m/>
    <m/>
    <d v="2025-01-16T00:00:00"/>
    <d v="1899-12-31T00:00:00"/>
    <m/>
    <x v="17"/>
    <m/>
    <m/>
    <x v="0"/>
    <x v="0"/>
    <n v="0"/>
    <n v="1"/>
    <x v="0"/>
  </r>
  <r>
    <s v="Informática"/>
    <n v="0"/>
    <s v="(NT) Test 01 (CN006)"/>
    <m/>
    <m/>
    <n v="29"/>
    <s v="10-COLA"/>
    <n v="252"/>
    <s v="Julio de León"/>
    <s v="x"/>
    <m/>
    <n v="1"/>
    <s v="API"/>
    <m/>
    <m/>
    <m/>
    <m/>
    <m/>
    <m/>
    <m/>
    <m/>
    <m/>
    <m/>
    <m/>
    <x v="18"/>
    <m/>
    <m/>
    <x v="0"/>
    <x v="6"/>
    <n v="0"/>
    <n v="0"/>
    <x v="6"/>
  </r>
  <r>
    <s v="Informática"/>
    <n v="0"/>
    <s v="(NT) Test Williams Galván"/>
    <n v="247047"/>
    <s v="JULIO RENE PAIZ ANDRADE"/>
    <n v="29"/>
    <s v="10-COLA"/>
    <n v="312"/>
    <s v="Williams Galvan"/>
    <s v="x"/>
    <b v="1"/>
    <m/>
    <m/>
    <m/>
    <m/>
    <m/>
    <m/>
    <m/>
    <m/>
    <m/>
    <m/>
    <m/>
    <m/>
    <m/>
    <x v="18"/>
    <m/>
    <m/>
    <x v="0"/>
    <x v="6"/>
    <n v="0"/>
    <n v="0"/>
    <x v="6"/>
  </r>
  <r>
    <s v="Informática"/>
    <n v="296"/>
    <s v="ACTUALIZACION ESTADOS DE CUENTA DE BANCOS (CN006)"/>
    <m/>
    <m/>
    <n v="29"/>
    <s v="10-COLA"/>
    <n v="3202"/>
    <s v="Antonio Manuel Alejandro García González"/>
    <s v="x"/>
    <m/>
    <m/>
    <m/>
    <m/>
    <m/>
    <n v="3"/>
    <n v="3"/>
    <n v="1"/>
    <n v="1"/>
    <m/>
    <m/>
    <d v="2025-01-01T00:00:00"/>
    <d v="1899-12-31T00:00:00"/>
    <m/>
    <x v="4"/>
    <m/>
    <m/>
    <x v="0"/>
    <x v="3"/>
    <n v="0"/>
    <n v="1"/>
    <x v="3"/>
  </r>
  <r>
    <s v="Informática"/>
    <n v="362"/>
    <s v="Actualización Masiva de Asientos Contables (CN006)"/>
    <n v="247002"/>
    <s v="AMI PAOLA YOC LOPEZ"/>
    <n v="21"/>
    <s v="60-CERTIFICADO"/>
    <n v="3202"/>
    <s v="Antonio Manuel Alejandro García González"/>
    <s v="x"/>
    <b v="1"/>
    <m/>
    <m/>
    <m/>
    <m/>
    <n v="1"/>
    <n v="1"/>
    <n v="2"/>
    <n v="2"/>
    <m/>
    <m/>
    <d v="2025-01-20T00:00:00"/>
    <d v="1899-12-31T00:00:00"/>
    <m/>
    <x v="19"/>
    <d v="2025-03-01T00:00:00"/>
    <m/>
    <x v="0"/>
    <x v="0"/>
    <n v="0"/>
    <n v="1"/>
    <x v="0"/>
  </r>
  <r>
    <s v="Informática"/>
    <n v="298"/>
    <s v="Actualizar campos de usuario que indicará el estado del documento en la orden de compra. (CN006)"/>
    <n v="247002"/>
    <s v="AMI PAOLA YOC LOPEZ"/>
    <n v="22"/>
    <s v="50-IMPLEMENTACION"/>
    <n v="3202"/>
    <s v="Antonio Manuel Alejandro García González"/>
    <s v="x"/>
    <m/>
    <m/>
    <m/>
    <m/>
    <m/>
    <n v="1"/>
    <n v="1"/>
    <n v="1"/>
    <n v="1"/>
    <m/>
    <m/>
    <d v="2025-01-01T00:00:00"/>
    <d v="1899-12-31T00:00:00"/>
    <m/>
    <x v="0"/>
    <m/>
    <m/>
    <x v="0"/>
    <x v="0"/>
    <n v="0"/>
    <n v="1"/>
    <x v="0"/>
  </r>
  <r>
    <s v="Informática"/>
    <n v="0"/>
    <s v="Ajuste de reporte de STOD MOVIL"/>
    <n v="247857"/>
    <s v="ARNALDO RENE COTTO STREMS"/>
    <n v="29"/>
    <s v="10-COLA"/>
    <n v="252"/>
    <s v="Julio de León"/>
    <s v="x"/>
    <b v="1"/>
    <n v="3"/>
    <s v="REPORTE"/>
    <n v="2"/>
    <s v="MEDIA"/>
    <n v="2"/>
    <n v="2"/>
    <n v="2"/>
    <n v="2"/>
    <n v="1"/>
    <s v="PEQUEÑO"/>
    <d v="2025-02-11T00:00:00"/>
    <d v="2025-02-17T00:00:00"/>
    <m/>
    <x v="18"/>
    <m/>
    <m/>
    <x v="0"/>
    <x v="6"/>
    <n v="0"/>
    <n v="0"/>
    <x v="6"/>
  </r>
  <r>
    <s v="Informática"/>
    <n v="301"/>
    <s v="Ajustes a los libros fiscales en todos los SAP (CN006)"/>
    <m/>
    <m/>
    <n v="29"/>
    <s v="10-COLA"/>
    <n v="3202"/>
    <s v="Antonio Manuel Alejandro García González"/>
    <s v="x"/>
    <m/>
    <m/>
    <m/>
    <m/>
    <m/>
    <n v="3"/>
    <n v="3"/>
    <n v="3"/>
    <n v="3"/>
    <m/>
    <m/>
    <d v="2025-01-01T00:00:00"/>
    <d v="1899-12-31T00:00:00"/>
    <m/>
    <x v="6"/>
    <m/>
    <m/>
    <x v="0"/>
    <x v="4"/>
    <n v="0"/>
    <n v="1"/>
    <x v="4"/>
  </r>
  <r>
    <s v="Informática"/>
    <n v="0"/>
    <s v="Ajustes al reporte - REP - TableroDistribuicion Z13 - Entregas Pendientes (Caja)"/>
    <n v="289006"/>
    <s v="SULY DANIELA CHUN SANTOS de RIVERA"/>
    <n v="30"/>
    <s v="40-DESARROLLO"/>
    <n v="3202"/>
    <s v="Antonio Manuel Alejandro García González"/>
    <s v="x"/>
    <b v="1"/>
    <n v="4"/>
    <s v="SOPORTE/CAPACITACION"/>
    <n v="1"/>
    <s v="BAJA"/>
    <n v="2"/>
    <n v="2"/>
    <n v="2"/>
    <n v="2"/>
    <n v="1"/>
    <s v="PEQUEÑO"/>
    <d v="2025-02-06T00:00:00"/>
    <d v="2025-02-13T00:00:00"/>
    <m/>
    <x v="1"/>
    <m/>
    <m/>
    <x v="0"/>
    <x v="1"/>
    <n v="0"/>
    <n v="1"/>
    <x v="1"/>
  </r>
  <r>
    <s v="Informática"/>
    <n v="310"/>
    <s v="Ajustes de sistema estados de cuentas (CN006)"/>
    <m/>
    <m/>
    <n v="27"/>
    <s v="30-ANALISIS"/>
    <n v="3200"/>
    <s v="Carlos Eduardo Galindo Miranda"/>
    <s v="x"/>
    <m/>
    <m/>
    <m/>
    <m/>
    <m/>
    <n v="1"/>
    <n v="1"/>
    <n v="2"/>
    <n v="2"/>
    <m/>
    <m/>
    <d v="2025-01-01T00:00:00"/>
    <d v="1899-12-31T00:00:00"/>
    <m/>
    <x v="9"/>
    <m/>
    <s v="&lt;p&gt;Se necesita enviar un correo por el cual se avisara a los socios de negocio de distribución Yamaha que tiene un portal en el cual pueden ingresar para ver su estado de cuentas.&lt;/p&gt;"/>
    <x v="0"/>
    <x v="1"/>
    <n v="0"/>
    <n v="1"/>
    <x v="1"/>
  </r>
  <r>
    <s v="Informática"/>
    <n v="0"/>
    <s v="Autorización de facturas de Proveedores externos"/>
    <n v="247791"/>
    <s v="ASTRID VICTORIA PEÑA DIEGUEZ"/>
    <n v="29"/>
    <s v="10-COLA"/>
    <n v="3201"/>
    <s v="Olga María Hinestroza Lima"/>
    <s v="x"/>
    <m/>
    <n v="2"/>
    <s v="PROCESO"/>
    <n v="2"/>
    <s v="MEDIA"/>
    <n v="2"/>
    <n v="2"/>
    <n v="2"/>
    <n v="2"/>
    <n v="2"/>
    <s v="MEDIANO"/>
    <d v="2025-02-01T00:00:00"/>
    <m/>
    <m/>
    <x v="18"/>
    <m/>
    <m/>
    <x v="0"/>
    <x v="6"/>
    <n v="0"/>
    <n v="0"/>
    <x v="6"/>
  </r>
  <r>
    <s v="Informática"/>
    <n v="304"/>
    <s v="Consultas para reconciliaciones operados en Banco Industrial (CN006)"/>
    <n v="247795"/>
    <s v="SANDRA JUDITH LOARCA HERNANDEZ de PEREZ"/>
    <n v="21"/>
    <s v="60-CERTIFICADO"/>
    <n v="3202"/>
    <s v="Antonio Manuel Alejandro García González"/>
    <s v="x"/>
    <m/>
    <m/>
    <m/>
    <m/>
    <m/>
    <n v="1"/>
    <n v="1"/>
    <n v="3"/>
    <n v="3"/>
    <m/>
    <m/>
    <d v="2025-01-01T00:00:00"/>
    <d v="1899-12-31T00:00:00"/>
    <m/>
    <x v="6"/>
    <d v="2025-02-04T00:00:00"/>
    <m/>
    <x v="0"/>
    <x v="4"/>
    <n v="0"/>
    <n v="1"/>
    <x v="4"/>
  </r>
  <r>
    <s v="Informática"/>
    <n v="363"/>
    <s v="Corrección y Mejoras en el FEIC (CN006)"/>
    <n v="247651"/>
    <s v="LUIS FERNANDO BARRIOS MATIAS"/>
    <n v="28"/>
    <s v="20-ASIGNADO"/>
    <n v="3199"/>
    <s v="Erick Estuardo Hernandez Andrino"/>
    <s v="x"/>
    <m/>
    <m/>
    <m/>
    <m/>
    <m/>
    <n v="2"/>
    <n v="2"/>
    <n v="2"/>
    <n v="2"/>
    <m/>
    <m/>
    <d v="2025-01-22T00:00:00"/>
    <d v="1899-12-31T00:00:00"/>
    <m/>
    <x v="20"/>
    <m/>
    <s v="&lt;p&gt;Corrección en la gramática de diferentes vistas del FEIC, junto con mejoras en los selectores y validaciones. Estas incluyen la implementación de reglas para evitar que los campos queden vacíos, asegurando así que no se interrumpa el proceso de guardado del formulario del FEIC.&lt;/p&gt;"/>
    <x v="0"/>
    <x v="1"/>
    <n v="0"/>
    <n v="1"/>
    <x v="1"/>
  </r>
  <r>
    <s v="Informática"/>
    <n v="321"/>
    <s v="Creditos y Cobros Fase 2 - Cobro a domiciliario"/>
    <m/>
    <m/>
    <n v="22"/>
    <s v="50-IMPLEMENTACION"/>
    <n v="2767"/>
    <s v="Gerson Castro"/>
    <s v="x"/>
    <m/>
    <m/>
    <m/>
    <m/>
    <m/>
    <n v="1"/>
    <n v="1"/>
    <n v="1"/>
    <n v="1"/>
    <m/>
    <m/>
    <d v="2025-01-01T00:00:00"/>
    <d v="1899-12-31T00:00:00"/>
    <m/>
    <x v="0"/>
    <m/>
    <s v="&lt;p&gt; ** PROCESO Implementación del sistema de cobro de calle en ODOO. Luis Polanco fue el solicitante **  ** &lt;/p&gt;"/>
    <x v="0"/>
    <x v="0"/>
    <n v="0"/>
    <n v="1"/>
    <x v="0"/>
  </r>
  <r>
    <s v="Informática"/>
    <n v="329"/>
    <s v="Cubos de BI sobre plataforma de Ucontact para análisis de datos (CN006)"/>
    <m/>
    <m/>
    <n v="29"/>
    <s v="10-COLA"/>
    <n v="3201"/>
    <s v="Olga María Hinestroza Lima"/>
    <s v="x"/>
    <m/>
    <m/>
    <m/>
    <m/>
    <m/>
    <n v="2"/>
    <n v="2"/>
    <n v="2"/>
    <n v="2"/>
    <m/>
    <m/>
    <d v="2025-01-01T00:00:00"/>
    <d v="1899-12-31T00:00:00"/>
    <m/>
    <x v="7"/>
    <m/>
    <m/>
    <x v="0"/>
    <x v="2"/>
    <n v="0"/>
    <n v="1"/>
    <x v="2"/>
  </r>
  <r>
    <s v="Informática"/>
    <n v="360"/>
    <s v="Digitalización y clasificación de DUCAS e IPrimas (CN006)"/>
    <n v="246895"/>
    <s v="CARLOS JOSE REMBERTO CONTRERAS FLORIAN"/>
    <n v="29"/>
    <s v="10-COLA"/>
    <n v="3201"/>
    <s v="Olga María Hinestroza Lima"/>
    <s v="x"/>
    <m/>
    <m/>
    <m/>
    <m/>
    <m/>
    <n v="1"/>
    <n v="1"/>
    <n v="2"/>
    <n v="2"/>
    <m/>
    <m/>
    <d v="2025-02-10T00:00:00"/>
    <d v="1899-12-31T00:00:00"/>
    <m/>
    <x v="21"/>
    <m/>
    <m/>
    <x v="0"/>
    <x v="2"/>
    <n v="0"/>
    <n v="1"/>
    <x v="2"/>
  </r>
  <r>
    <s v="Informática"/>
    <n v="0"/>
    <s v="Implementación de Sistema de Contraseñas de Proveedores Locales (copia)"/>
    <n v="254970"/>
    <s v="ROSA SOFIA PIRIR FERNANDEZ de SANCHEZ"/>
    <n v="21"/>
    <s v="60-CERTIFICADO"/>
    <n v="3204"/>
    <s v="Gerson Gabriel Flores Montúfar"/>
    <s v="x"/>
    <m/>
    <n v="4"/>
    <s v="SOPORTE/CAPACITACION"/>
    <n v="2"/>
    <s v="MEDIA"/>
    <n v="2"/>
    <n v="2"/>
    <n v="2"/>
    <n v="2"/>
    <n v="1"/>
    <s v="PEQUEÑO"/>
    <d v="2025-02-05T00:00:00"/>
    <d v="2025-02-05T00:00:00"/>
    <m/>
    <x v="18"/>
    <m/>
    <m/>
    <x v="0"/>
    <x v="6"/>
    <n v="0"/>
    <n v="0"/>
    <x v="6"/>
  </r>
  <r>
    <s v="Informática"/>
    <n v="340"/>
    <s v="MEJORAS Ajustes a eSFA para que se muestre la trazabilidad de tiempo de atención de visitas al cliente (CN006)"/>
    <m/>
    <m/>
    <n v="29"/>
    <s v="10-COLA"/>
    <n v="3204"/>
    <s v="Gerson Gabriel Flores Montúfar"/>
    <s v="x"/>
    <m/>
    <m/>
    <m/>
    <m/>
    <m/>
    <n v="1"/>
    <n v="1"/>
    <n v="1"/>
    <n v="1"/>
    <m/>
    <m/>
    <d v="2025-01-01T00:00:00"/>
    <d v="1899-12-31T00:00:00"/>
    <m/>
    <x v="1"/>
    <m/>
    <m/>
    <x v="0"/>
    <x v="1"/>
    <n v="0"/>
    <n v="1"/>
    <x v="1"/>
  </r>
  <r>
    <s v="Informática"/>
    <n v="279"/>
    <s v="Mejora interface API SCON WEB (CN006)"/>
    <m/>
    <m/>
    <n v="29"/>
    <s v="10-COLA"/>
    <n v="3198"/>
    <s v="Josue Eleazar Chet Cuellar"/>
    <s v="x"/>
    <m/>
    <m/>
    <m/>
    <m/>
    <m/>
    <n v="1"/>
    <n v="1"/>
    <n v="3"/>
    <n v="3"/>
    <m/>
    <m/>
    <d v="2025-01-01T00:00:00"/>
    <d v="1899-12-31T00:00:00"/>
    <m/>
    <x v="1"/>
    <m/>
    <m/>
    <x v="0"/>
    <x v="1"/>
    <n v="0"/>
    <n v="1"/>
    <x v="1"/>
  </r>
  <r>
    <s v="Informática"/>
    <n v="353"/>
    <s v="Obtención de Entrada de Mercancía y generación de factura (CN006)"/>
    <n v="247795"/>
    <s v="SANDRA JUDITH LOARCA HERNANDEZ de PEREZ"/>
    <n v="28"/>
    <s v="20-ASIGNADO"/>
    <n v="3201"/>
    <s v="Olga María Hinestroza Lima"/>
    <s v="x"/>
    <m/>
    <m/>
    <m/>
    <m/>
    <m/>
    <n v="1"/>
    <n v="1"/>
    <n v="1"/>
    <n v="1"/>
    <m/>
    <m/>
    <d v="2025-01-01T00:00:00"/>
    <d v="1899-12-31T00:00:00"/>
    <m/>
    <x v="0"/>
    <m/>
    <s v="&lt;p&gt; ** Obtención de Entrada de Mercancía, notificación automática a Proveedor para envío y validación de documentos, API para generación de factura desde SAP **  ** &lt;/p&gt;"/>
    <x v="0"/>
    <x v="0"/>
    <n v="0"/>
    <n v="1"/>
    <x v="0"/>
  </r>
  <r>
    <s v="Informática"/>
    <n v="344"/>
    <s v="PROCESO Automatización de carga extracto bancario de las cuentas BANRURAL para la empresa CANELLA - MT940(CN006)"/>
    <m/>
    <m/>
    <n v="30"/>
    <s v="40-DESARROLLO"/>
    <n v="3204"/>
    <s v="Gerson Gabriel Flores Montúfar"/>
    <s v="x"/>
    <m/>
    <m/>
    <m/>
    <m/>
    <m/>
    <n v="1"/>
    <n v="1"/>
    <n v="3"/>
    <n v="3"/>
    <m/>
    <m/>
    <d v="2025-01-01T00:00:00"/>
    <d v="1899-12-31T00:00:00"/>
    <m/>
    <x v="7"/>
    <m/>
    <m/>
    <x v="0"/>
    <x v="2"/>
    <n v="0"/>
    <n v="1"/>
    <x v="2"/>
  </r>
  <r>
    <s v="Informática"/>
    <n v="342"/>
    <s v="PROCESO Mejoras en los tiempos de impresión de facturas y certificación con Guatefacturas(CN006)"/>
    <m/>
    <m/>
    <n v="29"/>
    <s v="10-COLA"/>
    <n v="3204"/>
    <s v="Gerson Gabriel Flores Montúfar"/>
    <s v="x"/>
    <m/>
    <m/>
    <m/>
    <m/>
    <m/>
    <n v="1"/>
    <n v="1"/>
    <n v="3"/>
    <n v="3"/>
    <m/>
    <m/>
    <d v="2025-01-01T00:00:00"/>
    <d v="1899-12-31T00:00:00"/>
    <m/>
    <x v="2"/>
    <m/>
    <m/>
    <x v="0"/>
    <x v="2"/>
    <n v="0"/>
    <n v="1"/>
    <x v="2"/>
  </r>
  <r>
    <s v="Informática"/>
    <n v="330"/>
    <s v="PROCESO Plantilla para grabar extensiones e ISR(CN006)"/>
    <n v="246933"/>
    <s v="EDWARD ANTONY GARCIA ALVARADO"/>
    <n v="28"/>
    <s v="20-ASIGNADO"/>
    <n v="2767"/>
    <s v="Gerson Castro"/>
    <s v="x"/>
    <m/>
    <m/>
    <m/>
    <m/>
    <m/>
    <n v="1"/>
    <n v="1"/>
    <n v="2"/>
    <n v="2"/>
    <m/>
    <m/>
    <d v="2025-01-01T00:00:00"/>
    <d v="1899-12-31T00:00:00"/>
    <m/>
    <x v="2"/>
    <m/>
    <m/>
    <x v="0"/>
    <x v="2"/>
    <n v="0"/>
    <n v="1"/>
    <x v="2"/>
  </r>
  <r>
    <s v="Informática"/>
    <n v="328"/>
    <s v="PROCESO Robot que confirma boletas y valida duplicidad para Créditos y Cobros.  Edward Garcia fue el solicitante"/>
    <n v="247722"/>
    <s v="RICARDO ALFONSO ESCOBEDO DACARET"/>
    <n v="21"/>
    <s v="60-CERTIFICADO"/>
    <n v="195"/>
    <s v="Daniel Castillo"/>
    <s v="x"/>
    <m/>
    <m/>
    <m/>
    <m/>
    <m/>
    <n v="1"/>
    <n v="1"/>
    <n v="2"/>
    <n v="2"/>
    <m/>
    <m/>
    <d v="2025-01-01T00:00:00"/>
    <d v="1899-12-31T00:00:00"/>
    <m/>
    <x v="0"/>
    <m/>
    <m/>
    <x v="0"/>
    <x v="0"/>
    <n v="0"/>
    <n v="1"/>
    <x v="0"/>
  </r>
  <r>
    <s v="Informática"/>
    <n v="0"/>
    <s v="Pagos por anticipo ( medios de pago)."/>
    <n v="247884"/>
    <s v="ANA CAROLINA PALACIOS GONZALEZ de MENENDEZ"/>
    <n v="22"/>
    <s v="50-IMPLEMENTACION"/>
    <n v="3204"/>
    <s v="Gerson Gabriel Flores Montúfar"/>
    <s v="x"/>
    <m/>
    <n v="3"/>
    <s v="REPORTE"/>
    <m/>
    <m/>
    <m/>
    <m/>
    <m/>
    <m/>
    <m/>
    <m/>
    <d v="2025-02-13T00:00:00"/>
    <d v="2025-02-13T00:00:00"/>
    <m/>
    <x v="22"/>
    <d v="2025-02-13T00:00:00"/>
    <m/>
    <x v="0"/>
    <x v="1"/>
    <n v="0"/>
    <n v="1"/>
    <x v="1"/>
  </r>
  <r>
    <s v="Informática"/>
    <n v="302"/>
    <s v="Proceso para cargas masivas de medios de pago (CN006)"/>
    <m/>
    <m/>
    <n v="29"/>
    <s v="10-COLA"/>
    <n v="3202"/>
    <s v="Antonio Manuel Alejandro García González"/>
    <s v="x"/>
    <m/>
    <m/>
    <m/>
    <m/>
    <m/>
    <n v="3"/>
    <n v="3"/>
    <n v="1"/>
    <n v="1"/>
    <m/>
    <m/>
    <d v="2025-01-01T00:00:00"/>
    <d v="1899-12-31T00:00:00"/>
    <m/>
    <x v="7"/>
    <m/>
    <m/>
    <x v="0"/>
    <x v="2"/>
    <n v="0"/>
    <n v="1"/>
    <x v="2"/>
  </r>
  <r>
    <s v="Informática"/>
    <n v="373"/>
    <s v="RPA Mr Credit - Envío de facturas (CN006)"/>
    <m/>
    <m/>
    <n v="21"/>
    <s v="60-CERTIFICADO"/>
    <n v="195"/>
    <s v="Daniel Castillo"/>
    <s v="x"/>
    <b v="1"/>
    <m/>
    <m/>
    <m/>
    <m/>
    <m/>
    <m/>
    <n v="1"/>
    <n v="1"/>
    <m/>
    <m/>
    <d v="2025-01-01T00:00:00"/>
    <d v="1899-12-31T00:00:00"/>
    <m/>
    <x v="17"/>
    <m/>
    <m/>
    <x v="0"/>
    <x v="0"/>
    <n v="0"/>
    <n v="1"/>
    <x v="0"/>
  </r>
  <r>
    <s v="Informática"/>
    <n v="0"/>
    <s v="Reporte compras para Auditoria"/>
    <n v="247647"/>
    <s v="EMILIA LETICIA DIAZ MAZARIEGOS"/>
    <n v="22"/>
    <s v="50-IMPLEMENTACION"/>
    <n v="3233"/>
    <s v="Carlos Rosales"/>
    <s v="x"/>
    <b v="1"/>
    <n v="3"/>
    <s v="REPORTE"/>
    <n v="2"/>
    <s v="MEDIA"/>
    <n v="1"/>
    <n v="1"/>
    <n v="1"/>
    <n v="1"/>
    <n v="2"/>
    <s v="MEDIANO"/>
    <d v="2025-02-10T00:00:00"/>
    <d v="2025-02-11T00:00:00"/>
    <m/>
    <x v="18"/>
    <m/>
    <s v="&lt;p&gt;Reporte de facturas de compras por servicios en SAP Canella, Maquipos y VESA, según modelo enviado.&lt;/p&gt;"/>
    <x v="0"/>
    <x v="6"/>
    <n v="0"/>
    <n v="0"/>
    <x v="6"/>
  </r>
  <r>
    <s v="Informática"/>
    <n v="0"/>
    <s v="Reporte de interfaces"/>
    <n v="289030"/>
    <s v="WILLIAMS GIOVANNI GALVAN ESTRADA"/>
    <n v="29"/>
    <s v="10-COLA"/>
    <n v="3198"/>
    <s v="Josue Eleazar Chet Cuellar"/>
    <s v="x"/>
    <b v="1"/>
    <n v="3"/>
    <s v="REPORTE"/>
    <n v="1"/>
    <s v="BAJA"/>
    <n v="2"/>
    <n v="2"/>
    <n v="1"/>
    <n v="1"/>
    <n v="1"/>
    <s v="PEQUEÑO"/>
    <d v="2025-02-17T00:00:00"/>
    <d v="2025-02-17T00:00:00"/>
    <m/>
    <x v="18"/>
    <m/>
    <m/>
    <x v="0"/>
    <x v="6"/>
    <n v="0"/>
    <n v="0"/>
    <x v="6"/>
  </r>
  <r>
    <s v="Informática"/>
    <n v="277"/>
    <s v="Reporte de inventario Motul (CN006)"/>
    <n v="247857"/>
    <s v="ARNALDO RENE COTTO STREMS"/>
    <n v="21"/>
    <s v="60-CERTIFICADO"/>
    <n v="3198"/>
    <s v="Josue Eleazar Chet Cuellar"/>
    <s v="x"/>
    <m/>
    <m/>
    <m/>
    <m/>
    <m/>
    <n v="1"/>
    <n v="1"/>
    <n v="2"/>
    <n v="2"/>
    <m/>
    <m/>
    <d v="2025-01-01T00:00:00"/>
    <d v="1899-12-31T00:00:00"/>
    <m/>
    <x v="0"/>
    <m/>
    <s v="&lt;p&gt; ** INDICADORES Consulta de ventas, KPI, clientes para utliizar en el celular **  ** &lt;/p&gt;"/>
    <x v="0"/>
    <x v="0"/>
    <n v="0"/>
    <n v="1"/>
    <x v="0"/>
  </r>
  <r>
    <s v="Informática"/>
    <n v="0"/>
    <s v="Reporte del detalle de usuario en entregas SAP (CN006)"/>
    <m/>
    <m/>
    <n v="21"/>
    <s v="60-CERTIFICADO"/>
    <n v="3198"/>
    <s v="Josue Eleazar Chet Cuellar"/>
    <s v="x"/>
    <m/>
    <m/>
    <m/>
    <m/>
    <m/>
    <m/>
    <m/>
    <m/>
    <m/>
    <m/>
    <m/>
    <m/>
    <m/>
    <m/>
    <x v="18"/>
    <m/>
    <m/>
    <x v="0"/>
    <x v="6"/>
    <n v="0"/>
    <n v="0"/>
    <x v="6"/>
  </r>
  <r>
    <s v="Informática"/>
    <n v="359"/>
    <s v="Reporte facturas Admin Seguridad (CN006)"/>
    <m/>
    <m/>
    <n v="21"/>
    <s v="60-CERTIFICADO"/>
    <n v="3201"/>
    <s v="Olga María Hinestroza Lima"/>
    <s v="x"/>
    <b v="1"/>
    <m/>
    <m/>
    <m/>
    <m/>
    <n v="1"/>
    <n v="1"/>
    <n v="1"/>
    <n v="1"/>
    <m/>
    <m/>
    <d v="2025-01-20T00:00:00"/>
    <d v="1899-12-31T00:00:00"/>
    <m/>
    <x v="0"/>
    <m/>
    <m/>
    <x v="0"/>
    <x v="0"/>
    <n v="0"/>
    <n v="1"/>
    <x v="0"/>
  </r>
  <r>
    <s v="Informática"/>
    <n v="319"/>
    <s v="SEGUIMIENTO A PEDIDOS (TRACKING) - KRAS(CN006)"/>
    <n v="247857"/>
    <s v="ARNALDO RENE COTTO STREMS"/>
    <n v="28"/>
    <s v="20-ASIGNADO"/>
    <n v="2767"/>
    <s v="Gerson Castro"/>
    <s v="x"/>
    <m/>
    <m/>
    <m/>
    <m/>
    <m/>
    <n v="1"/>
    <n v="1"/>
    <n v="1"/>
    <n v="1"/>
    <m/>
    <m/>
    <d v="2025-01-01T00:00:00"/>
    <d v="1899-12-31T00:00:00"/>
    <m/>
    <x v="5"/>
    <m/>
    <s v="&lt;p&gt;En una aplicación web los clientes deben poder ver sus pedidos con su respectivo estatus Pedido, Oferta, Orden, Entrega, Facturado, etc. &lt;/p&gt;"/>
    <x v="0"/>
    <x v="3"/>
    <n v="0"/>
    <n v="1"/>
    <x v="3"/>
  </r>
  <r>
    <s v="Informática"/>
    <n v="0"/>
    <s v="Soporte (CN006)"/>
    <m/>
    <m/>
    <n v="28"/>
    <s v="20-ASIGNADO"/>
    <n v="3203"/>
    <s v="Jose Pablo Reyes Gonzalez"/>
    <s v="x"/>
    <m/>
    <m/>
    <m/>
    <m/>
    <m/>
    <m/>
    <m/>
    <m/>
    <m/>
    <m/>
    <m/>
    <d v="2025-02-03T00:00:00"/>
    <d v="2025-02-03T00:00:00"/>
    <m/>
    <x v="18"/>
    <m/>
    <m/>
    <x v="0"/>
    <x v="6"/>
    <n v="0"/>
    <n v="0"/>
    <x v="6"/>
  </r>
  <r>
    <s v="Informática"/>
    <n v="0"/>
    <s v="Soporte Carga de Excel a STOD (CN006)"/>
    <n v="247417"/>
    <s v="ALVARO LEONEL GUTIERREZ LOPEZ"/>
    <n v="21"/>
    <s v="60-CERTIFICADO"/>
    <n v="3202"/>
    <s v="Antonio Manuel Alejandro García González"/>
    <s v="x"/>
    <m/>
    <n v="4"/>
    <s v="SOPORTE/CAPACITACION"/>
    <n v="1"/>
    <s v="BAJA"/>
    <n v="1"/>
    <n v="1"/>
    <n v="2"/>
    <n v="2"/>
    <n v="1"/>
    <s v="PEQUEÑO"/>
    <d v="2025-02-04T00:00:00"/>
    <d v="2025-02-04T00:00:00"/>
    <m/>
    <x v="23"/>
    <d v="2025-02-05T00:00:00"/>
    <m/>
    <x v="0"/>
    <x v="1"/>
    <n v="0"/>
    <n v="1"/>
    <x v="1"/>
  </r>
  <r>
    <s v="Informática"/>
    <n v="0"/>
    <s v="Soporte Contabilidad Corte de Caja"/>
    <n v="247804"/>
    <s v="NANCY ELIZABETH ALVARADO TOLEDO"/>
    <n v="22"/>
    <s v="50-IMPLEMENTACION"/>
    <n v="3204"/>
    <s v="Gerson Gabriel Flores Montúfar"/>
    <s v="x"/>
    <m/>
    <m/>
    <m/>
    <m/>
    <m/>
    <m/>
    <m/>
    <m/>
    <m/>
    <m/>
    <m/>
    <d v="2025-02-10T00:00:00"/>
    <d v="2025-02-10T00:00:00"/>
    <m/>
    <x v="24"/>
    <d v="2025-02-10T00:00:00"/>
    <m/>
    <x v="0"/>
    <x v="1"/>
    <n v="0"/>
    <n v="1"/>
    <x v="1"/>
  </r>
  <r>
    <s v="Informática"/>
    <n v="0"/>
    <s v="Soporte en creación Recibos de Pago"/>
    <n v="247897"/>
    <s v="JOSE LUIS PRADO PORTILLO"/>
    <n v="21"/>
    <s v="60-CERTIFICADO"/>
    <n v="3202"/>
    <s v="Antonio Manuel Alejandro García González"/>
    <s v="x"/>
    <b v="1"/>
    <n v="4"/>
    <s v="SOPORTE/CAPACITACION"/>
    <n v="1"/>
    <s v="BAJA"/>
    <n v="2"/>
    <n v="2"/>
    <n v="2"/>
    <n v="2"/>
    <n v="1"/>
    <s v="PEQUEÑO"/>
    <d v="2025-02-13T00:00:00"/>
    <d v="2025-02-13T00:00:00"/>
    <m/>
    <x v="22"/>
    <d v="2025-02-13T00:00:00"/>
    <m/>
    <x v="0"/>
    <x v="1"/>
    <n v="0"/>
    <n v="1"/>
    <x v="1"/>
  </r>
  <r>
    <s v="Informática"/>
    <n v="0"/>
    <s v="Soporte enero (CN006)"/>
    <m/>
    <m/>
    <n v="21"/>
    <s v="60-CERTIFICADO"/>
    <n v="3201"/>
    <s v="Olga María Hinestroza Lima"/>
    <s v="x"/>
    <m/>
    <n v="4"/>
    <s v="SOPORTE/CAPACITACION"/>
    <n v="1"/>
    <s v="BAJA"/>
    <n v="2"/>
    <n v="2"/>
    <n v="3"/>
    <n v="3"/>
    <n v="2"/>
    <s v="MEDIANO"/>
    <d v="2025-01-01T00:00:00"/>
    <d v="2025-01-01T00:00:00"/>
    <m/>
    <x v="0"/>
    <d v="2025-01-31T00:00:00"/>
    <m/>
    <x v="0"/>
    <x v="0"/>
    <n v="0"/>
    <n v="1"/>
    <x v="0"/>
  </r>
  <r>
    <s v="Informática"/>
    <n v="0"/>
    <s v="Soporte febrero (CN006)"/>
    <m/>
    <m/>
    <n v="22"/>
    <s v="50-IMPLEMENTACION"/>
    <n v="3201"/>
    <s v="Olga María Hinestroza Lima"/>
    <s v="x"/>
    <m/>
    <n v="4"/>
    <s v="SOPORTE/CAPACITACION"/>
    <n v="1"/>
    <s v="BAJA"/>
    <n v="2"/>
    <n v="2"/>
    <n v="3"/>
    <n v="3"/>
    <n v="1"/>
    <s v="PEQUEÑO"/>
    <d v="2025-02-01T00:00:00"/>
    <d v="2025-02-01T00:00:00"/>
    <m/>
    <x v="1"/>
    <m/>
    <m/>
    <x v="0"/>
    <x v="1"/>
    <n v="0"/>
    <n v="1"/>
    <x v="1"/>
  </r>
  <r>
    <s v="Informática"/>
    <n v="0"/>
    <s v="Soporte query saldo de cuenta"/>
    <n v="246832"/>
    <s v="KAREN SELENA MENDIZABAL LOPEZ"/>
    <n v="22"/>
    <s v="50-IMPLEMENTACION"/>
    <n v="3204"/>
    <s v="Gerson Gabriel Flores Montúfar"/>
    <s v="x"/>
    <m/>
    <n v="4"/>
    <s v="SOPORTE/CAPACITACION"/>
    <m/>
    <m/>
    <m/>
    <m/>
    <m/>
    <m/>
    <m/>
    <m/>
    <d v="2025-02-12T00:00:00"/>
    <d v="2025-02-12T00:00:00"/>
    <m/>
    <x v="25"/>
    <d v="2025-02-12T00:00:00"/>
    <m/>
    <x v="0"/>
    <x v="1"/>
    <n v="0"/>
    <n v="1"/>
    <x v="1"/>
  </r>
  <r>
    <s v="Informática"/>
    <n v="0"/>
    <s v="Soporte y documentación de proyectos (CN006)"/>
    <m/>
    <m/>
    <n v="30"/>
    <s v="40-DESARROLLO"/>
    <n v="195"/>
    <s v="Daniel Castillo"/>
    <s v="x"/>
    <m/>
    <m/>
    <m/>
    <m/>
    <m/>
    <m/>
    <m/>
    <m/>
    <m/>
    <m/>
    <m/>
    <m/>
    <m/>
    <m/>
    <x v="18"/>
    <m/>
    <m/>
    <x v="0"/>
    <x v="6"/>
    <n v="0"/>
    <n v="0"/>
    <x v="6"/>
  </r>
  <r>
    <s v="Informática"/>
    <n v="354"/>
    <s v="Subdistribuidores Isuzu (CN006)"/>
    <n v="247791"/>
    <s v="ASTRID VICTORIA PEÑA DIEGUEZ"/>
    <n v="27"/>
    <s v="30-ANALISIS"/>
    <n v="3201"/>
    <s v="Olga María Hinestroza Lima"/>
    <s v="x"/>
    <m/>
    <m/>
    <m/>
    <m/>
    <m/>
    <n v="1"/>
    <n v="1"/>
    <n v="1"/>
    <n v="1"/>
    <m/>
    <m/>
    <d v="2025-01-01T00:00:00"/>
    <d v="1899-12-31T00:00:00"/>
    <m/>
    <x v="21"/>
    <m/>
    <m/>
    <x v="0"/>
    <x v="2"/>
    <n v="0"/>
    <n v="1"/>
    <x v="2"/>
  </r>
  <r>
    <s v="Informática"/>
    <n v="297"/>
    <s v="Traslado de"/>
    <n v="289006"/>
    <s v="SULY DANIELA CHUN SANTOS de RIVERA"/>
    <n v="30"/>
    <s v="40-DESARROLLO"/>
    <n v="195"/>
    <s v="Daniel Castillo"/>
    <s v="x"/>
    <m/>
    <m/>
    <m/>
    <m/>
    <m/>
    <n v="1"/>
    <n v="1"/>
    <n v="1"/>
    <n v="1"/>
    <m/>
    <m/>
    <d v="2025-01-01T00:00:00"/>
    <d v="1899-12-31T00:00:00"/>
    <m/>
    <x v="14"/>
    <m/>
    <m/>
    <x v="0"/>
    <x v="1"/>
    <n v="0"/>
    <n v="1"/>
    <x v="1"/>
  </r>
  <r>
    <s v="Informática"/>
    <n v="0"/>
    <s v="Traslado de sitio web Dashboard MOTUL"/>
    <n v="247857"/>
    <s v="ARNALDO RENE COTTO STREMS"/>
    <n v="22"/>
    <s v="50-IMPLEMENTACION"/>
    <n v="195"/>
    <s v="Daniel Castillo"/>
    <s v="x"/>
    <b v="1"/>
    <n v="2"/>
    <s v="PROCESO"/>
    <n v="2"/>
    <s v="MEDIA"/>
    <n v="2"/>
    <n v="2"/>
    <n v="2"/>
    <n v="2"/>
    <n v="2"/>
    <s v="MEDIANO"/>
    <d v="2025-02-01T00:00:00"/>
    <d v="2025-02-01T00:00:00"/>
    <m/>
    <x v="14"/>
    <m/>
    <s v="&lt;p&gt;Se solicita trasladar el sitio web que contiene el Dashboard de ventas MOTUL ya que este no se encuentra operando actualmente.&lt;/p&gt;"/>
    <x v="0"/>
    <x v="1"/>
    <n v="0"/>
    <n v="1"/>
    <x v="1"/>
  </r>
  <r>
    <s v="Informática"/>
    <n v="299"/>
    <s v="Agregar la opción &quot;Depósitos Mixtos&quot; al módulo de Recibos de Caja (CN006)"/>
    <m/>
    <m/>
    <n v="22"/>
    <s v="50-IMPLEMENTACION"/>
    <n v="3202"/>
    <s v="Antonio Manuel Alejandro García González"/>
    <s v="x"/>
    <m/>
    <m/>
    <m/>
    <m/>
    <m/>
    <n v="1"/>
    <n v="1"/>
    <n v="1"/>
    <n v="1"/>
    <m/>
    <m/>
    <d v="2025-01-01T00:00:00"/>
    <d v="1899-12-31T00:00:00"/>
    <m/>
    <x v="14"/>
    <m/>
    <m/>
    <x v="0"/>
    <x v="1"/>
    <n v="0"/>
    <n v="1"/>
    <x v="1"/>
  </r>
  <r>
    <s v="Informática"/>
    <n v="370"/>
    <s v="Corrección de pantalla de gestión de correos de contratos de mantenimiento"/>
    <n v="247614"/>
    <s v="LEIDI PAOLA ESQUIVEL RAMIREZ"/>
    <n v="21"/>
    <s v="60-CERTIFICADO"/>
    <n v="195"/>
    <s v="Daniel Castillo"/>
    <s v="x"/>
    <b v="1"/>
    <m/>
    <m/>
    <m/>
    <m/>
    <m/>
    <m/>
    <n v="2"/>
    <n v="2"/>
    <m/>
    <m/>
    <d v="2025-01-21T00:00:00"/>
    <d v="1899-12-31T00:00:00"/>
    <m/>
    <x v="0"/>
    <d v="2025-02-07T00:00:00"/>
    <m/>
    <x v="0"/>
    <x v="0"/>
    <n v="0"/>
    <n v="1"/>
    <x v="0"/>
  </r>
  <r>
    <s v="Informática"/>
    <n v="303"/>
    <s v="Desarrollo de modulo de lavado de vehículos"/>
    <n v="247614"/>
    <s v="LEIDI PAOLA ESQUIVEL RAMIREZ"/>
    <n v="30"/>
    <s v="40-DESARROLLO"/>
    <n v="195"/>
    <s v="Daniel Castillo"/>
    <s v="x"/>
    <m/>
    <m/>
    <m/>
    <m/>
    <m/>
    <n v="1"/>
    <n v="1"/>
    <n v="1"/>
    <n v="1"/>
    <m/>
    <m/>
    <d v="2025-01-01T00:00:00"/>
    <d v="1899-12-31T00:00:00"/>
    <m/>
    <x v="5"/>
    <m/>
    <m/>
    <x v="0"/>
    <x v="3"/>
    <n v="0"/>
    <n v="1"/>
    <x v="3"/>
  </r>
  <r>
    <s v="Informática"/>
    <n v="327"/>
    <s v="Implementación de Sistema de Contraseñas de Proveedores Locales"/>
    <n v="247795"/>
    <s v="SANDRA JUDITH LOARCA HERNANDEZ de PEREZ"/>
    <n v="22"/>
    <s v="50-IMPLEMENTACION"/>
    <n v="3201"/>
    <s v="Olga María Hinestroza Lima"/>
    <s v="x"/>
    <m/>
    <m/>
    <m/>
    <m/>
    <m/>
    <n v="1"/>
    <n v="1"/>
    <n v="1"/>
    <n v="1"/>
    <m/>
    <m/>
    <d v="2025-01-01T00:00:00"/>
    <d v="1899-12-31T00:00:00"/>
    <m/>
    <x v="14"/>
    <m/>
    <s v="&lt;p&gt; ** Implementación del Sistema de Contraseñas de Proveedores Locales SAP/LASERFICHE **  ** &lt;/p&gt;"/>
    <x v="0"/>
    <x v="1"/>
    <n v="0"/>
    <n v="1"/>
    <x v="1"/>
  </r>
  <r>
    <s v="Informática"/>
    <n v="361"/>
    <s v="Optimización de creación y actualización de Proveedores (CN006)"/>
    <n v="247556"/>
    <s v="DOUGLAS MONTOYA MONTAVES"/>
    <n v="27"/>
    <s v="30-ANALISIS"/>
    <n v="3201"/>
    <s v="Olga María Hinestroza Lima"/>
    <s v="x"/>
    <m/>
    <m/>
    <m/>
    <m/>
    <m/>
    <n v="1"/>
    <n v="1"/>
    <n v="1"/>
    <n v="1"/>
    <m/>
    <m/>
    <d v="2025-01-30T00:00:00"/>
    <d v="1899-12-31T00:00:00"/>
    <m/>
    <x v="3"/>
    <m/>
    <s v="&lt;p&gt; ** Proceso para creación proveedores con generación automática de código en SAP, alertas para actualización de datos y documentos, validación interna, almacenamiento y clasificación de expediente de proveedor. **  ** &lt;/p&gt;"/>
    <x v="0"/>
    <x v="3"/>
    <n v="0"/>
    <n v="1"/>
    <x v="3"/>
  </r>
  <r>
    <s v="Informática"/>
    <n v="352"/>
    <s v="Placas Yamaha (CN006)"/>
    <m/>
    <m/>
    <n v="21"/>
    <s v="60-CERTIFICADO"/>
    <n v="3201"/>
    <s v="Olga María Hinestroza Lima"/>
    <s v="x"/>
    <m/>
    <m/>
    <m/>
    <m/>
    <m/>
    <n v="1"/>
    <n v="1"/>
    <n v="1"/>
    <n v="1"/>
    <m/>
    <m/>
    <d v="2025-01-01T00:00:00"/>
    <d v="1899-12-31T00:00:00"/>
    <m/>
    <x v="0"/>
    <m/>
    <m/>
    <x v="0"/>
    <x v="0"/>
    <n v="0"/>
    <n v="1"/>
    <x v="0"/>
  </r>
  <r>
    <s v="Informática"/>
    <n v="338"/>
    <s v="Reporte de Geolocalizacion interstate"/>
    <n v="247857"/>
    <s v="ARNALDO RENE COTTO STREMS"/>
    <n v="21"/>
    <s v="60-CERTIFICADO"/>
    <n v="3204"/>
    <s v="Gerson Gabriel Flores Montúfar"/>
    <s v="x"/>
    <m/>
    <m/>
    <m/>
    <m/>
    <m/>
    <n v="1"/>
    <n v="1"/>
    <n v="1"/>
    <n v="1"/>
    <m/>
    <m/>
    <d v="2025-01-01T00:00:00"/>
    <d v="1899-12-31T00:00:00"/>
    <m/>
    <x v="0"/>
    <m/>
    <m/>
    <x v="0"/>
    <x v="0"/>
    <n v="0"/>
    <n v="1"/>
    <x v="0"/>
  </r>
  <r>
    <s v="Informática"/>
    <n v="369"/>
    <s v="Reporte de SAP sobre las cajas de repuestos"/>
    <n v="289006"/>
    <s v="SULY DANIELA CHUN SANTOS de RIVERA"/>
    <n v="21"/>
    <s v="60-CERTIFICADO"/>
    <n v="3200"/>
    <s v="Carlos Eduardo Galindo Miranda"/>
    <s v="x"/>
    <m/>
    <m/>
    <m/>
    <m/>
    <m/>
    <n v="2"/>
    <n v="2"/>
    <n v="2"/>
    <n v="2"/>
    <m/>
    <m/>
    <d v="2025-01-28T00:00:00"/>
    <d v="1899-12-31T00:00:00"/>
    <m/>
    <x v="25"/>
    <m/>
    <s v="&lt;p&gt;Realizar un reporte sobre&amp;nbsp; ** las cajas de repuestos y que contenga la siguiente información:&lt;/p&gt;&lt;ul&gt; **  &lt;li&gt;Fecha y hora de emisión **      de entrega &lt;/li&gt; **  &lt;li&gt;Nombre del cliente o **      código&lt;/li&gt; **  &lt;li&gt;Hora de &lt;u&gt;impresión&lt;/u&gt; **      de la entrega &lt;/li&gt; **  &lt;li&gt;Hora de &lt;u&gt;facturación **      de las entrega&lt;/u&gt; &lt;/li&gt; **  &lt;li&gt;Recuento de entregas &lt;u&gt;por **      encomiendas&lt;/u&gt;&lt;/li&gt; ** &lt;/ul&gt;&lt;p&gt; **  **  **  **  **  ** &lt;/p&gt;"/>
    <x v="0"/>
    <x v="1"/>
    <n v="0"/>
    <n v="1"/>
    <x v="1"/>
  </r>
  <r>
    <s v="Informática"/>
    <n v="0"/>
    <s v="Reserva de vehículo - Isuzu Subdistribuidor"/>
    <n v="247791"/>
    <s v="ASTRID VICTORIA PEÑA DIEGUEZ"/>
    <n v="28"/>
    <s v="20-ASIGNADO"/>
    <n v="3201"/>
    <s v="Olga María Hinestroza Lima"/>
    <s v="x"/>
    <m/>
    <n v="2"/>
    <s v="PROCESO"/>
    <n v="2"/>
    <s v="MEDIA"/>
    <n v="2"/>
    <n v="2"/>
    <n v="2"/>
    <n v="2"/>
    <n v="1"/>
    <s v="PEQUEÑO"/>
    <d v="2025-02-17T00:00:00"/>
    <m/>
    <m/>
    <x v="18"/>
    <m/>
    <m/>
    <x v="0"/>
    <x v="6"/>
    <n v="0"/>
    <n v="0"/>
    <x v="6"/>
  </r>
  <r>
    <s v="Informática"/>
    <n v="325"/>
    <s v="Soporte Creditos y Cobros General"/>
    <m/>
    <m/>
    <n v="22"/>
    <s v="50-IMPLEMENTACION"/>
    <n v="2767"/>
    <s v="Gerson Castro"/>
    <s v="x"/>
    <b v="1"/>
    <m/>
    <m/>
    <m/>
    <m/>
    <n v="1"/>
    <n v="1"/>
    <n v="1"/>
    <n v="1"/>
    <m/>
    <m/>
    <d v="2025-01-01T00:00:00"/>
    <d v="1899-12-31T00:00:00"/>
    <m/>
    <x v="8"/>
    <m/>
    <s v="&lt;p&gt; ** SEGUIMIENTO Soporte al Sistema de Cobranza en ODOO. Edward Garcia fue el solicitante **  ** &lt;/p&gt;"/>
    <x v="0"/>
    <x v="3"/>
    <n v="0"/>
    <n v="1"/>
    <x v="3"/>
  </r>
  <r>
    <s v="Informática"/>
    <n v="0"/>
    <s v="Soporte PINPAD"/>
    <n v="289006"/>
    <s v="SULY DANIELA CHUN SANTOS de RIVERA"/>
    <n v="22"/>
    <s v="50-IMPLEMENTACION"/>
    <n v="3204"/>
    <s v="Gerson Gabriel Flores Montúfar"/>
    <s v="x"/>
    <m/>
    <m/>
    <m/>
    <m/>
    <m/>
    <m/>
    <m/>
    <m/>
    <m/>
    <m/>
    <m/>
    <d v="2025-02-12T00:00:00"/>
    <d v="2025-02-12T00:00:00"/>
    <m/>
    <x v="25"/>
    <d v="2025-02-12T00:00:00"/>
    <m/>
    <x v="0"/>
    <x v="1"/>
    <n v="0"/>
    <n v="1"/>
    <x v="1"/>
  </r>
  <r>
    <s v="Informática"/>
    <n v="335"/>
    <s v="Conciliación bancaria MT940BI(CN006)"/>
    <n v="247417"/>
    <s v="ALVARO LEONEL GUTIERREZ LOPEZ"/>
    <n v="21"/>
    <s v="60-CERTIFICADO"/>
    <n v="3204"/>
    <s v="Gerson Gabriel Flores Montúfar"/>
    <s v="x"/>
    <m/>
    <m/>
    <m/>
    <m/>
    <m/>
    <n v="1"/>
    <n v="1"/>
    <n v="1"/>
    <n v="1"/>
    <m/>
    <m/>
    <d v="2025-01-01T00:00:00"/>
    <d v="1899-12-31T00:00:00"/>
    <m/>
    <x v="0"/>
    <m/>
    <s v="&lt;p&gt;Carga de estado de cuenta MT940 banco industrial hacia SAP Canella&lt;/p&gt;"/>
    <x v="0"/>
    <x v="0"/>
    <n v="0"/>
    <n v="1"/>
    <x v="0"/>
  </r>
  <r>
    <s v="Informática"/>
    <n v="366"/>
    <s v="Desarrollo de reporte de personal 2024 de Taller Isuzu (CN006)"/>
    <m/>
    <m/>
    <n v="22"/>
    <s v="50-IMPLEMENTACION"/>
    <n v="195"/>
    <s v="Daniel Castillo"/>
    <s v="x"/>
    <b v="1"/>
    <m/>
    <m/>
    <m/>
    <m/>
    <m/>
    <m/>
    <n v="1"/>
    <n v="1"/>
    <m/>
    <m/>
    <d v="2025-01-01T00:00:00"/>
    <d v="1899-12-31T00:00:00"/>
    <m/>
    <x v="0"/>
    <m/>
    <m/>
    <x v="0"/>
    <x v="0"/>
    <n v="0"/>
    <n v="1"/>
    <x v="0"/>
  </r>
  <r>
    <s v="Informática"/>
    <n v="333"/>
    <s v="Implementación de WMS en Elizur (CN006)"/>
    <m/>
    <m/>
    <n v="21"/>
    <s v="60-CERTIFICADO"/>
    <n v="3203"/>
    <s v="Jose Pablo Reyes Gonzalez"/>
    <s v="x"/>
    <m/>
    <m/>
    <m/>
    <m/>
    <m/>
    <n v="1"/>
    <n v="1"/>
    <n v="2"/>
    <n v="2"/>
    <m/>
    <m/>
    <d v="2025-01-01T00:00:00"/>
    <d v="1899-12-31T00:00:00"/>
    <m/>
    <x v="0"/>
    <m/>
    <m/>
    <x v="0"/>
    <x v="0"/>
    <n v="0"/>
    <n v="1"/>
    <x v="0"/>
  </r>
  <r>
    <s v="Informática"/>
    <n v="276"/>
    <s v="Proyecto GESCON (CN006)"/>
    <n v="247888"/>
    <s v="JUAN MANUEL SOTO GUTIERREZ"/>
    <n v="30"/>
    <s v="40-DESARROLLO"/>
    <n v="3198"/>
    <s v="Josue Eleazar Chet Cuellar"/>
    <s v="x"/>
    <m/>
    <m/>
    <m/>
    <m/>
    <m/>
    <n v="1"/>
    <n v="1"/>
    <n v="1"/>
    <n v="1"/>
    <m/>
    <m/>
    <d v="2025-01-01T00:00:00"/>
    <d v="1899-12-31T00:00:00"/>
    <m/>
    <x v="26"/>
    <m/>
    <s v="&lt;p&gt; ** PROCESO Implementación y Renovación del nuevo Sistema de Contratos de Arrendamiento a una tecnología actualizada, revisión&amp;nbsp;y mejoras en los procesos, se agregara KPI y Gestión de las Cotizaciones, se cambiara nombre a la herramienta a GESCON **  ** &lt;/p&gt;"/>
    <x v="0"/>
    <x v="7"/>
    <n v="0"/>
    <n v="1"/>
    <x v="7"/>
  </r>
  <r>
    <s v="Informática"/>
    <n v="332"/>
    <s v="RPA de confirmación de boletas bancarias Créditos y Cobros"/>
    <n v="247722"/>
    <s v="RICARDO ALFONSO ESCOBEDO DACARET"/>
    <n v="30"/>
    <s v="40-DESARROLLO"/>
    <n v="195"/>
    <s v="Daniel Castillo"/>
    <s v="x"/>
    <m/>
    <m/>
    <m/>
    <m/>
    <m/>
    <n v="1"/>
    <n v="1"/>
    <n v="2"/>
    <n v="2"/>
    <m/>
    <m/>
    <d v="2025-01-01T00:00:00"/>
    <d v="1899-12-31T00:00:00"/>
    <m/>
    <x v="7"/>
    <m/>
    <s v="&lt;p&gt; ** PROCESO Se requiere desarrollar un sistema que facilite la validación masiva de boletas de transacciones bancarias, tomando como referencia el sistema de confirmación de boletas RPA implementado en el área de contabilidad. El nuevo sistema empleará las mismas validaciones y base de datos que el sistema de contabilidad, con el objetivo de eliminar la duplicidad de boletas, un problema recurrente en el proceso manual actual. **  ** &lt;/p&gt;"/>
    <x v="0"/>
    <x v="2"/>
    <n v="0"/>
    <n v="1"/>
    <x v="2"/>
  </r>
  <r>
    <s v="Informática"/>
    <n v="292"/>
    <s v="Sistema de encuestas Taller Isuzu (CN006)"/>
    <m/>
    <m/>
    <n v="21"/>
    <s v="60-CERTIFICADO"/>
    <n v="195"/>
    <s v="Daniel Castillo"/>
    <s v="x"/>
    <m/>
    <m/>
    <m/>
    <m/>
    <m/>
    <n v="1"/>
    <n v="1"/>
    <n v="2"/>
    <n v="2"/>
    <m/>
    <m/>
    <d v="2025-01-01T00:00:00"/>
    <d v="1899-12-31T00:00:00"/>
    <m/>
    <x v="0"/>
    <m/>
    <m/>
    <x v="0"/>
    <x v="0"/>
    <n v="0"/>
    <n v="1"/>
    <x v="0"/>
  </r>
  <r>
    <s v="Informática"/>
    <n v="0"/>
    <s v="Soporte Carga masiva Contabilidad TC Credomatic"/>
    <n v="289036"/>
    <s v="MADELYN SUSANA BRAN OLIVAREZ"/>
    <n v="22"/>
    <s v="50-IMPLEMENTACION"/>
    <n v="3204"/>
    <s v="Gerson Gabriel Flores Montúfar"/>
    <s v="x"/>
    <m/>
    <n v="4"/>
    <s v="SOPORTE/CAPACITACION"/>
    <n v="1"/>
    <s v="BAJA"/>
    <n v="2"/>
    <n v="2"/>
    <n v="2"/>
    <n v="2"/>
    <n v="1"/>
    <s v="PEQUEÑO"/>
    <d v="2025-02-11T00:00:00"/>
    <d v="2025-02-11T00:00:00"/>
    <m/>
    <x v="27"/>
    <d v="2025-02-11T00:00:00"/>
    <m/>
    <x v="0"/>
    <x v="1"/>
    <n v="0"/>
    <n v="1"/>
    <x v="1"/>
  </r>
  <r>
    <s v="Informática"/>
    <n v="0"/>
    <s v="Soporte RPA - Boletas"/>
    <m/>
    <m/>
    <n v="22"/>
    <s v="50-IMPLEMENTACION"/>
    <n v="2767"/>
    <s v="Gerson Castro"/>
    <s v="x"/>
    <m/>
    <m/>
    <m/>
    <m/>
    <m/>
    <m/>
    <m/>
    <m/>
    <m/>
    <m/>
    <m/>
    <d v="2025-02-06T00:00:00"/>
    <m/>
    <m/>
    <x v="1"/>
    <m/>
    <s v="&lt;p&gt;Seguimiento con problemas con las boletas de los bancos, problemas de estados de cuentas, cheques etc.&lt;/p&gt;"/>
    <x v="0"/>
    <x v="1"/>
    <n v="0"/>
    <n v="1"/>
    <x v="1"/>
  </r>
  <r>
    <s v="Informática"/>
    <n v="374"/>
    <s v="Soporte impresión Yamaha (CN006)"/>
    <n v="247807"/>
    <s v="EDUARDO JACOBO ARA GÓMEZ"/>
    <n v="22"/>
    <s v="50-IMPLEMENTACION"/>
    <n v="3201"/>
    <s v="Olga María Hinestroza Lima"/>
    <s v="x"/>
    <m/>
    <m/>
    <m/>
    <m/>
    <m/>
    <n v="3"/>
    <n v="3"/>
    <n v="2"/>
    <n v="2"/>
    <m/>
    <m/>
    <d v="2025-01-31T00:00:00"/>
    <d v="1899-12-31T00:00:00"/>
    <m/>
    <x v="1"/>
    <m/>
    <s v="&lt;p&gt;Pruebas de impresión de lote de expedientes con personal del departamento de Placas ubicados en Yamaha Liberación, validando orden, expedientes completos, reimpresión y bitácora de estado de expedientes.&lt;/p&gt;"/>
    <x v="0"/>
    <x v="1"/>
    <n v="0"/>
    <n v="1"/>
    <x v="1"/>
  </r>
  <r>
    <s v="Informática"/>
    <n v="317"/>
    <s v="Creditos y Cobros Fase 2 - Cobro a domiciliario"/>
    <m/>
    <m/>
    <n v="22"/>
    <s v="50-IMPLEMENTACION"/>
    <n v="2767"/>
    <s v="Gerson Castro"/>
    <s v="x"/>
    <m/>
    <m/>
    <m/>
    <m/>
    <m/>
    <n v="1"/>
    <n v="1"/>
    <n v="1"/>
    <n v="1"/>
    <m/>
    <m/>
    <d v="2025-01-01T00:00:00"/>
    <d v="1899-12-31T00:00:00"/>
    <m/>
    <x v="14"/>
    <m/>
    <s v="&lt;p&gt; ** PROCESO Automatizar las retenciones de IVA e ISR mediante un robot RPA. Para IVA, el robot accede a la SAT, recopila las facturas del Régimen General y Pequeño Contribuyente, las almacena en SAP, las compara, y si coinciden, genera la retención correspondiente. En el caso de ISR, el robot gestiona diferentes escenarios asigna dicho escenario a cada factura y luego le genera la retención, notifica a contabilidad y envía al proveedor un correo con el archivo PDF. **  ** &lt;/p&gt;"/>
    <x v="0"/>
    <x v="1"/>
    <n v="0"/>
    <n v="1"/>
    <x v="1"/>
  </r>
  <r>
    <s v="Informática"/>
    <n v="334"/>
    <s v="Optimizacion de Llamadas de Servicio (CN006)"/>
    <m/>
    <m/>
    <n v="21"/>
    <s v="60-CERTIFICADO"/>
    <n v="3203"/>
    <s v="Jose Pablo Reyes Gonzalez"/>
    <s v="x"/>
    <b v="1"/>
    <m/>
    <m/>
    <m/>
    <m/>
    <n v="1"/>
    <n v="1"/>
    <n v="3"/>
    <n v="3"/>
    <m/>
    <m/>
    <d v="2025-01-01T00:00:00"/>
    <d v="1899-12-31T00:00:00"/>
    <m/>
    <x v="21"/>
    <m/>
    <m/>
    <x v="0"/>
    <x v="2"/>
    <n v="0"/>
    <n v="1"/>
    <x v="2"/>
  </r>
  <r>
    <s v="Informática"/>
    <n v="0"/>
    <s v="Soporte MT940 GYT"/>
    <n v="247417"/>
    <s v="ALVARO LEONEL GUTIERREZ LOPEZ"/>
    <n v="22"/>
    <s v="50-IMPLEMENTACION"/>
    <n v="3204"/>
    <s v="Gerson Gabriel Flores Montúfar"/>
    <s v="x"/>
    <m/>
    <n v="4"/>
    <s v="SOPORTE/CAPACITACION"/>
    <m/>
    <m/>
    <m/>
    <m/>
    <m/>
    <m/>
    <m/>
    <m/>
    <d v="2025-02-12T00:00:00"/>
    <d v="2025-02-12T00:00:00"/>
    <m/>
    <x v="25"/>
    <d v="2025-02-12T00:00:00"/>
    <m/>
    <x v="0"/>
    <x v="1"/>
    <n v="0"/>
    <n v="1"/>
    <x v="1"/>
  </r>
  <r>
    <s v="Informática"/>
    <n v="295"/>
    <s v="Soporte de confirmación de boletas Enero (CN006)"/>
    <n v="293171"/>
    <s v="GABRIEL EFRAIN MELENDEZ MARROQUIN"/>
    <n v="21"/>
    <s v="60-CERTIFICADO"/>
    <n v="195"/>
    <s v="Daniel Castillo"/>
    <s v="x"/>
    <b v="1"/>
    <m/>
    <m/>
    <m/>
    <m/>
    <n v="1"/>
    <n v="1"/>
    <n v="1"/>
    <n v="1"/>
    <m/>
    <m/>
    <d v="2025-01-01T00:00:00"/>
    <d v="1899-12-31T00:00:00"/>
    <m/>
    <x v="14"/>
    <d v="2025-02-12T00:00:00"/>
    <s v="&lt;p&gt; ** MEJORAS Traslado del módulo de pases de salida de SAP a STOD **  ** &lt;/p&gt;"/>
    <x v="0"/>
    <x v="1"/>
    <n v="0"/>
    <n v="1"/>
    <x v="1"/>
  </r>
  <r>
    <s v="Informática"/>
    <n v="308"/>
    <s v="Carga masiva de Activo Fijo (CN006)"/>
    <n v="247795"/>
    <s v="SANDRA JUDITH LOARCA HERNANDEZ de PEREZ"/>
    <n v="30"/>
    <s v="40-DESARROLLO"/>
    <n v="3200"/>
    <s v="Carlos Eduardo Galindo Miranda"/>
    <s v="x"/>
    <m/>
    <m/>
    <m/>
    <m/>
    <m/>
    <n v="1"/>
    <n v="1"/>
    <n v="3"/>
    <n v="3"/>
    <m/>
    <m/>
    <d v="2025-01-01T00:00:00"/>
    <d v="1899-12-31T00:00:00"/>
    <m/>
    <x v="7"/>
    <m/>
    <s v="&lt;p&gt; ** PROCESO Crear códigos de activos fijos por medio de un archivo Excel.&lt;/p&gt;"/>
    <x v="0"/>
    <x v="2"/>
    <n v="0"/>
    <n v="1"/>
    <x v="2"/>
  </r>
  <r>
    <s v="Informática"/>
    <n v="290"/>
    <s v="Módulo de RECALL taller ISUZU (CN006)"/>
    <n v="247828"/>
    <s v="DOUGLAS ALEJANDRO MALDONADO DUMAS"/>
    <n v="21"/>
    <s v="60-CERTIFICADO"/>
    <n v="195"/>
    <s v="Daniel Castillo"/>
    <s v="x"/>
    <m/>
    <m/>
    <m/>
    <m/>
    <m/>
    <n v="1"/>
    <n v="1"/>
    <n v="1"/>
    <n v="1"/>
    <m/>
    <m/>
    <d v="2025-01-01T00:00:00"/>
    <d v="1899-12-31T00:00:00"/>
    <m/>
    <x v="0"/>
    <m/>
    <s v="&lt;p&gt; ** Ajustes al modulo de Recall con las indicaciones de Taller Automotriz **  ** &lt;/p&gt;"/>
    <x v="0"/>
    <x v="0"/>
    <n v="0"/>
    <n v="1"/>
    <x v="0"/>
  </r>
  <r>
    <s v="Informática"/>
    <n v="339"/>
    <s v="Sistema de Cubos ABC (CN006)"/>
    <m/>
    <m/>
    <n v="28"/>
    <s v="20-ASIGNADO"/>
    <n v="3203"/>
    <s v="Jose Pablo Reyes Gonzalez"/>
    <s v="x"/>
    <m/>
    <m/>
    <m/>
    <m/>
    <m/>
    <n v="1"/>
    <n v="1"/>
    <n v="2"/>
    <n v="2"/>
    <m/>
    <m/>
    <d v="2025-01-01T00:00:00"/>
    <d v="1899-12-31T00:00:00"/>
    <m/>
    <x v="1"/>
    <m/>
    <m/>
    <x v="0"/>
    <x v="1"/>
    <n v="0"/>
    <n v="1"/>
    <x v="1"/>
  </r>
  <r>
    <s v="Informática"/>
    <n v="307"/>
    <s v="Envío de correo en creación Pago Recibido en SAP (CN006)"/>
    <n v="247722"/>
    <s v="RICARDO ALFONSO ESCOBEDO DACARET"/>
    <n v="30"/>
    <s v="40-DESARROLLO"/>
    <n v="3202"/>
    <s v="Antonio Manuel Alejandro García González"/>
    <s v="x"/>
    <b v="1"/>
    <m/>
    <m/>
    <m/>
    <m/>
    <n v="1"/>
    <n v="1"/>
    <n v="2"/>
    <n v="2"/>
    <m/>
    <m/>
    <d v="2025-01-01T00:00:00"/>
    <d v="1899-12-31T00:00:00"/>
    <m/>
    <x v="5"/>
    <m/>
    <s v="&lt;p&gt;Se debe enviar un correo a Edward Garcia notificando y adjuntando el PDF del pago recibido&amp;nbsp;cuando se crea en SAP Canella.&lt;/p&gt;"/>
    <x v="0"/>
    <x v="3"/>
    <n v="0"/>
    <n v="1"/>
    <x v="3"/>
  </r>
  <r>
    <s v="Informática"/>
    <n v="336"/>
    <s v="Mejoras a SAP"/>
    <m/>
    <m/>
    <n v="30"/>
    <s v="40-DESARROLLO"/>
    <n v="3203"/>
    <s v="Jose Pablo Reyes Gonzalez"/>
    <s v="x"/>
    <m/>
    <m/>
    <m/>
    <m/>
    <m/>
    <n v="3"/>
    <n v="3"/>
    <n v="2"/>
    <n v="2"/>
    <m/>
    <m/>
    <d v="2025-01-01T00:00:00"/>
    <d v="1899-12-31T00:00:00"/>
    <m/>
    <x v="1"/>
    <m/>
    <m/>
    <x v="0"/>
    <x v="1"/>
    <n v="0"/>
    <n v="1"/>
    <x v="1"/>
  </r>
  <r>
    <s v="Informática"/>
    <n v="371"/>
    <s v="Soporte de ingreso de datos para presupuestos de pintura (CN006)"/>
    <m/>
    <m/>
    <n v="21"/>
    <s v="60-CERTIFICADO"/>
    <n v="195"/>
    <s v="Daniel Castillo"/>
    <s v="x"/>
    <b v="1"/>
    <m/>
    <m/>
    <m/>
    <m/>
    <m/>
    <m/>
    <n v="1"/>
    <n v="1"/>
    <m/>
    <m/>
    <d v="2025-01-06T00:00:00"/>
    <d v="1899-12-31T00:00:00"/>
    <m/>
    <x v="0"/>
    <m/>
    <m/>
    <x v="0"/>
    <x v="0"/>
    <n v="0"/>
    <n v="1"/>
    <x v="0"/>
  </r>
  <r>
    <s v="Gerencia"/>
    <n v="275"/>
    <s v="(275) PROCESO  ** Cambios para grabar presupuestos pintura en SAP, reporte y validaciones"/>
    <n v="247828"/>
    <s v="DOUGLAS ALEJANDRO MALDONADO DUMAS"/>
    <n v="30"/>
    <s v="40-DESARROLLO"/>
    <n v="3233"/>
    <s v="Carlos Rosales"/>
    <s v="x"/>
    <m/>
    <m/>
    <m/>
    <m/>
    <m/>
    <n v="1"/>
    <n v="1"/>
    <n v="1"/>
    <n v="1"/>
    <m/>
    <m/>
    <m/>
    <m/>
    <d v="2025-01-31T00:00:00"/>
    <x v="18"/>
    <m/>
    <s v="&lt;p&gt;PROCESO  ** Cambios para grabar presupuestos pintura en SAP, reporte y validaciones&lt;/p&gt;"/>
    <x v="1"/>
    <x v="6"/>
    <n v="1"/>
    <n v="0"/>
    <x v="0"/>
  </r>
  <r>
    <s v="Gerencia"/>
    <n v="278"/>
    <s v="(278) BI  ** Configuración de puerta de enlace para Power BI para Douglas Maldonado"/>
    <n v="247828"/>
    <s v="DOUGLAS ALEJANDRO MALDONADO DUMAS"/>
    <n v="30"/>
    <s v="40-DESARROLLO"/>
    <n v="3233"/>
    <s v="Carlos Rosales"/>
    <s v="x"/>
    <b v="1"/>
    <m/>
    <m/>
    <m/>
    <m/>
    <n v="1"/>
    <n v="1"/>
    <n v="3"/>
    <n v="3"/>
    <m/>
    <m/>
    <m/>
    <m/>
    <d v="2025-01-28T00:00:00"/>
    <x v="18"/>
    <m/>
    <s v="&lt;p&gt;BI  ** Configuración de puerta de enlace para Power BI para Douglas Maldonado&lt;/p&gt;"/>
    <x v="1"/>
    <x v="6"/>
    <n v="1"/>
    <n v="0"/>
    <x v="0"/>
  </r>
  <r>
    <s v="Gerencia"/>
    <n v="280"/>
    <s v="(280) SOPORTE Soporte y Capacitación de plantilla con Framework REACT/C Sharp para implementarlo en el sistema de SCONWEB del Departamento de Servicio Técnico"/>
    <n v="247541"/>
    <s v="ALEJANDRO ALBERTO GARCIA ARRECIS"/>
    <n v="28"/>
    <s v="20-ASIGNADO"/>
    <n v="3198"/>
    <s v="Josue Eleazar Chet Cuellar"/>
    <s v="x"/>
    <m/>
    <m/>
    <m/>
    <m/>
    <m/>
    <n v="3"/>
    <n v="3"/>
    <n v="3"/>
    <n v="3"/>
    <m/>
    <m/>
    <m/>
    <m/>
    <d v="2025-03-28T00:00:00"/>
    <x v="18"/>
    <m/>
    <s v="&lt;p&gt;SOPORTE Soporte y Capacitación de plantilla con Framework REACT/C Sharp para implementarlo en el sistema de SCONWEB del Departamento de Servicio Técnico&lt;/p&gt;"/>
    <x v="2"/>
    <x v="6"/>
    <n v="1"/>
    <n v="0"/>
    <x v="2"/>
  </r>
  <r>
    <s v="Gerencia"/>
    <n v="281"/>
    <s v="(281) PROCESO ** Implementación de Contabilidad NIIF"/>
    <n v="247795"/>
    <s v="SANDRA JUDITH LOARCA HERNANDEZ de PEREZ"/>
    <n v="28"/>
    <s v="20-ASIGNADO"/>
    <n v="3233"/>
    <s v="Carlos Rosales"/>
    <s v="x"/>
    <m/>
    <m/>
    <m/>
    <m/>
    <m/>
    <n v="1"/>
    <n v="1"/>
    <n v="1"/>
    <n v="1"/>
    <m/>
    <m/>
    <m/>
    <m/>
    <d v="2025-03-28T00:00:00"/>
    <x v="18"/>
    <m/>
    <s v="&lt;p&gt;PROCESO ** Implementación de Contabilidad NIIF&lt;/p&gt;"/>
    <x v="2"/>
    <x v="6"/>
    <n v="1"/>
    <n v="0"/>
    <x v="2"/>
  </r>
  <r>
    <s v="Gerencia"/>
    <n v="282"/>
    <s v="(282) MEJORAS  ** Mejoras al proceso de órdenes de entrega para sótano deben agregarse los campos indicados por Douglas Montoya"/>
    <n v="247556"/>
    <s v="DOUGLAS MONTOYA MONTAVES"/>
    <n v="28"/>
    <s v="20-ASIGNADO"/>
    <n v="3233"/>
    <s v="Carlos Rosales"/>
    <s v="x"/>
    <m/>
    <m/>
    <m/>
    <m/>
    <m/>
    <n v="1"/>
    <n v="1"/>
    <n v="3"/>
    <n v="3"/>
    <m/>
    <m/>
    <m/>
    <m/>
    <d v="2025-02-28T00:00:00"/>
    <x v="18"/>
    <m/>
    <s v="&lt;p&gt;MEJORAS  ** Mejoras al proceso de órdenes de entrega para sótano deben agregarse los campos indicados por Douglas Montoya&lt;/p&gt;"/>
    <x v="3"/>
    <x v="6"/>
    <n v="1"/>
    <n v="0"/>
    <x v="1"/>
  </r>
  <r>
    <s v="Gerencia"/>
    <n v="283"/>
    <s v="(283) CARGA DE DATOS ** Clasificación de clientes para carga masiva de SAP solicitada por Rene Cotto"/>
    <n v="247857"/>
    <s v="ARNALDO RENE COTTO STREMS"/>
    <n v="28"/>
    <s v="20-ASIGNADO"/>
    <m/>
    <m/>
    <s v="x"/>
    <m/>
    <m/>
    <m/>
    <m/>
    <m/>
    <n v="1"/>
    <n v="1"/>
    <n v="2"/>
    <n v="2"/>
    <m/>
    <m/>
    <m/>
    <m/>
    <d v="2025-01-31T00:00:00"/>
    <x v="18"/>
    <m/>
    <s v="&lt;p&gt;CARGA DE DATOS ** Clasificación de clientes para carga masiva de SAP solicitada por Rene Cotto&lt;/p&gt;&lt;p&gt;PENDIENTE ASIGNAR LUIS GONZALEZ&lt;/p&gt;"/>
    <x v="1"/>
    <x v="6"/>
    <n v="1"/>
    <n v="0"/>
    <x v="0"/>
  </r>
  <r>
    <s v="Gerencia"/>
    <n v="284"/>
    <s v="(284) PROCESO ** Actualizacion de tablas de catálogos de SAP de acuerdo con 24 puntos que contiene el archivo enviado a Marisol Recinos"/>
    <n v="247885"/>
    <s v="AMABILIA MARISOL RECINOS ARGUETA"/>
    <n v="28"/>
    <s v="20-ASIGNADO"/>
    <n v="3233"/>
    <s v="Carlos Rosales"/>
    <s v="x"/>
    <m/>
    <m/>
    <m/>
    <m/>
    <m/>
    <n v="1"/>
    <n v="1"/>
    <n v="1"/>
    <n v="1"/>
    <m/>
    <m/>
    <m/>
    <m/>
    <d v="2025-04-30T00:00:00"/>
    <x v="18"/>
    <m/>
    <s v="&lt;p&gt;PROCESO ** Actualizacion de tablas de catálogos de SAP de acuerdo con 24 puntos que contiene el archivo enviado a Marisol Recinos&lt;/p&gt;"/>
    <x v="4"/>
    <x v="6"/>
    <n v="1"/>
    <n v="0"/>
    <x v="3"/>
  </r>
  <r>
    <s v="Gerencia"/>
    <n v="285"/>
    <s v="(285) PROCESO ** Cubo para analisis de personal activo y retirado, para realizar un kpi de rotación de personal"/>
    <n v="247277"/>
    <s v="JOSE ROBERTO AGUIRRE CANELLA"/>
    <n v="21"/>
    <s v="60-CERTIFICADO"/>
    <n v="3233"/>
    <s v="Carlos Rosales"/>
    <s v="x"/>
    <m/>
    <m/>
    <m/>
    <m/>
    <m/>
    <n v="1"/>
    <n v="1"/>
    <n v="1"/>
    <n v="1"/>
    <m/>
    <m/>
    <m/>
    <m/>
    <d v="2025-01-31T00:00:00"/>
    <x v="18"/>
    <m/>
    <s v="&lt;p&gt;PROCESO ** Cubo para analisis de personal activo y retirado, para realizar un kpi de rotación de personal&lt;/p&gt;"/>
    <x v="1"/>
    <x v="6"/>
    <n v="1"/>
    <n v="0"/>
    <x v="0"/>
  </r>
  <r>
    <s v="Gerencia"/>
    <n v="286"/>
    <s v="(286) PROCESO ** Seguimiento a Cuadtratica para Vesa"/>
    <n v="247795"/>
    <s v="SANDRA JUDITH LOARCA HERNANDEZ de PEREZ"/>
    <n v="28"/>
    <s v="20-ASIGNADO"/>
    <m/>
    <m/>
    <s v="x"/>
    <m/>
    <m/>
    <m/>
    <m/>
    <m/>
    <n v="2"/>
    <n v="2"/>
    <n v="2"/>
    <n v="2"/>
    <m/>
    <m/>
    <m/>
    <m/>
    <d v="2025-02-28T00:00:00"/>
    <x v="18"/>
    <m/>
    <s v="&lt;p&gt;PROCESO ** Seguimiento a Cuadtratica para Vesa&lt;/p&gt;&lt;p&gt;PENDIENTE DE ASIGNAR LUIS GONZALEZ&lt;/p&gt;"/>
    <x v="3"/>
    <x v="6"/>
    <n v="1"/>
    <n v="0"/>
    <x v="1"/>
  </r>
  <r>
    <s v="Gerencia"/>
    <n v="287"/>
    <s v="(287) MEJORAS  ** Procesos de anulación en medios de pago SAP"/>
    <n v="289004"/>
    <s v="DOUGLAS MONTOYA MONTAVES"/>
    <n v="28"/>
    <s v="20-ASIGNADO"/>
    <m/>
    <m/>
    <s v="x"/>
    <m/>
    <m/>
    <m/>
    <m/>
    <m/>
    <n v="2"/>
    <n v="2"/>
    <n v="2"/>
    <n v="2"/>
    <m/>
    <m/>
    <m/>
    <m/>
    <d v="2025-02-28T00:00:00"/>
    <x v="18"/>
    <m/>
    <s v="&lt;p&gt;MEJORAS  ** Procesos de anulación en medios de pago SAP&lt;/p&gt;&lt;p&gt;PENDIENTE DE ASIGNAR LUIS GONZALEZ&lt;/p&gt;"/>
    <x v="3"/>
    <x v="6"/>
    <n v="1"/>
    <n v="0"/>
    <x v="1"/>
  </r>
  <r>
    <s v="Gerencia"/>
    <n v="288"/>
    <s v="(288) REPORTE ** Se debe integrar al reporte de corte de caja generado en SAP los datos del resumen que los cajeros manejan en un archivo Excel. Además, se deben agregar parámetros que permitan almacenar en la base de datos la información de las boletas de depósito realizadas por los cajeros al final del día, junto con los comentarios adjuntos."/>
    <n v="289006"/>
    <s v="SULY DANIELA CHUN SANTOS de RIVERA"/>
    <n v="22"/>
    <s v="50-IMPLEMENTACION"/>
    <n v="195"/>
    <s v="Daniel Castillo"/>
    <s v="x"/>
    <b v="1"/>
    <m/>
    <m/>
    <m/>
    <m/>
    <n v="1"/>
    <n v="1"/>
    <n v="1"/>
    <n v="1"/>
    <m/>
    <m/>
    <m/>
    <m/>
    <d v="2025-01-31T00:00:00"/>
    <x v="18"/>
    <m/>
    <s v="&lt;p&gt;REPORTE ** Se debe integrar al reporte de corte de caja generado en SAP los datos del resumen que los cajeros manejan en un archivo Excel. Además, se deben agregar parámetros que permitan almacenar en la base de datos la información de las boletas de depósito realizadas por los cajeros al final del día, junto con los comentarios adjuntos.&lt;/p&gt;"/>
    <x v="1"/>
    <x v="6"/>
    <n v="1"/>
    <n v="0"/>
    <x v="0"/>
  </r>
  <r>
    <s v="Gerencia"/>
    <n v="289"/>
    <s v="(289) MEJORAS ** Implementacion de Combos en GrafiPronto"/>
    <n v="247729"/>
    <s v="OLGA MARIA DE LA CRUZ VALLADARES GUILLEN de OVALLE"/>
    <n v="28"/>
    <s v="20-ASIGNADO"/>
    <m/>
    <m/>
    <s v="x"/>
    <m/>
    <m/>
    <m/>
    <m/>
    <m/>
    <n v="3"/>
    <n v="3"/>
    <n v="3"/>
    <n v="3"/>
    <m/>
    <m/>
    <m/>
    <m/>
    <d v="2025-03-28T00:00:00"/>
    <x v="18"/>
    <m/>
    <s v="&lt;p&gt;MEJORAS ** Implementacion de Combos en GrafiPronto&lt;/p&gt;&lt;p&gt;PENDIENTE DE ASIGNAR LUIS GONZALEZ&lt;/p&gt;"/>
    <x v="2"/>
    <x v="6"/>
    <n v="1"/>
    <n v="0"/>
    <x v="2"/>
  </r>
  <r>
    <s v="Gerencia"/>
    <n v="291"/>
    <s v="(291) PROCESO ** Estandarización de las instancias SAP MAQUIPOS Y VESA"/>
    <n v="247393"/>
    <s v="MIGUEL EDUARDO PEREZ LOPEZ"/>
    <n v="28"/>
    <s v="20-ASIGNADO"/>
    <m/>
    <m/>
    <s v="x"/>
    <m/>
    <m/>
    <m/>
    <m/>
    <m/>
    <n v="3"/>
    <n v="3"/>
    <n v="3"/>
    <n v="3"/>
    <m/>
    <m/>
    <m/>
    <m/>
    <d v="2025-04-14T00:00:00"/>
    <x v="18"/>
    <m/>
    <s v="&lt;p&gt;PROCESO ** Estandarización de las instancias SAP MAQUIPOS Y VESA&lt;/p&gt;&lt;p&gt;PENDIENTE DE ASIGNAR LUIS GONZALEZ&lt;/p&gt;"/>
    <x v="4"/>
    <x v="6"/>
    <n v="1"/>
    <n v="0"/>
    <x v="3"/>
  </r>
  <r>
    <s v="Gerencia"/>
    <n v="293"/>
    <s v="(293) PROCESO ** Seguimiento a Cuadtratica para Canella ** "/>
    <n v="247795"/>
    <s v="SANDRA JUDITH LOARCA HERNANDEZ de PEREZ"/>
    <n v="28"/>
    <s v="20-ASIGNADO"/>
    <m/>
    <m/>
    <s v="x"/>
    <m/>
    <m/>
    <m/>
    <m/>
    <m/>
    <n v="2"/>
    <n v="2"/>
    <n v="2"/>
    <n v="2"/>
    <m/>
    <m/>
    <m/>
    <m/>
    <d v="2025-03-28T00:00:00"/>
    <x v="18"/>
    <m/>
    <s v="&lt;p&gt;PROCESO ** Seguimiento a Cuadtratica para Canella&lt;/p&gt;&lt;p&gt;PENNDIENTE DE ASIGNAR LUIS GONZALEZ&lt;/p&gt;"/>
    <x v="2"/>
    <x v="6"/>
    <n v="1"/>
    <n v="0"/>
    <x v="2"/>
  </r>
  <r>
    <s v="Gerencia"/>
    <n v="294"/>
    <s v="(294) PROCESO ** Implementación del Sistema de Inventario en tránsito VESA Y MAQUIPOS"/>
    <n v="247795"/>
    <s v="SANDRA JUDITH LOARCA HERNANDEZ de PEREZ"/>
    <n v="28"/>
    <s v="20-ASIGNADO"/>
    <m/>
    <m/>
    <s v="x"/>
    <m/>
    <m/>
    <m/>
    <m/>
    <m/>
    <n v="1"/>
    <n v="1"/>
    <n v="2"/>
    <n v="2"/>
    <m/>
    <m/>
    <m/>
    <m/>
    <d v="2025-04-14T00:00:00"/>
    <x v="18"/>
    <m/>
    <s v="&lt;p&gt;PROCESO ** Implementación del Sistema de Inventario en tránsito VESA Y MAQUIPOS&lt;/p&gt;&lt;p&gt;PENDIENTE DE ASIGNAR LUIS GONNZALEZ&lt;/p&gt;"/>
    <x v="4"/>
    <x v="6"/>
    <n v="1"/>
    <n v="0"/>
    <x v="3"/>
  </r>
  <r>
    <s v="Gerencia"/>
    <n v="300"/>
    <s v="(300) REPORTE ** Se solicita agregar a nuevo personal al reporte, además de que se presenta el inconveniente ya que no aparecen ciertos mecánicos dentro de los registros. El usuario comenta lo siguiente: &quot;Me falta Kevin Raul España, Bryan Erickson Gomez Hernandez, y Anferny Antonio Lopez para que por favor sean agregados en ambos reportes"/>
    <n v="293171"/>
    <s v="GABRIEL EFRAIN MELENDEZ MARROQUIN"/>
    <n v="21"/>
    <s v="60-CERTIFICADO"/>
    <n v="195"/>
    <s v="Daniel Castillo"/>
    <s v="x"/>
    <b v="1"/>
    <m/>
    <m/>
    <m/>
    <m/>
    <n v="1"/>
    <n v="1"/>
    <n v="2"/>
    <n v="2"/>
    <m/>
    <m/>
    <m/>
    <m/>
    <d v="2025-03-10T00:00:00"/>
    <x v="18"/>
    <m/>
    <s v="&lt;p&gt;REPORTE ** Se solicita agregar a nuevo personal al reporte, además de que se presenta el inconveniente ya que no aparecen ciertos mecánicos dentro de los registros. El usuario comenta lo siguiente: &quot;Me falta Kevin Raul España, Bryan Erickson Gomez Hernandez, y Anferny Antonio Lopez para que por favor sean agregados en ambos reportes&lt;/p&gt;"/>
    <x v="2"/>
    <x v="6"/>
    <n v="1"/>
    <n v="0"/>
    <x v="2"/>
  </r>
  <r>
    <s v="Gerencia"/>
    <n v="305"/>
    <s v="(305) PROCESO ** Implementación de RPA para confirmación de boletas de deposito"/>
    <n v="247795"/>
    <s v="SANDRA JUDITH LOARCA HERNANDEZ de PEREZ"/>
    <n v="28"/>
    <s v="20-ASIGNADO"/>
    <n v="195"/>
    <s v="Daniel Castillo"/>
    <s v="x"/>
    <m/>
    <m/>
    <m/>
    <m/>
    <m/>
    <n v="1"/>
    <n v="1"/>
    <n v="1"/>
    <n v="1"/>
    <m/>
    <m/>
    <m/>
    <m/>
    <d v="2025-03-10T00:00:00"/>
    <x v="18"/>
    <m/>
    <s v="&lt;p&gt;PROCESO ** Implementación de RPA para confirmación de boletas de deposito&lt;/p&gt;&lt;p&gt;&lt;br&gt;&lt;/p&gt;"/>
    <x v="2"/>
    <x v="6"/>
    <n v="1"/>
    <n v="0"/>
    <x v="2"/>
  </r>
  <r>
    <s v="Gerencia"/>
    <n v="309"/>
    <s v="(309) PROCESO  ** Implementación del Sistema de PinPads para el manejo de Cajas en Facturación Fase 1"/>
    <n v="247795"/>
    <s v="SANDRA JUDITH LOARCA HERNANDEZ de PEREZ"/>
    <n v="21"/>
    <s v="60-CERTIFICADO"/>
    <m/>
    <m/>
    <s v="x"/>
    <m/>
    <m/>
    <m/>
    <m/>
    <m/>
    <n v="1"/>
    <n v="1"/>
    <n v="1"/>
    <n v="1"/>
    <m/>
    <m/>
    <m/>
    <m/>
    <d v="2025-01-31T00:00:00"/>
    <x v="18"/>
    <m/>
    <s v="&lt;p&gt;PROCESO  ** Implementación del Sistema de PinPads para el manejo de Cajas en Facturación Fase 1&lt;/p&gt;&lt;p&gt;PENDIENTE DE ASIGNAR MARVIN VARGAS&lt;/p&gt;"/>
    <x v="1"/>
    <x v="6"/>
    <n v="1"/>
    <n v="0"/>
    <x v="0"/>
  </r>
  <r>
    <s v="Gerencia"/>
    <n v="312"/>
    <s v="(312) PROCESO ** Conexión a SAP para  consultas de CQM Yamaha"/>
    <n v="247807"/>
    <s v="EDUARDO JACOBO ARA GÓMEZ"/>
    <n v="28"/>
    <s v="20-ASIGNADO"/>
    <m/>
    <m/>
    <s v="x"/>
    <b v="1"/>
    <m/>
    <m/>
    <m/>
    <m/>
    <n v="2"/>
    <n v="2"/>
    <n v="2"/>
    <n v="2"/>
    <m/>
    <m/>
    <m/>
    <m/>
    <d v="2025-01-31T00:00:00"/>
    <x v="18"/>
    <m/>
    <s v="&lt;p&gt;PROCESO ** Conexión a SAP para  consultas de CQM Yamaha&lt;/p&gt;&lt;p&gt;PENDIENTE DE ASIGNAR MARVIN VARGAS&lt;/p&gt;"/>
    <x v="1"/>
    <x v="6"/>
    <n v="1"/>
    <n v="0"/>
    <x v="0"/>
  </r>
  <r>
    <s v="Gerencia"/>
    <n v="313"/>
    <s v="(313) Información sobre la data del FEIC distribuidores para que se ingresen en un sitio web"/>
    <m/>
    <m/>
    <n v="28"/>
    <s v="20-ASIGNADO"/>
    <n v="3199"/>
    <s v="Erick Estuardo Hernandez Andrino"/>
    <s v="x"/>
    <m/>
    <m/>
    <m/>
    <m/>
    <m/>
    <n v="1"/>
    <n v="1"/>
    <n v="1"/>
    <n v="1"/>
    <m/>
    <m/>
    <m/>
    <m/>
    <d v="2025-02-21T00:00:00"/>
    <x v="18"/>
    <m/>
    <m/>
    <x v="3"/>
    <x v="6"/>
    <n v="1"/>
    <n v="0"/>
    <x v="1"/>
  </r>
  <r>
    <s v="Gerencia"/>
    <n v="314"/>
    <s v="(314) PROCESO ** Tiendas en línea Motul-Interstate - Ipone, desarrollo de webservices con SAP"/>
    <n v="247857"/>
    <s v="ARNALDO RENE COTTO STREMS"/>
    <n v="28"/>
    <s v="20-ASIGNADO"/>
    <m/>
    <m/>
    <s v="x"/>
    <m/>
    <m/>
    <m/>
    <m/>
    <m/>
    <n v="2"/>
    <n v="2"/>
    <n v="2"/>
    <n v="2"/>
    <m/>
    <m/>
    <m/>
    <m/>
    <d v="2025-02-14T00:00:00"/>
    <x v="18"/>
    <m/>
    <s v="&lt;p&gt;PROCESO ** Tiendas en línea Motul-Interstate - Ipone, desarrollo de webservices con SAP&lt;/p&gt;&lt;p&gt;PENDIENTE DE ASIGNAR MARVINN VARGAS&lt;/p&gt;"/>
    <x v="3"/>
    <x v="6"/>
    <n v="1"/>
    <n v="0"/>
    <x v="1"/>
  </r>
  <r>
    <s v="Gerencia"/>
    <n v="315"/>
    <s v="(315) PROCESO ** Modificación al reporte de la IVE y el nombre del reporte IVE-INF-05, Carlos Rosales hizo los ultimos ajustes por la auditoria de la IVE.  Luis enviara un correo detallando los ajustes a realizar"/>
    <n v="247651"/>
    <s v="LUIS FERNANDO BARRIOS MATIAS"/>
    <n v="21"/>
    <s v="60-CERTIFICADO"/>
    <n v="3199"/>
    <s v="Erick Estuardo Hernandez Andrino"/>
    <s v="x"/>
    <m/>
    <m/>
    <m/>
    <m/>
    <m/>
    <n v="1"/>
    <n v="1"/>
    <n v="3"/>
    <n v="3"/>
    <m/>
    <m/>
    <m/>
    <m/>
    <d v="2025-02-28T00:00:00"/>
    <x v="18"/>
    <m/>
    <s v="&lt;p&gt;PROCESO ** Modificación al reporte de la IVE y el nombre del reporte IVE-INF-05, Carlos Rosales hizo los ultimos ajustes por la auditoria de la IVE.  Luis enviara un correo detallando los ajustes a realizar&lt;/p&gt;"/>
    <x v="3"/>
    <x v="6"/>
    <n v="1"/>
    <n v="0"/>
    <x v="1"/>
  </r>
  <r>
    <s v="Gerencia"/>
    <n v="316"/>
    <s v="(316) PROCESO ** Conexión a página web de distribuidores Canon y tienda en línea para interfaces con SAP"/>
    <n v="247770"/>
    <s v="JORGE LUIS MURALLES PAPPA"/>
    <n v="28"/>
    <s v="20-ASIGNADO"/>
    <m/>
    <m/>
    <s v="x"/>
    <m/>
    <m/>
    <m/>
    <m/>
    <m/>
    <n v="2"/>
    <n v="2"/>
    <n v="2"/>
    <n v="2"/>
    <m/>
    <m/>
    <m/>
    <m/>
    <d v="2025-02-14T00:00:00"/>
    <x v="18"/>
    <m/>
    <s v="&lt;p&gt;PROCESO ** Conexión a página web de distribuidores Canon y tienda en línea para interfaces con SAP&lt;/p&gt;&lt;p&gt;PENDIENTE DE ASIGNAR MARVIN VARGAS&lt;/p&gt;"/>
    <x v="3"/>
    <x v="6"/>
    <n v="1"/>
    <n v="0"/>
    <x v="1"/>
  </r>
  <r>
    <s v="Gerencia"/>
    <n v="318"/>
    <s v="(318) PROCESO ** Seguimiento al proceso cotización de equipos y respuetos de Maquinaria, realizar webservices con SAP"/>
    <n v="247068"/>
    <s v="YESVI AVIGAIL ELIAS ORIZABAL"/>
    <n v="28"/>
    <s v="20-ASIGNADO"/>
    <m/>
    <m/>
    <s v="x"/>
    <m/>
    <m/>
    <m/>
    <m/>
    <m/>
    <n v="2"/>
    <n v="2"/>
    <n v="2"/>
    <n v="2"/>
    <m/>
    <m/>
    <m/>
    <m/>
    <d v="2025-02-24T00:00:00"/>
    <x v="18"/>
    <m/>
    <s v="&lt;p&gt;PROCESO ** Seguimiento al proceso cotización de equipos y respuetos de Maquinaria, realizar webservices con SAP&lt;/p&gt;&lt;p&gt;PENDIENTE DE ASIGNAR MARVIN VARGAS&lt;/p&gt;"/>
    <x v="3"/>
    <x v="6"/>
    <n v="1"/>
    <n v="0"/>
    <x v="1"/>
  </r>
  <r>
    <s v="Gerencia"/>
    <n v="320"/>
    <s v="(320) MEJORAS ** 2da fase de tablero de atención al clientes para cajas del departamento de Repuestos"/>
    <n v="247556"/>
    <s v="DOUGLAS MONTOYA MONTAVES"/>
    <n v="28"/>
    <s v="20-ASIGNADO"/>
    <m/>
    <m/>
    <s v="x"/>
    <m/>
    <m/>
    <m/>
    <m/>
    <m/>
    <n v="3"/>
    <n v="3"/>
    <n v="3"/>
    <n v="3"/>
    <m/>
    <m/>
    <m/>
    <m/>
    <d v="2025-04-14T00:00:00"/>
    <x v="18"/>
    <m/>
    <s v="&lt;p&gt;MEJORAS ** 2da fase de tablero de atención al clientes para cajas del departamento de Repuestos&lt;/p&gt;&lt;p&gt;PENDIENTE DE ASIGNAR MARVIN VARGAS&lt;/p&gt;"/>
    <x v="4"/>
    <x v="6"/>
    <n v="1"/>
    <n v="0"/>
    <x v="3"/>
  </r>
  <r>
    <s v="Gerencia"/>
    <n v="322"/>
    <s v="(322) CONSULTA EN SISTEMA DE PEDIDOS DISTRIBUIDORES - KRAS ** Consulta de estados de cuenta por el cliente en la web. Desde la página de pedidos del distribuidor se podrá accesar a la página de estados de cuenta"/>
    <n v="247857"/>
    <s v="ARNALDO RENE COTTO STREMS"/>
    <n v="28"/>
    <s v="20-ASIGNADO"/>
    <m/>
    <m/>
    <s v="x"/>
    <m/>
    <m/>
    <m/>
    <m/>
    <m/>
    <n v="3"/>
    <n v="3"/>
    <n v="1"/>
    <n v="1"/>
    <m/>
    <m/>
    <m/>
    <m/>
    <d v="2025-04-14T00:00:00"/>
    <x v="18"/>
    <m/>
    <s v="&lt;p&gt;CONSULTA EN SISTEMA DE PEDIDOS DISTRIBUIDORES - KRAS ** Consulta de estados de cuenta por el cliente en la web. Desde la página de pedidos del distribuidor se podrá accesar a la página de estados de cuenta&lt;/p&gt;&lt;p&gt;PENDIENTE DE ASIGNAR MARVIN VARGAS&lt;/p&gt;"/>
    <x v="4"/>
    <x v="6"/>
    <n v="1"/>
    <n v="0"/>
    <x v="3"/>
  </r>
  <r>
    <s v="Gerencia"/>
    <n v="323"/>
    <s v="(323) PROCESO ** KPIS de rendimiento para personal de créditos y cobros"/>
    <n v="247722"/>
    <s v="RICARDO ALFONSO ESCOBEDO DACARET"/>
    <n v="28"/>
    <s v="20-ASIGNADO"/>
    <n v="2767"/>
    <s v="Gerson Castro"/>
    <s v="x"/>
    <m/>
    <m/>
    <m/>
    <m/>
    <m/>
    <n v="1"/>
    <n v="1"/>
    <n v="3"/>
    <n v="3"/>
    <m/>
    <m/>
    <m/>
    <m/>
    <d v="2025-03-28T00:00:00"/>
    <x v="18"/>
    <m/>
    <s v="&lt;p&gt;PROCESO ** KPIS de rendimiento para personal de créditos y cobros&lt;/p&gt;"/>
    <x v="2"/>
    <x v="6"/>
    <n v="1"/>
    <n v="0"/>
    <x v="2"/>
  </r>
  <r>
    <s v="Gerencia"/>
    <n v="324"/>
    <s v="(324) PROCESO ** Seguimiento al proceso de entrega y preparación de vehículos, realizar webservices con SAP"/>
    <n v="247374"/>
    <s v="LUIS PEDRO LOPEZ RODAS"/>
    <n v="28"/>
    <s v="20-ASIGNADO"/>
    <m/>
    <m/>
    <s v="x"/>
    <m/>
    <m/>
    <m/>
    <m/>
    <m/>
    <n v="2"/>
    <n v="2"/>
    <n v="2"/>
    <n v="2"/>
    <m/>
    <m/>
    <m/>
    <m/>
    <d v="2025-03-28T00:00:00"/>
    <x v="18"/>
    <m/>
    <s v="&lt;p&gt;PROCESO ** Seguimiento al proceso de entrega y preparación de vehículos, realizar webservices con SAP&lt;/p&gt;&lt;p&gt;PENDIENTE DE ASIGNAR MARVIN VARGAS&lt;/p&gt;"/>
    <x v="2"/>
    <x v="6"/>
    <n v="1"/>
    <n v="0"/>
    <x v="2"/>
  </r>
  <r>
    <s v="Gerencia"/>
    <n v="326"/>
    <s v="(326) PROCESO ** Conexión a SAP para retroalimentación de etapas de reparación de un vehículo"/>
    <n v="247828"/>
    <s v="DOUGLAS ALEJANDRO MALDONADO DUMAS"/>
    <n v="28"/>
    <s v="20-ASIGNADO"/>
    <m/>
    <m/>
    <s v="x"/>
    <m/>
    <m/>
    <m/>
    <m/>
    <m/>
    <n v="2"/>
    <n v="2"/>
    <n v="2"/>
    <n v="2"/>
    <m/>
    <m/>
    <m/>
    <m/>
    <d v="2025-03-28T00:00:00"/>
    <x v="18"/>
    <m/>
    <s v="&lt;p&gt;PROCESO ** Conexión a SAP para retroalimentación de etapas de reparación de un vehículo&lt;/p&gt;&lt;p&gt;PENDIENTE DE ASIGNAR MARVIN VARGAS&lt;/p&gt;"/>
    <x v="2"/>
    <x v="6"/>
    <n v="1"/>
    <n v="0"/>
    <x v="2"/>
  </r>
  <r>
    <s v="Gerencia"/>
    <n v="331"/>
    <s v="(331) WMS  ** Implementación de WMS en Elisur. Las otras bodegas serán tickets adicionales (Bodega zona4, Taller Automotriz, Bodega Hyundai)"/>
    <n v="289092"/>
    <s v="CESAR ORLANDO MARTINEZ ABAL"/>
    <n v="21"/>
    <s v="60-CERTIFICADO"/>
    <n v="3203"/>
    <s v="Jose Pablo Reyes Gonzalez"/>
    <s v="x"/>
    <b v="1"/>
    <m/>
    <m/>
    <m/>
    <m/>
    <n v="1"/>
    <n v="1"/>
    <n v="1"/>
    <n v="1"/>
    <m/>
    <m/>
    <m/>
    <m/>
    <d v="2025-01-31T00:00:00"/>
    <x v="18"/>
    <m/>
    <s v="&lt;p&gt;WMS  ** Implementación de WMS en Elisur. Las otras bodegas serán tickets adicionales (Bodega zona4, Taller Automotriz, Bodega Hyundai)&lt;/p&gt;"/>
    <x v="1"/>
    <x v="6"/>
    <n v="1"/>
    <n v="0"/>
    <x v="0"/>
  </r>
  <r>
    <s v="Gerencia"/>
    <n v="337"/>
    <s v="(337) ENSAMBLE DE MOTOS   - KRAS ** Implementación del Módulo de Ensamble de Motocicletas en Elizur Fase 1"/>
    <n v="289092"/>
    <s v="CESAR ORLANDO MARTINEZ ABAL"/>
    <n v="21"/>
    <s v="60-CERTIFICADO"/>
    <n v="3203"/>
    <s v="Jose Pablo Reyes Gonzalez"/>
    <s v="x"/>
    <b v="1"/>
    <m/>
    <m/>
    <m/>
    <m/>
    <n v="1"/>
    <n v="1"/>
    <n v="1"/>
    <n v="1"/>
    <m/>
    <m/>
    <m/>
    <m/>
    <d v="2025-01-24T00:00:00"/>
    <x v="18"/>
    <m/>
    <s v="&lt;p&gt;ENSAMBLE DE MOTOS   - KRAS ** Implementación del Módulo de Ensamble de Motocicletas en Elizur Fase 1&lt;/p&gt;"/>
    <x v="1"/>
    <x v="6"/>
    <n v="1"/>
    <n v="0"/>
    <x v="0"/>
  </r>
  <r>
    <s v="Gerencia"/>
    <n v="341"/>
    <s v="(341) PROCESO ** Implementación de EVOLUTION sistema de RRHH"/>
    <n v="247904"/>
    <s v="MIRNA LISSETTE ARRECIS ROSALES"/>
    <n v="28"/>
    <s v="20-ASIGNADO"/>
    <n v="312"/>
    <s v="Williams Galvan"/>
    <s v="x"/>
    <m/>
    <m/>
    <m/>
    <m/>
    <m/>
    <n v="1"/>
    <n v="1"/>
    <n v="1"/>
    <n v="1"/>
    <m/>
    <m/>
    <m/>
    <m/>
    <d v="2025-07-31T00:00:00"/>
    <x v="18"/>
    <m/>
    <s v="&lt;p&gt;PROCESO ** Implementación de EVOLUTION sistema de RRHH&lt;/p&gt;"/>
    <x v="5"/>
    <x v="6"/>
    <n v="1"/>
    <n v="0"/>
    <x v="5"/>
  </r>
  <r>
    <s v="Gerencia"/>
    <n v="343"/>
    <s v="(343) PROCESO ** Implementación de SAP 10 para la Empresa Canella"/>
    <n v="247885"/>
    <s v="AMABILIA MARISOL RECINOS ARGUETA"/>
    <n v="28"/>
    <s v="20-ASIGNADO"/>
    <n v="312"/>
    <s v="Williams Galvan"/>
    <s v="x"/>
    <m/>
    <m/>
    <m/>
    <m/>
    <m/>
    <n v="1"/>
    <n v="1"/>
    <n v="1"/>
    <n v="1"/>
    <m/>
    <m/>
    <m/>
    <m/>
    <d v="2025-04-13T00:00:00"/>
    <x v="18"/>
    <m/>
    <s v="&lt;p&gt;PROCESO ** Implementación de SAP 10 para la Empresa Canella&lt;/p&gt;"/>
    <x v="4"/>
    <x v="6"/>
    <n v="1"/>
    <n v="0"/>
    <x v="3"/>
  </r>
  <r>
    <s v="Gerencia"/>
    <n v="345"/>
    <s v="(345) PROCESO ** Seguimiento al Sistema SAP para mejorar la estabilidad, bloqueos y mejoras en redimiento. Identificar procesos clave y hacer un plan de trabajo"/>
    <n v="247885"/>
    <s v="AMABILIA MARISOL RECINOS ARGUETA"/>
    <n v="28"/>
    <s v="20-ASIGNADO"/>
    <n v="312"/>
    <s v="Williams Galvan"/>
    <s v="x"/>
    <m/>
    <m/>
    <m/>
    <m/>
    <m/>
    <n v="1"/>
    <n v="1"/>
    <n v="1"/>
    <n v="1"/>
    <m/>
    <m/>
    <m/>
    <m/>
    <d v="2025-04-13T00:00:00"/>
    <x v="18"/>
    <m/>
    <s v="&lt;p&gt;PROCESO ** Seguimiento al Sistema SAP para mejorar la estabilidad, bloqueos y mejoras en redimiento. Identificar procesos clave y hacer un plan de trabajo&lt;/p&gt;"/>
    <x v="4"/>
    <x v="6"/>
    <n v="1"/>
    <n v="0"/>
    <x v="3"/>
  </r>
  <r>
    <s v="Gerencia"/>
    <n v="346"/>
    <s v="(346) PANTALLA  ** Creación de pantalla para cambiar códigos de artículos que tengan pase en el contrato, debido que a la hora de despachar no cuentan con el artículo.  "/>
    <n v="247828"/>
    <s v="DOUGLAS ALEJANDRO MALDONADO DUMAS"/>
    <n v="21"/>
    <s v="60-CERTIFICADO"/>
    <n v="3234"/>
    <s v="Jose Andres Chajon Cueto"/>
    <s v="x"/>
    <m/>
    <m/>
    <m/>
    <m/>
    <m/>
    <n v="1"/>
    <n v="1"/>
    <n v="1"/>
    <n v="1"/>
    <m/>
    <m/>
    <m/>
    <m/>
    <d v="2025-01-31T00:00:00"/>
    <x v="18"/>
    <m/>
    <s v="&lt;p&gt;PANTALLA  ** Creación de pantalla para cambiar códigos de artículos que tengan pase en el contrato, debido que a la hora de despachar no cuentan con el artículo.  &lt;/p&gt;"/>
    <x v="1"/>
    <x v="6"/>
    <n v="1"/>
    <n v="0"/>
    <x v="0"/>
  </r>
  <r>
    <s v="Gerencia"/>
    <n v="347"/>
    <s v="(347) MODULO DE COMISIONES ** Creación de modulo de comisiones con las indicaciones de Auditoría y Gerencia"/>
    <n v="247857"/>
    <s v="ARNALDO RENE COTTO STREMS"/>
    <n v="28"/>
    <s v="20-ASIGNADO"/>
    <n v="3234"/>
    <s v="Jose Andres Chajon Cueto"/>
    <s v="x"/>
    <m/>
    <m/>
    <m/>
    <m/>
    <m/>
    <n v="3"/>
    <n v="3"/>
    <n v="1"/>
    <n v="1"/>
    <m/>
    <m/>
    <m/>
    <m/>
    <d v="2025-02-28T00:00:00"/>
    <x v="18"/>
    <m/>
    <s v="&lt;p&gt;MODULO DE COMISIONES ** Creación de modulo de comisiones con las indicaciones de Auditoría y Gerencia&lt;/p&gt;"/>
    <x v="3"/>
    <x v="6"/>
    <n v="1"/>
    <n v="0"/>
    <x v="1"/>
  </r>
  <r>
    <s v="Gerencia"/>
    <n v="348"/>
    <s v="(348) PROCESO ** Necesitamos realizar un desarrollo en SAP, practicamente es que cuando un cliente con facturas en mora se ponga al día, el sistema lo desbloquee en automático sin la intervención de Créditos. Edward Garcia fue el solicitante"/>
    <n v="247722"/>
    <s v="RICARDO ALFONSO ESCOBEDO DACARET"/>
    <n v="21"/>
    <s v="60-CERTIFICADO"/>
    <n v="3234"/>
    <s v="Jose Andres Chajon Cueto"/>
    <s v="x"/>
    <m/>
    <m/>
    <m/>
    <m/>
    <m/>
    <n v="1"/>
    <n v="1"/>
    <n v="1"/>
    <n v="1"/>
    <m/>
    <m/>
    <m/>
    <m/>
    <d v="2025-01-31T00:00:00"/>
    <x v="18"/>
    <m/>
    <s v="&lt;p&gt;PROCESO ** Necesitamos realizar un desarrollo en SAP, practicamente es que cuando un cliente con facturas en mora se ponga al día, el sistema lo desbloquee en automático sin la intervención de Créditos. Edward Garcia fue el solicitante&lt;/p&gt;"/>
    <x v="1"/>
    <x v="6"/>
    <n v="1"/>
    <n v="0"/>
    <x v="0"/>
  </r>
  <r>
    <s v="Gerencia"/>
    <n v="349"/>
    <s v="(349) PROCESO  ** Implementación tarifario de mano de obra Isuzu (Esto está detenido por Douglas porque necesita un reporte de líneas de vehículo de José Roberto para depurar las líneas en SAP)"/>
    <n v="247828"/>
    <s v="DOUGLAS ALEJANDRO MALDONADO DUMAS"/>
    <n v="28"/>
    <s v="20-ASIGNADO"/>
    <n v="3234"/>
    <s v="Jose Andres Chajon Cueto"/>
    <s v="x"/>
    <m/>
    <m/>
    <m/>
    <m/>
    <m/>
    <n v="3"/>
    <n v="3"/>
    <n v="3"/>
    <n v="3"/>
    <m/>
    <m/>
    <m/>
    <m/>
    <d v="2025-03-10T00:00:00"/>
    <x v="18"/>
    <m/>
    <s v="&lt;p&gt;PROCESO  ** Implementación tarifario de mano de obra Isuzu (Esto está detenido por Douglas porque necesita un reporte de líneas de vehículo de José Roberto para depurar las líneas en SAP)&lt;/p&gt;"/>
    <x v="2"/>
    <x v="6"/>
    <n v="1"/>
    <n v="0"/>
    <x v="2"/>
  </r>
  <r>
    <s v="Gerencia"/>
    <n v="350"/>
    <s v="(350) REPORTE ** Realizar un reporte de Inventario con las columnas indicadas por Rene Cotto"/>
    <n v="247857"/>
    <s v="ARNALDO RENE COTTO STREMS"/>
    <n v="28"/>
    <s v="20-ASIGNADO"/>
    <n v="3234"/>
    <s v="Jose Andres Chajon Cueto"/>
    <s v="x"/>
    <m/>
    <m/>
    <m/>
    <m/>
    <m/>
    <n v="1"/>
    <n v="1"/>
    <n v="1"/>
    <n v="1"/>
    <m/>
    <m/>
    <m/>
    <m/>
    <d v="2025-02-14T00:00:00"/>
    <x v="18"/>
    <m/>
    <s v="&lt;p&gt;REPORTE ** Realizar un reporte de Inventario con las columnas indicadas por Rene Cotto&lt;/p&gt;"/>
    <x v="3"/>
    <x v="6"/>
    <n v="1"/>
    <n v="0"/>
    <x v="1"/>
  </r>
  <r>
    <s v="Gerencia"/>
    <n v="351"/>
    <s v="(351) PROCESO  ** Cambio de códigos de mano de obra en el módulo de contratos de mantenimiento para salir en vivo con el tarifario de mano de obra isuzu (en espera de listado de códigos de parte de Douglas)."/>
    <n v="247828"/>
    <s v="DOUGLAS ALEJANDRO MALDONADO DUMAS"/>
    <n v="28"/>
    <s v="20-ASIGNADO"/>
    <n v="3234"/>
    <s v="Jose Andres Chajon Cueto"/>
    <s v="x"/>
    <m/>
    <m/>
    <m/>
    <m/>
    <m/>
    <n v="3"/>
    <n v="3"/>
    <n v="1"/>
    <n v="1"/>
    <m/>
    <m/>
    <m/>
    <m/>
    <d v="2025-02-28T00:00:00"/>
    <x v="18"/>
    <m/>
    <s v="&lt;p&gt;PROCESO  ** Cambio de códigos de mano de obra en el módulo de contratos de mantenimiento para salir en vivo con el tarifario de mano de obra isuzu (en espera de listado de códigos de parte de Douglas).&lt;/p&gt;"/>
    <x v="3"/>
    <x v="6"/>
    <n v="1"/>
    <n v="0"/>
    <x v="1"/>
  </r>
  <r>
    <s v="Gerencia"/>
    <n v="367"/>
    <s v="(367) Mejoras al sistema SQM y STOD en la parte de registro de Leas y Cotizaciones para que no exista doble digitación"/>
    <n v="247605"/>
    <s v="MANUEL RAMIRO LOPEZ PIEDRASANTA"/>
    <n v="29"/>
    <s v="10-COLA"/>
    <m/>
    <m/>
    <s v="x"/>
    <m/>
    <m/>
    <m/>
    <m/>
    <m/>
    <n v="2"/>
    <n v="2"/>
    <n v="2"/>
    <n v="2"/>
    <m/>
    <m/>
    <m/>
    <m/>
    <d v="2025-02-28T00:00:00"/>
    <x v="18"/>
    <m/>
    <s v="&lt;p&gt;Mejoras al sistema SQM y STOD en la parte de registro de Leas y Cotizaciones para que no exista doble digitación&lt;/p&gt;"/>
    <x v="3"/>
    <x v="6"/>
    <n v="1"/>
    <n v="0"/>
    <x v="1"/>
  </r>
  <r>
    <s v="Gerencia"/>
    <n v="368"/>
    <s v="(368) Cerrar todas las ordenes abiertas de la División Soluciones de Oficina hasta el 30 de septiembre de 2024"/>
    <n v="247888"/>
    <s v="JUAN MANUEL SOTO GUTIERREZ"/>
    <n v="22"/>
    <s v="50-IMPLEMENTACION"/>
    <n v="3233"/>
    <s v="Carlos Rosales"/>
    <s v="x"/>
    <m/>
    <m/>
    <m/>
    <m/>
    <m/>
    <n v="1"/>
    <n v="1"/>
    <n v="1"/>
    <n v="1"/>
    <m/>
    <m/>
    <m/>
    <m/>
    <d v="2025-02-07T00:00:00"/>
    <x v="18"/>
    <m/>
    <s v="&lt;p&gt;Cerrar todas las ordenes abiertas de la División Soluciones de Oficina hasta el 30 de septiembre de 2024,&lt;/p&gt;&lt;p&gt;En conjunto con Marvin Vargas se cerraron automáticamente las OC&lt;/p&gt;"/>
    <x v="3"/>
    <x v="6"/>
    <n v="1"/>
    <n v="0"/>
    <x v="1"/>
  </r>
  <r>
    <s v="Gerencia"/>
    <n v="372"/>
    <s v="(372) Se da soporte al proceso de confirmación de boletas en el caso donde se confirmo una boleta con banco incorrecto y en donde el detalle de montos"/>
    <n v="289036"/>
    <s v="MADELYN SUSANA BRAN OLIVAREZ"/>
    <n v="29"/>
    <s v="10-COLA"/>
    <n v="195"/>
    <s v="Daniel Castillo"/>
    <s v="x"/>
    <b v="1"/>
    <m/>
    <m/>
    <m/>
    <m/>
    <m/>
    <m/>
    <n v="1"/>
    <n v="1"/>
    <m/>
    <m/>
    <m/>
    <m/>
    <d v="2025-01-18T00:00:00"/>
    <x v="18"/>
    <m/>
    <m/>
    <x v="1"/>
    <x v="6"/>
    <n v="1"/>
    <n v="0"/>
    <x v="0"/>
  </r>
  <r>
    <s v="Gerencia"/>
    <n v="0"/>
    <s v="(NT) Test 01 (CN006)"/>
    <m/>
    <m/>
    <n v="29"/>
    <s v="10-COLA"/>
    <n v="252"/>
    <s v="Julio de León"/>
    <s v="x"/>
    <m/>
    <n v="1"/>
    <s v="API"/>
    <m/>
    <m/>
    <m/>
    <m/>
    <m/>
    <m/>
    <m/>
    <m/>
    <m/>
    <m/>
    <m/>
    <x v="18"/>
    <m/>
    <m/>
    <x v="0"/>
    <x v="6"/>
    <n v="0"/>
    <n v="0"/>
    <x v="6"/>
  </r>
  <r>
    <s v="Gerencia"/>
    <n v="0"/>
    <s v="(NT) Test Williams Galván"/>
    <n v="247047"/>
    <s v="JULIO RENE PAIZ ANDRADE"/>
    <n v="29"/>
    <s v="10-COLA"/>
    <n v="312"/>
    <s v="Williams Galvan"/>
    <s v="x"/>
    <b v="1"/>
    <m/>
    <m/>
    <m/>
    <m/>
    <m/>
    <m/>
    <m/>
    <m/>
    <m/>
    <m/>
    <m/>
    <m/>
    <m/>
    <x v="18"/>
    <m/>
    <m/>
    <x v="0"/>
    <x v="6"/>
    <n v="0"/>
    <n v="0"/>
    <x v="6"/>
  </r>
  <r>
    <s v="Gerencia"/>
    <n v="296"/>
    <s v="ACTUALIZACION ESTADOS DE CUENTA DE BANCOS (CN006)"/>
    <m/>
    <m/>
    <n v="29"/>
    <s v="10-COLA"/>
    <n v="3202"/>
    <s v="Antonio Manuel Alejandro García González"/>
    <s v="x"/>
    <m/>
    <m/>
    <m/>
    <m/>
    <m/>
    <n v="3"/>
    <n v="3"/>
    <n v="1"/>
    <n v="1"/>
    <m/>
    <m/>
    <d v="2025-01-01T00:00:00"/>
    <d v="1899-12-31T00:00:00"/>
    <d v="2025-03-14T00:00:00"/>
    <x v="18"/>
    <m/>
    <m/>
    <x v="2"/>
    <x v="6"/>
    <n v="1"/>
    <n v="0"/>
    <x v="2"/>
  </r>
  <r>
    <s v="Gerencia"/>
    <n v="362"/>
    <s v="Actualización Masiva de Asientos Contables (CN006)"/>
    <n v="247002"/>
    <s v="AMI PAOLA YOC LOPEZ"/>
    <n v="21"/>
    <s v="60-CERTIFICADO"/>
    <n v="3202"/>
    <s v="Antonio Manuel Alejandro García González"/>
    <s v="x"/>
    <b v="1"/>
    <m/>
    <m/>
    <m/>
    <m/>
    <n v="1"/>
    <n v="1"/>
    <n v="2"/>
    <n v="2"/>
    <m/>
    <m/>
    <d v="2025-01-20T00:00:00"/>
    <d v="1899-12-31T00:00:00"/>
    <d v="2025-01-24T00:00:00"/>
    <x v="18"/>
    <d v="2025-03-01T00:00:00"/>
    <m/>
    <x v="1"/>
    <x v="6"/>
    <n v="1"/>
    <n v="0"/>
    <x v="0"/>
  </r>
  <r>
    <s v="Gerencia"/>
    <n v="298"/>
    <s v="Actualizar campos de usuario que indicará el estado del documento en la orden de compra. (CN006)"/>
    <n v="247002"/>
    <s v="AMI PAOLA YOC LOPEZ"/>
    <n v="22"/>
    <s v="50-IMPLEMENTACION"/>
    <n v="3202"/>
    <s v="Antonio Manuel Alejandro García González"/>
    <s v="x"/>
    <m/>
    <m/>
    <m/>
    <m/>
    <m/>
    <n v="1"/>
    <n v="1"/>
    <n v="1"/>
    <n v="1"/>
    <m/>
    <m/>
    <d v="2025-01-01T00:00:00"/>
    <d v="1899-12-31T00:00:00"/>
    <d v="2025-02-03T00:00:00"/>
    <x v="18"/>
    <m/>
    <m/>
    <x v="3"/>
    <x v="6"/>
    <n v="1"/>
    <n v="0"/>
    <x v="1"/>
  </r>
  <r>
    <s v="Gerencia"/>
    <n v="0"/>
    <s v="Ajuste de reporte de STOD MOVIL"/>
    <n v="247857"/>
    <s v="ARNALDO RENE COTTO STREMS"/>
    <n v="29"/>
    <s v="10-COLA"/>
    <n v="252"/>
    <s v="Julio de León"/>
    <s v="x"/>
    <b v="1"/>
    <n v="3"/>
    <s v="REPORTE"/>
    <n v="2"/>
    <s v="MEDIA"/>
    <n v="2"/>
    <n v="2"/>
    <n v="2"/>
    <n v="2"/>
    <n v="1"/>
    <s v="PEQUEÑO"/>
    <d v="2025-02-11T00:00:00"/>
    <d v="2025-02-17T00:00:00"/>
    <m/>
    <x v="18"/>
    <m/>
    <m/>
    <x v="0"/>
    <x v="6"/>
    <n v="0"/>
    <n v="0"/>
    <x v="6"/>
  </r>
  <r>
    <s v="Gerencia"/>
    <n v="301"/>
    <s v="Ajustes a los libros fiscales en todos los SAP (CN006)"/>
    <m/>
    <m/>
    <n v="29"/>
    <s v="10-COLA"/>
    <n v="3202"/>
    <s v="Antonio Manuel Alejandro García González"/>
    <s v="x"/>
    <m/>
    <m/>
    <m/>
    <m/>
    <m/>
    <n v="3"/>
    <n v="3"/>
    <n v="3"/>
    <n v="3"/>
    <m/>
    <m/>
    <d v="2025-01-01T00:00:00"/>
    <d v="1899-12-31T00:00:00"/>
    <d v="2025-03-28T00:00:00"/>
    <x v="18"/>
    <m/>
    <m/>
    <x v="2"/>
    <x v="6"/>
    <n v="1"/>
    <n v="0"/>
    <x v="2"/>
  </r>
  <r>
    <s v="Gerencia"/>
    <n v="0"/>
    <s v="Ajustes al reporte - REP - TableroDistribuicion Z13 - Entregas Pendientes (Caja)"/>
    <n v="289006"/>
    <s v="SULY DANIELA CHUN SANTOS de RIVERA"/>
    <n v="30"/>
    <s v="40-DESARROLLO"/>
    <n v="3202"/>
    <s v="Antonio Manuel Alejandro García González"/>
    <s v="x"/>
    <b v="1"/>
    <n v="4"/>
    <s v="SOPORTE/CAPACITACION"/>
    <n v="1"/>
    <s v="BAJA"/>
    <n v="2"/>
    <n v="2"/>
    <n v="2"/>
    <n v="2"/>
    <n v="1"/>
    <s v="PEQUEÑO"/>
    <d v="2025-02-06T00:00:00"/>
    <d v="2025-02-13T00:00:00"/>
    <d v="2025-02-28T00:00:00"/>
    <x v="18"/>
    <m/>
    <m/>
    <x v="3"/>
    <x v="6"/>
    <n v="1"/>
    <n v="0"/>
    <x v="1"/>
  </r>
  <r>
    <s v="Gerencia"/>
    <n v="310"/>
    <s v="Ajustes de sistema estados de cuentas (CN006)"/>
    <m/>
    <m/>
    <n v="27"/>
    <s v="30-ANALISIS"/>
    <n v="3200"/>
    <s v="Carlos Eduardo Galindo Miranda"/>
    <s v="x"/>
    <m/>
    <m/>
    <m/>
    <m/>
    <m/>
    <n v="1"/>
    <n v="1"/>
    <n v="2"/>
    <n v="2"/>
    <m/>
    <m/>
    <d v="2025-01-01T00:00:00"/>
    <d v="1899-12-31T00:00:00"/>
    <d v="2025-02-24T00:00:00"/>
    <x v="18"/>
    <m/>
    <s v="&lt;p&gt;Se necesita enviar un correo por el cual se avisara a los socios de negocio de distribución Yamaha que tiene un portal en el cual pueden ingresar para ver su estado de cuentas.&lt;/p&gt;"/>
    <x v="3"/>
    <x v="6"/>
    <n v="1"/>
    <n v="0"/>
    <x v="1"/>
  </r>
  <r>
    <s v="Gerencia"/>
    <n v="0"/>
    <s v="Autorización de facturas de Proveedores externos"/>
    <n v="247791"/>
    <s v="ASTRID VICTORIA PEÑA DIEGUEZ"/>
    <n v="29"/>
    <s v="10-COLA"/>
    <n v="3201"/>
    <s v="Olga María Hinestroza Lima"/>
    <s v="x"/>
    <m/>
    <n v="2"/>
    <s v="PROCESO"/>
    <n v="2"/>
    <s v="MEDIA"/>
    <n v="2"/>
    <n v="2"/>
    <n v="2"/>
    <n v="2"/>
    <n v="2"/>
    <s v="MEDIANO"/>
    <d v="2025-02-01T00:00:00"/>
    <m/>
    <m/>
    <x v="18"/>
    <m/>
    <m/>
    <x v="0"/>
    <x v="6"/>
    <n v="0"/>
    <n v="0"/>
    <x v="6"/>
  </r>
  <r>
    <s v="Gerencia"/>
    <n v="304"/>
    <s v="Consultas para reconciliaciones operados en Banco Industrial (CN006)"/>
    <n v="247795"/>
    <s v="SANDRA JUDITH LOARCA HERNANDEZ de PEREZ"/>
    <n v="21"/>
    <s v="60-CERTIFICADO"/>
    <n v="3202"/>
    <s v="Antonio Manuel Alejandro García González"/>
    <s v="x"/>
    <m/>
    <m/>
    <m/>
    <m/>
    <m/>
    <n v="1"/>
    <n v="1"/>
    <n v="3"/>
    <n v="3"/>
    <m/>
    <m/>
    <d v="2025-01-01T00:00:00"/>
    <d v="1899-12-31T00:00:00"/>
    <d v="2025-02-14T00:00:00"/>
    <x v="18"/>
    <d v="2025-02-04T00:00:00"/>
    <m/>
    <x v="3"/>
    <x v="6"/>
    <n v="1"/>
    <n v="0"/>
    <x v="1"/>
  </r>
  <r>
    <s v="Gerencia"/>
    <n v="363"/>
    <s v="Corrección y Mejoras en el FEIC (CN006)"/>
    <n v="247651"/>
    <s v="LUIS FERNANDO BARRIOS MATIAS"/>
    <n v="28"/>
    <s v="20-ASIGNADO"/>
    <n v="3199"/>
    <s v="Erick Estuardo Hernandez Andrino"/>
    <s v="x"/>
    <m/>
    <m/>
    <m/>
    <m/>
    <m/>
    <n v="2"/>
    <n v="2"/>
    <n v="2"/>
    <n v="2"/>
    <m/>
    <m/>
    <d v="2025-01-22T00:00:00"/>
    <d v="1899-12-31T00:00:00"/>
    <d v="2025-02-05T00:00:00"/>
    <x v="18"/>
    <m/>
    <s v="&lt;p&gt;Corrección en la gramática de diferentes vistas del FEIC, junto con mejoras en los selectores y validaciones. Estas incluyen la implementación de reglas para evitar que los campos queden vacíos, asegurando así que no se interrumpa el proceso de guardado del formulario del FEIC.&lt;/p&gt;"/>
    <x v="3"/>
    <x v="6"/>
    <n v="1"/>
    <n v="0"/>
    <x v="1"/>
  </r>
  <r>
    <s v="Gerencia"/>
    <n v="321"/>
    <s v="Creditos y Cobros Fase 2 - Cobro a domiciliario"/>
    <m/>
    <m/>
    <n v="22"/>
    <s v="50-IMPLEMENTACION"/>
    <n v="2767"/>
    <s v="Gerson Castro"/>
    <s v="x"/>
    <m/>
    <m/>
    <m/>
    <m/>
    <m/>
    <n v="1"/>
    <n v="1"/>
    <n v="1"/>
    <n v="1"/>
    <m/>
    <m/>
    <d v="2025-01-01T00:00:00"/>
    <d v="1899-12-31T00:00:00"/>
    <d v="2025-01-31T00:00:00"/>
    <x v="18"/>
    <m/>
    <s v="&lt;p&gt; ** PROCESO Implementación del sistema de cobro de calle en ODOO. Luis Polanco fue el solicitante **  ** &lt;/p&gt;"/>
    <x v="1"/>
    <x v="6"/>
    <n v="1"/>
    <n v="0"/>
    <x v="0"/>
  </r>
  <r>
    <s v="Gerencia"/>
    <n v="329"/>
    <s v="Cubos de BI sobre plataforma de Ucontact para análisis de datos (CN006)"/>
    <m/>
    <m/>
    <n v="29"/>
    <s v="10-COLA"/>
    <n v="3201"/>
    <s v="Olga María Hinestroza Lima"/>
    <s v="x"/>
    <m/>
    <m/>
    <m/>
    <m/>
    <m/>
    <n v="2"/>
    <n v="2"/>
    <n v="2"/>
    <n v="2"/>
    <m/>
    <m/>
    <d v="2025-01-01T00:00:00"/>
    <d v="1899-12-31T00:00:00"/>
    <d v="2025-02-14T00:00:00"/>
    <x v="18"/>
    <m/>
    <m/>
    <x v="3"/>
    <x v="6"/>
    <n v="1"/>
    <n v="0"/>
    <x v="1"/>
  </r>
  <r>
    <s v="Gerencia"/>
    <n v="360"/>
    <s v="Digitalización y clasificación de DUCAS e IPrimas (CN006)"/>
    <n v="246895"/>
    <s v="CARLOS JOSE REMBERTO CONTRERAS FLORIAN"/>
    <n v="29"/>
    <s v="10-COLA"/>
    <n v="3201"/>
    <s v="Olga María Hinestroza Lima"/>
    <s v="x"/>
    <m/>
    <m/>
    <m/>
    <m/>
    <m/>
    <n v="1"/>
    <n v="1"/>
    <n v="2"/>
    <n v="2"/>
    <m/>
    <m/>
    <d v="2025-02-10T00:00:00"/>
    <d v="1899-12-31T00:00:00"/>
    <d v="2025-03-31T00:00:00"/>
    <x v="18"/>
    <m/>
    <m/>
    <x v="2"/>
    <x v="6"/>
    <n v="1"/>
    <n v="0"/>
    <x v="2"/>
  </r>
  <r>
    <s v="Gerencia"/>
    <n v="0"/>
    <s v="Implementación de Sistema de Contraseñas de Proveedores Locales (copia)"/>
    <n v="254970"/>
    <s v="ROSA SOFIA PIRIR FERNANDEZ de SANCHEZ"/>
    <n v="21"/>
    <s v="60-CERTIFICADO"/>
    <n v="3204"/>
    <s v="Gerson Gabriel Flores Montúfar"/>
    <s v="x"/>
    <m/>
    <n v="4"/>
    <s v="SOPORTE/CAPACITACION"/>
    <n v="2"/>
    <s v="MEDIA"/>
    <n v="2"/>
    <n v="2"/>
    <n v="2"/>
    <n v="2"/>
    <n v="1"/>
    <s v="PEQUEÑO"/>
    <d v="2025-02-05T00:00:00"/>
    <d v="2025-02-05T00:00:00"/>
    <m/>
    <x v="18"/>
    <m/>
    <m/>
    <x v="0"/>
    <x v="6"/>
    <n v="0"/>
    <n v="0"/>
    <x v="6"/>
  </r>
  <r>
    <s v="Gerencia"/>
    <n v="340"/>
    <s v="MEJORAS Ajustes a eSFA para que se muestre la trazabilidad de tiempo de atención de visitas al cliente (CN006)"/>
    <m/>
    <m/>
    <n v="29"/>
    <s v="10-COLA"/>
    <n v="3204"/>
    <s v="Gerson Gabriel Flores Montúfar"/>
    <s v="x"/>
    <m/>
    <m/>
    <m/>
    <m/>
    <m/>
    <n v="1"/>
    <n v="1"/>
    <n v="1"/>
    <n v="1"/>
    <m/>
    <m/>
    <d v="2025-01-01T00:00:00"/>
    <d v="1899-12-31T00:00:00"/>
    <d v="2025-02-28T00:00:00"/>
    <x v="18"/>
    <m/>
    <m/>
    <x v="3"/>
    <x v="6"/>
    <n v="1"/>
    <n v="0"/>
    <x v="1"/>
  </r>
  <r>
    <s v="Gerencia"/>
    <n v="279"/>
    <s v="Mejora interface API SCON WEB (CN006)"/>
    <m/>
    <m/>
    <n v="29"/>
    <s v="10-COLA"/>
    <n v="3198"/>
    <s v="Josue Eleazar Chet Cuellar"/>
    <s v="x"/>
    <m/>
    <m/>
    <m/>
    <m/>
    <m/>
    <n v="1"/>
    <n v="1"/>
    <n v="3"/>
    <n v="3"/>
    <m/>
    <m/>
    <d v="2025-01-01T00:00:00"/>
    <d v="1899-12-31T00:00:00"/>
    <d v="2025-02-28T00:00:00"/>
    <x v="18"/>
    <m/>
    <m/>
    <x v="3"/>
    <x v="6"/>
    <n v="1"/>
    <n v="0"/>
    <x v="1"/>
  </r>
  <r>
    <s v="Gerencia"/>
    <n v="353"/>
    <s v="Obtención de Entrada de Mercancía y generación de factura (CN006)"/>
    <n v="247795"/>
    <s v="SANDRA JUDITH LOARCA HERNANDEZ de PEREZ"/>
    <n v="28"/>
    <s v="20-ASIGNADO"/>
    <n v="3201"/>
    <s v="Olga María Hinestroza Lima"/>
    <s v="x"/>
    <m/>
    <m/>
    <m/>
    <m/>
    <m/>
    <n v="1"/>
    <n v="1"/>
    <n v="1"/>
    <n v="1"/>
    <m/>
    <m/>
    <d v="2025-01-01T00:00:00"/>
    <d v="1899-12-31T00:00:00"/>
    <d v="2025-01-31T00:00:00"/>
    <x v="18"/>
    <m/>
    <s v="&lt;p&gt; ** Obtención de Entrada de Mercancía, notificación automática a Proveedor para envío y validación de documentos, API para generación de factura desde SAP **  ** &lt;/p&gt;"/>
    <x v="1"/>
    <x v="6"/>
    <n v="1"/>
    <n v="0"/>
    <x v="0"/>
  </r>
  <r>
    <s v="Gerencia"/>
    <n v="344"/>
    <s v="PROCESO Automatización de carga extracto bancario de las cuentas BANRURAL para la empresa CANELLA - MT940(CN006)"/>
    <m/>
    <m/>
    <n v="30"/>
    <s v="40-DESARROLLO"/>
    <n v="3204"/>
    <s v="Gerson Gabriel Flores Montúfar"/>
    <s v="x"/>
    <m/>
    <m/>
    <m/>
    <m/>
    <m/>
    <n v="1"/>
    <n v="1"/>
    <n v="3"/>
    <n v="3"/>
    <m/>
    <m/>
    <d v="2025-01-01T00:00:00"/>
    <d v="1899-12-31T00:00:00"/>
    <d v="2025-02-28T00:00:00"/>
    <x v="18"/>
    <m/>
    <m/>
    <x v="3"/>
    <x v="6"/>
    <n v="1"/>
    <n v="0"/>
    <x v="1"/>
  </r>
  <r>
    <s v="Gerencia"/>
    <n v="342"/>
    <s v="PROCESO Mejoras en los tiempos de impresión de facturas y certificación con Guatefacturas(CN006)"/>
    <m/>
    <m/>
    <n v="29"/>
    <s v="10-COLA"/>
    <n v="3204"/>
    <s v="Gerson Gabriel Flores Montúfar"/>
    <s v="x"/>
    <m/>
    <m/>
    <m/>
    <m/>
    <m/>
    <n v="1"/>
    <n v="1"/>
    <n v="3"/>
    <n v="3"/>
    <m/>
    <m/>
    <d v="2025-01-01T00:00:00"/>
    <d v="1899-12-31T00:00:00"/>
    <d v="2025-03-28T00:00:00"/>
    <x v="18"/>
    <m/>
    <m/>
    <x v="2"/>
    <x v="6"/>
    <n v="1"/>
    <n v="0"/>
    <x v="2"/>
  </r>
  <r>
    <s v="Gerencia"/>
    <n v="330"/>
    <s v="PROCESO Plantilla para grabar extensiones e ISR(CN006)"/>
    <n v="246933"/>
    <s v="EDWARD ANTONY GARCIA ALVARADO"/>
    <n v="28"/>
    <s v="20-ASIGNADO"/>
    <n v="2767"/>
    <s v="Gerson Castro"/>
    <s v="x"/>
    <m/>
    <m/>
    <m/>
    <m/>
    <m/>
    <n v="1"/>
    <n v="1"/>
    <n v="2"/>
    <n v="2"/>
    <m/>
    <m/>
    <d v="2025-01-01T00:00:00"/>
    <d v="1899-12-31T00:00:00"/>
    <d v="2025-03-28T00:00:00"/>
    <x v="18"/>
    <m/>
    <m/>
    <x v="2"/>
    <x v="6"/>
    <n v="1"/>
    <n v="0"/>
    <x v="2"/>
  </r>
  <r>
    <s v="Gerencia"/>
    <n v="328"/>
    <s v="PROCESO Robot que confirma boletas y valida duplicidad para Créditos y Cobros.  Edward Garcia fue el solicitante"/>
    <n v="247722"/>
    <s v="RICARDO ALFONSO ESCOBEDO DACARET"/>
    <n v="21"/>
    <s v="60-CERTIFICADO"/>
    <n v="195"/>
    <s v="Daniel Castillo"/>
    <s v="x"/>
    <m/>
    <m/>
    <m/>
    <m/>
    <m/>
    <n v="1"/>
    <n v="1"/>
    <n v="2"/>
    <n v="2"/>
    <m/>
    <m/>
    <d v="2025-01-01T00:00:00"/>
    <d v="1899-12-31T00:00:00"/>
    <d v="2025-01-31T00:00:00"/>
    <x v="18"/>
    <m/>
    <m/>
    <x v="1"/>
    <x v="6"/>
    <n v="1"/>
    <n v="0"/>
    <x v="0"/>
  </r>
  <r>
    <s v="Gerencia"/>
    <n v="0"/>
    <s v="Pagos por anticipo ( medios de pago)."/>
    <n v="247884"/>
    <s v="ANA CAROLINA PALACIOS GONZALEZ de MENENDEZ"/>
    <n v="22"/>
    <s v="50-IMPLEMENTACION"/>
    <n v="3204"/>
    <s v="Gerson Gabriel Flores Montúfar"/>
    <s v="x"/>
    <m/>
    <n v="3"/>
    <s v="REPORTE"/>
    <m/>
    <m/>
    <m/>
    <m/>
    <m/>
    <m/>
    <m/>
    <m/>
    <d v="2025-02-13T00:00:00"/>
    <d v="2025-02-13T00:00:00"/>
    <d v="2025-02-13T00:00:00"/>
    <x v="18"/>
    <d v="2025-02-13T00:00:00"/>
    <m/>
    <x v="3"/>
    <x v="6"/>
    <n v="1"/>
    <n v="0"/>
    <x v="1"/>
  </r>
  <r>
    <s v="Gerencia"/>
    <n v="302"/>
    <s v="Proceso para cargas masivas de medios de pago (CN006)"/>
    <m/>
    <m/>
    <n v="29"/>
    <s v="10-COLA"/>
    <n v="3202"/>
    <s v="Antonio Manuel Alejandro García González"/>
    <s v="x"/>
    <m/>
    <m/>
    <m/>
    <m/>
    <m/>
    <n v="3"/>
    <n v="3"/>
    <n v="1"/>
    <n v="1"/>
    <m/>
    <m/>
    <d v="2025-01-01T00:00:00"/>
    <d v="1899-12-31T00:00:00"/>
    <d v="2025-02-28T00:00:00"/>
    <x v="18"/>
    <m/>
    <m/>
    <x v="3"/>
    <x v="6"/>
    <n v="1"/>
    <n v="0"/>
    <x v="1"/>
  </r>
  <r>
    <s v="Gerencia"/>
    <n v="373"/>
    <s v="RPA Mr Credit - Envío de facturas (CN006)"/>
    <m/>
    <m/>
    <n v="21"/>
    <s v="60-CERTIFICADO"/>
    <n v="195"/>
    <s v="Daniel Castillo"/>
    <s v="x"/>
    <b v="1"/>
    <m/>
    <m/>
    <m/>
    <m/>
    <m/>
    <m/>
    <n v="1"/>
    <n v="1"/>
    <m/>
    <m/>
    <d v="2025-01-01T00:00:00"/>
    <d v="1899-12-31T00:00:00"/>
    <d v="2025-01-15T00:00:00"/>
    <x v="18"/>
    <m/>
    <m/>
    <x v="1"/>
    <x v="6"/>
    <n v="1"/>
    <n v="0"/>
    <x v="0"/>
  </r>
  <r>
    <s v="Gerencia"/>
    <n v="0"/>
    <s v="Reporte compras para Auditoria"/>
    <n v="247647"/>
    <s v="EMILIA LETICIA DIAZ MAZARIEGOS"/>
    <n v="22"/>
    <s v="50-IMPLEMENTACION"/>
    <n v="3233"/>
    <s v="Carlos Rosales"/>
    <s v="x"/>
    <b v="1"/>
    <n v="3"/>
    <s v="REPORTE"/>
    <n v="2"/>
    <s v="MEDIA"/>
    <n v="1"/>
    <n v="1"/>
    <n v="1"/>
    <n v="1"/>
    <n v="2"/>
    <s v="MEDIANO"/>
    <d v="2025-02-10T00:00:00"/>
    <d v="2025-02-11T00:00:00"/>
    <d v="2025-02-18T00:00:00"/>
    <x v="18"/>
    <m/>
    <s v="&lt;p&gt;Reporte de facturas de compras por servicios en SAP Canella, Maquipos y VESA, según modelo enviado.&lt;/p&gt;"/>
    <x v="3"/>
    <x v="6"/>
    <n v="1"/>
    <n v="0"/>
    <x v="1"/>
  </r>
  <r>
    <s v="Gerencia"/>
    <n v="0"/>
    <s v="Reporte de interfaces"/>
    <n v="289030"/>
    <s v="WILLIAMS GIOVANNI GALVAN ESTRADA"/>
    <n v="29"/>
    <s v="10-COLA"/>
    <n v="3198"/>
    <s v="Josue Eleazar Chet Cuellar"/>
    <s v="x"/>
    <b v="1"/>
    <n v="3"/>
    <s v="REPORTE"/>
    <n v="1"/>
    <s v="BAJA"/>
    <n v="2"/>
    <n v="2"/>
    <n v="1"/>
    <n v="1"/>
    <n v="1"/>
    <s v="PEQUEÑO"/>
    <d v="2025-02-17T00:00:00"/>
    <d v="2025-02-17T00:00:00"/>
    <d v="2025-02-17T00:00:00"/>
    <x v="18"/>
    <m/>
    <m/>
    <x v="3"/>
    <x v="6"/>
    <n v="1"/>
    <n v="0"/>
    <x v="1"/>
  </r>
  <r>
    <s v="Gerencia"/>
    <n v="277"/>
    <s v="Reporte de inventario Motul (CN006)"/>
    <n v="247857"/>
    <s v="ARNALDO RENE COTTO STREMS"/>
    <n v="21"/>
    <s v="60-CERTIFICADO"/>
    <n v="3198"/>
    <s v="Josue Eleazar Chet Cuellar"/>
    <s v="x"/>
    <m/>
    <m/>
    <m/>
    <m/>
    <m/>
    <n v="1"/>
    <n v="1"/>
    <n v="2"/>
    <n v="2"/>
    <m/>
    <m/>
    <d v="2025-01-01T00:00:00"/>
    <d v="1899-12-31T00:00:00"/>
    <d v="2025-01-31T00:00:00"/>
    <x v="18"/>
    <m/>
    <s v="&lt;p&gt; ** INDICADORES Consulta de ventas, KPI, clientes para utliizar en el celular **  ** &lt;/p&gt;"/>
    <x v="1"/>
    <x v="6"/>
    <n v="1"/>
    <n v="0"/>
    <x v="0"/>
  </r>
  <r>
    <s v="Gerencia"/>
    <n v="0"/>
    <s v="Reporte del detalle de usuario en entregas SAP (CN006)"/>
    <m/>
    <m/>
    <n v="21"/>
    <s v="60-CERTIFICADO"/>
    <n v="3198"/>
    <s v="Josue Eleazar Chet Cuellar"/>
    <s v="x"/>
    <m/>
    <m/>
    <m/>
    <m/>
    <m/>
    <m/>
    <m/>
    <m/>
    <m/>
    <m/>
    <m/>
    <m/>
    <m/>
    <m/>
    <x v="18"/>
    <m/>
    <m/>
    <x v="0"/>
    <x v="6"/>
    <n v="0"/>
    <n v="0"/>
    <x v="6"/>
  </r>
  <r>
    <s v="Gerencia"/>
    <n v="359"/>
    <s v="Reporte facturas Admin Seguridad (CN006)"/>
    <m/>
    <m/>
    <n v="21"/>
    <s v="60-CERTIFICADO"/>
    <n v="3201"/>
    <s v="Olga María Hinestroza Lima"/>
    <s v="x"/>
    <b v="1"/>
    <m/>
    <m/>
    <m/>
    <m/>
    <n v="1"/>
    <n v="1"/>
    <n v="1"/>
    <n v="1"/>
    <m/>
    <m/>
    <d v="2025-01-20T00:00:00"/>
    <d v="1899-12-31T00:00:00"/>
    <d v="2025-01-31T00:00:00"/>
    <x v="18"/>
    <m/>
    <m/>
    <x v="1"/>
    <x v="6"/>
    <n v="1"/>
    <n v="0"/>
    <x v="0"/>
  </r>
  <r>
    <s v="Gerencia"/>
    <n v="319"/>
    <s v="SEGUIMIENTO A PEDIDOS (TRACKING) - KRAS(CN006)"/>
    <n v="247857"/>
    <s v="ARNALDO RENE COTTO STREMS"/>
    <n v="28"/>
    <s v="20-ASIGNADO"/>
    <n v="2767"/>
    <s v="Gerson Castro"/>
    <s v="x"/>
    <m/>
    <m/>
    <m/>
    <m/>
    <m/>
    <n v="1"/>
    <n v="1"/>
    <n v="1"/>
    <n v="1"/>
    <m/>
    <m/>
    <d v="2025-01-01T00:00:00"/>
    <d v="1899-12-31T00:00:00"/>
    <d v="2025-03-28T00:00:00"/>
    <x v="18"/>
    <m/>
    <s v="&lt;p&gt;En una aplicación web los clientes deben poder ver sus pedidos con su respectivo estatus Pedido, Oferta, Orden, Entrega, Facturado, etc. &lt;/p&gt;"/>
    <x v="2"/>
    <x v="6"/>
    <n v="1"/>
    <n v="0"/>
    <x v="2"/>
  </r>
  <r>
    <s v="Gerencia"/>
    <n v="0"/>
    <s v="Soporte (CN006)"/>
    <m/>
    <m/>
    <n v="28"/>
    <s v="20-ASIGNADO"/>
    <n v="3203"/>
    <s v="Jose Pablo Reyes Gonzalez"/>
    <s v="x"/>
    <m/>
    <m/>
    <m/>
    <m/>
    <m/>
    <m/>
    <m/>
    <m/>
    <m/>
    <m/>
    <m/>
    <d v="2025-02-03T00:00:00"/>
    <d v="2025-02-03T00:00:00"/>
    <m/>
    <x v="18"/>
    <m/>
    <m/>
    <x v="0"/>
    <x v="6"/>
    <n v="0"/>
    <n v="0"/>
    <x v="6"/>
  </r>
  <r>
    <s v="Gerencia"/>
    <n v="0"/>
    <s v="Soporte Carga de Excel a STOD (CN006)"/>
    <n v="247417"/>
    <s v="ALVARO LEONEL GUTIERREZ LOPEZ"/>
    <n v="21"/>
    <s v="60-CERTIFICADO"/>
    <n v="3202"/>
    <s v="Antonio Manuel Alejandro García González"/>
    <s v="x"/>
    <m/>
    <n v="4"/>
    <s v="SOPORTE/CAPACITACION"/>
    <n v="1"/>
    <s v="BAJA"/>
    <n v="1"/>
    <n v="1"/>
    <n v="2"/>
    <n v="2"/>
    <n v="1"/>
    <s v="PEQUEÑO"/>
    <d v="2025-02-04T00:00:00"/>
    <d v="2025-02-04T00:00:00"/>
    <d v="2025-02-05T00:00:00"/>
    <x v="18"/>
    <d v="2025-02-05T00:00:00"/>
    <m/>
    <x v="3"/>
    <x v="6"/>
    <n v="1"/>
    <n v="0"/>
    <x v="1"/>
  </r>
  <r>
    <s v="Gerencia"/>
    <n v="0"/>
    <s v="Soporte Contabilidad Corte de Caja"/>
    <n v="247804"/>
    <s v="NANCY ELIZABETH ALVARADO TOLEDO"/>
    <n v="22"/>
    <s v="50-IMPLEMENTACION"/>
    <n v="3204"/>
    <s v="Gerson Gabriel Flores Montúfar"/>
    <s v="x"/>
    <m/>
    <m/>
    <m/>
    <m/>
    <m/>
    <m/>
    <m/>
    <m/>
    <m/>
    <m/>
    <m/>
    <d v="2025-02-10T00:00:00"/>
    <d v="2025-02-10T00:00:00"/>
    <d v="2025-02-10T00:00:00"/>
    <x v="18"/>
    <d v="2025-02-10T00:00:00"/>
    <m/>
    <x v="3"/>
    <x v="6"/>
    <n v="1"/>
    <n v="0"/>
    <x v="1"/>
  </r>
  <r>
    <s v="Gerencia"/>
    <n v="0"/>
    <s v="Soporte en creación Recibos de Pago"/>
    <n v="247897"/>
    <s v="JOSE LUIS PRADO PORTILLO"/>
    <n v="21"/>
    <s v="60-CERTIFICADO"/>
    <n v="3202"/>
    <s v="Antonio Manuel Alejandro García González"/>
    <s v="x"/>
    <b v="1"/>
    <n v="4"/>
    <s v="SOPORTE/CAPACITACION"/>
    <n v="1"/>
    <s v="BAJA"/>
    <n v="2"/>
    <n v="2"/>
    <n v="2"/>
    <n v="2"/>
    <n v="1"/>
    <s v="PEQUEÑO"/>
    <d v="2025-02-13T00:00:00"/>
    <d v="2025-02-13T00:00:00"/>
    <d v="2025-02-13T00:00:00"/>
    <x v="18"/>
    <d v="2025-02-13T00:00:00"/>
    <m/>
    <x v="3"/>
    <x v="6"/>
    <n v="1"/>
    <n v="0"/>
    <x v="1"/>
  </r>
  <r>
    <s v="Gerencia"/>
    <n v="0"/>
    <s v="Soporte enero (CN006)"/>
    <m/>
    <m/>
    <n v="21"/>
    <s v="60-CERTIFICADO"/>
    <n v="3201"/>
    <s v="Olga María Hinestroza Lima"/>
    <s v="x"/>
    <m/>
    <n v="4"/>
    <s v="SOPORTE/CAPACITACION"/>
    <n v="1"/>
    <s v="BAJA"/>
    <n v="2"/>
    <n v="2"/>
    <n v="3"/>
    <n v="3"/>
    <n v="2"/>
    <s v="MEDIANO"/>
    <d v="2025-01-01T00:00:00"/>
    <d v="2025-01-01T00:00:00"/>
    <d v="2025-01-31T00:00:00"/>
    <x v="18"/>
    <d v="2025-01-31T00:00:00"/>
    <m/>
    <x v="1"/>
    <x v="6"/>
    <n v="1"/>
    <n v="0"/>
    <x v="0"/>
  </r>
  <r>
    <s v="Gerencia"/>
    <n v="0"/>
    <s v="Soporte febrero (CN006)"/>
    <m/>
    <m/>
    <n v="22"/>
    <s v="50-IMPLEMENTACION"/>
    <n v="3201"/>
    <s v="Olga María Hinestroza Lima"/>
    <s v="x"/>
    <m/>
    <n v="4"/>
    <s v="SOPORTE/CAPACITACION"/>
    <n v="1"/>
    <s v="BAJA"/>
    <n v="2"/>
    <n v="2"/>
    <n v="3"/>
    <n v="3"/>
    <n v="1"/>
    <s v="PEQUEÑO"/>
    <d v="2025-02-01T00:00:00"/>
    <d v="2025-02-01T00:00:00"/>
    <d v="2025-02-28T00:00:00"/>
    <x v="18"/>
    <m/>
    <m/>
    <x v="3"/>
    <x v="6"/>
    <n v="1"/>
    <n v="0"/>
    <x v="1"/>
  </r>
  <r>
    <s v="Gerencia"/>
    <n v="0"/>
    <s v="Soporte query saldo de cuenta"/>
    <n v="246832"/>
    <s v="KAREN SELENA MENDIZABAL LOPEZ"/>
    <n v="22"/>
    <s v="50-IMPLEMENTACION"/>
    <n v="3204"/>
    <s v="Gerson Gabriel Flores Montúfar"/>
    <s v="x"/>
    <m/>
    <n v="4"/>
    <s v="SOPORTE/CAPACITACION"/>
    <m/>
    <m/>
    <m/>
    <m/>
    <m/>
    <m/>
    <m/>
    <m/>
    <d v="2025-02-12T00:00:00"/>
    <d v="2025-02-12T00:00:00"/>
    <d v="2025-02-12T00:00:00"/>
    <x v="18"/>
    <d v="2025-02-12T00:00:00"/>
    <m/>
    <x v="3"/>
    <x v="6"/>
    <n v="1"/>
    <n v="0"/>
    <x v="1"/>
  </r>
  <r>
    <s v="Gerencia"/>
    <n v="0"/>
    <s v="Soporte y documentación de proyectos (CN006)"/>
    <m/>
    <m/>
    <n v="30"/>
    <s v="40-DESARROLLO"/>
    <n v="195"/>
    <s v="Daniel Castillo"/>
    <s v="x"/>
    <m/>
    <m/>
    <m/>
    <m/>
    <m/>
    <m/>
    <m/>
    <m/>
    <m/>
    <m/>
    <m/>
    <m/>
    <m/>
    <m/>
    <x v="18"/>
    <m/>
    <m/>
    <x v="0"/>
    <x v="6"/>
    <n v="0"/>
    <n v="0"/>
    <x v="6"/>
  </r>
  <r>
    <s v="Gerencia"/>
    <n v="354"/>
    <s v="Subdistribuidores Isuzu (CN006)"/>
    <n v="247791"/>
    <s v="ASTRID VICTORIA PEÑA DIEGUEZ"/>
    <n v="27"/>
    <s v="30-ANALISIS"/>
    <n v="3201"/>
    <s v="Olga María Hinestroza Lima"/>
    <s v="x"/>
    <m/>
    <m/>
    <m/>
    <m/>
    <m/>
    <n v="1"/>
    <n v="1"/>
    <n v="1"/>
    <n v="1"/>
    <m/>
    <m/>
    <d v="2025-01-01T00:00:00"/>
    <d v="1899-12-31T00:00:00"/>
    <d v="2025-03-31T00:00:00"/>
    <x v="18"/>
    <m/>
    <m/>
    <x v="2"/>
    <x v="6"/>
    <n v="1"/>
    <n v="0"/>
    <x v="2"/>
  </r>
  <r>
    <s v="Gerencia"/>
    <n v="297"/>
    <s v="Traslado de"/>
    <n v="289006"/>
    <s v="SULY DANIELA CHUN SANTOS de RIVERA"/>
    <n v="30"/>
    <s v="40-DESARROLLO"/>
    <n v="195"/>
    <s v="Daniel Castillo"/>
    <s v="x"/>
    <m/>
    <m/>
    <m/>
    <m/>
    <m/>
    <n v="1"/>
    <n v="1"/>
    <n v="1"/>
    <n v="1"/>
    <m/>
    <m/>
    <d v="2025-01-01T00:00:00"/>
    <d v="1899-12-31T00:00:00"/>
    <d v="2025-02-14T00:00:00"/>
    <x v="18"/>
    <m/>
    <m/>
    <x v="3"/>
    <x v="6"/>
    <n v="1"/>
    <n v="0"/>
    <x v="1"/>
  </r>
  <r>
    <s v="Gerencia"/>
    <n v="0"/>
    <s v="Traslado de sitio web Dashboard MOTUL"/>
    <n v="247857"/>
    <s v="ARNALDO RENE COTTO STREMS"/>
    <n v="22"/>
    <s v="50-IMPLEMENTACION"/>
    <n v="195"/>
    <s v="Daniel Castillo"/>
    <s v="x"/>
    <b v="1"/>
    <n v="2"/>
    <s v="PROCESO"/>
    <n v="2"/>
    <s v="MEDIA"/>
    <n v="2"/>
    <n v="2"/>
    <n v="2"/>
    <n v="2"/>
    <n v="2"/>
    <s v="MEDIANO"/>
    <d v="2025-02-01T00:00:00"/>
    <d v="2025-02-01T00:00:00"/>
    <d v="2025-02-14T00:00:00"/>
    <x v="18"/>
    <m/>
    <s v="&lt;p&gt;Se solicita trasladar el sitio web que contiene el Dashboard de ventas MOTUL ya que este no se encuentra operando actualmente.&lt;/p&gt;"/>
    <x v="3"/>
    <x v="6"/>
    <n v="1"/>
    <n v="0"/>
    <x v="1"/>
  </r>
  <r>
    <s v="Gerencia"/>
    <n v="299"/>
    <s v="Agregar la opción &quot;Depósitos Mixtos&quot; al módulo de Recibos de Caja (CN006)"/>
    <m/>
    <m/>
    <n v="22"/>
    <s v="50-IMPLEMENTACION"/>
    <n v="3202"/>
    <s v="Antonio Manuel Alejandro García González"/>
    <s v="x"/>
    <m/>
    <m/>
    <m/>
    <m/>
    <m/>
    <n v="1"/>
    <n v="1"/>
    <n v="1"/>
    <n v="1"/>
    <m/>
    <m/>
    <d v="2025-01-01T00:00:00"/>
    <d v="1899-12-31T00:00:00"/>
    <d v="2025-02-14T00:00:00"/>
    <x v="18"/>
    <m/>
    <m/>
    <x v="3"/>
    <x v="6"/>
    <n v="1"/>
    <n v="0"/>
    <x v="1"/>
  </r>
  <r>
    <s v="Gerencia"/>
    <n v="370"/>
    <s v="Corrección de pantalla de gestión de correos de contratos de mantenimiento"/>
    <n v="247614"/>
    <s v="LEIDI PAOLA ESQUIVEL RAMIREZ"/>
    <n v="21"/>
    <s v="60-CERTIFICADO"/>
    <n v="195"/>
    <s v="Daniel Castillo"/>
    <s v="x"/>
    <b v="1"/>
    <m/>
    <m/>
    <m/>
    <m/>
    <m/>
    <m/>
    <n v="2"/>
    <n v="2"/>
    <m/>
    <m/>
    <d v="2025-01-21T00:00:00"/>
    <d v="1899-12-31T00:00:00"/>
    <d v="2025-01-21T00:00:00"/>
    <x v="18"/>
    <d v="2025-02-07T00:00:00"/>
    <m/>
    <x v="1"/>
    <x v="6"/>
    <n v="1"/>
    <n v="0"/>
    <x v="0"/>
  </r>
  <r>
    <s v="Gerencia"/>
    <n v="303"/>
    <s v="Desarrollo de modulo de lavado de vehículos"/>
    <n v="247614"/>
    <s v="LEIDI PAOLA ESQUIVEL RAMIREZ"/>
    <n v="30"/>
    <s v="40-DESARROLLO"/>
    <n v="195"/>
    <s v="Daniel Castillo"/>
    <s v="x"/>
    <m/>
    <m/>
    <m/>
    <m/>
    <m/>
    <n v="1"/>
    <n v="1"/>
    <n v="1"/>
    <n v="1"/>
    <m/>
    <m/>
    <d v="2025-01-01T00:00:00"/>
    <d v="1899-12-31T00:00:00"/>
    <d v="2025-02-28T00:00:00"/>
    <x v="18"/>
    <m/>
    <m/>
    <x v="3"/>
    <x v="6"/>
    <n v="1"/>
    <n v="0"/>
    <x v="1"/>
  </r>
  <r>
    <s v="Gerencia"/>
    <n v="327"/>
    <s v="Implementación de Sistema de Contraseñas de Proveedores Locales"/>
    <n v="247795"/>
    <s v="SANDRA JUDITH LOARCA HERNANDEZ de PEREZ"/>
    <n v="22"/>
    <s v="50-IMPLEMENTACION"/>
    <n v="3201"/>
    <s v="Olga María Hinestroza Lima"/>
    <s v="x"/>
    <m/>
    <m/>
    <m/>
    <m/>
    <m/>
    <n v="1"/>
    <n v="1"/>
    <n v="1"/>
    <n v="1"/>
    <m/>
    <m/>
    <d v="2025-01-01T00:00:00"/>
    <d v="1899-12-31T00:00:00"/>
    <d v="2025-02-14T00:00:00"/>
    <x v="18"/>
    <m/>
    <s v="&lt;p&gt; ** Implementación del Sistema de Contraseñas de Proveedores Locales SAP/LASERFICHE **  ** &lt;/p&gt;"/>
    <x v="3"/>
    <x v="6"/>
    <n v="1"/>
    <n v="0"/>
    <x v="1"/>
  </r>
  <r>
    <s v="Gerencia"/>
    <n v="361"/>
    <s v="Optimización de creación y actualización de Proveedores (CN006)"/>
    <n v="247556"/>
    <s v="DOUGLAS MONTOYA MONTAVES"/>
    <n v="27"/>
    <s v="30-ANALISIS"/>
    <n v="3201"/>
    <s v="Olga María Hinestroza Lima"/>
    <s v="x"/>
    <m/>
    <m/>
    <m/>
    <m/>
    <m/>
    <n v="1"/>
    <n v="1"/>
    <n v="1"/>
    <n v="1"/>
    <m/>
    <m/>
    <d v="2025-01-30T00:00:00"/>
    <d v="1899-12-31T00:00:00"/>
    <d v="2025-04-30T00:00:00"/>
    <x v="18"/>
    <m/>
    <s v="&lt;p&gt; ** Proceso para creación proveedores con generación automática de código en SAP, alertas para actualización de datos y documentos, validación interna, almacenamiento y clasificación de expediente de proveedor. **  ** &lt;/p&gt;"/>
    <x v="4"/>
    <x v="6"/>
    <n v="1"/>
    <n v="0"/>
    <x v="3"/>
  </r>
  <r>
    <s v="Gerencia"/>
    <n v="352"/>
    <s v="Placas Yamaha (CN006)"/>
    <m/>
    <m/>
    <n v="21"/>
    <s v="60-CERTIFICADO"/>
    <n v="3201"/>
    <s v="Olga María Hinestroza Lima"/>
    <s v="x"/>
    <m/>
    <m/>
    <m/>
    <m/>
    <m/>
    <n v="1"/>
    <n v="1"/>
    <n v="1"/>
    <n v="1"/>
    <m/>
    <m/>
    <d v="2025-01-01T00:00:00"/>
    <d v="1899-12-31T00:00:00"/>
    <d v="2025-01-31T00:00:00"/>
    <x v="18"/>
    <m/>
    <m/>
    <x v="1"/>
    <x v="6"/>
    <n v="1"/>
    <n v="0"/>
    <x v="0"/>
  </r>
  <r>
    <s v="Gerencia"/>
    <n v="338"/>
    <s v="Reporte de Geolocalizacion interstate"/>
    <n v="247857"/>
    <s v="ARNALDO RENE COTTO STREMS"/>
    <n v="21"/>
    <s v="60-CERTIFICADO"/>
    <n v="3204"/>
    <s v="Gerson Gabriel Flores Montúfar"/>
    <s v="x"/>
    <m/>
    <m/>
    <m/>
    <m/>
    <m/>
    <n v="1"/>
    <n v="1"/>
    <n v="1"/>
    <n v="1"/>
    <m/>
    <m/>
    <d v="2025-01-01T00:00:00"/>
    <d v="1899-12-31T00:00:00"/>
    <d v="2025-01-31T00:00:00"/>
    <x v="18"/>
    <m/>
    <m/>
    <x v="1"/>
    <x v="6"/>
    <n v="1"/>
    <n v="0"/>
    <x v="0"/>
  </r>
  <r>
    <s v="Gerencia"/>
    <n v="369"/>
    <s v="Reporte de SAP sobre las cajas de repuestos"/>
    <n v="289006"/>
    <s v="SULY DANIELA CHUN SANTOS de RIVERA"/>
    <n v="21"/>
    <s v="60-CERTIFICADO"/>
    <n v="3200"/>
    <s v="Carlos Eduardo Galindo Miranda"/>
    <s v="x"/>
    <m/>
    <m/>
    <m/>
    <m/>
    <m/>
    <n v="2"/>
    <n v="2"/>
    <n v="2"/>
    <n v="2"/>
    <m/>
    <m/>
    <d v="2025-01-28T00:00:00"/>
    <d v="1899-12-31T00:00:00"/>
    <d v="2025-02-12T00:00:00"/>
    <x v="18"/>
    <m/>
    <s v="&lt;p&gt;Realizar un reporte sobre&amp;nbsp; ** las cajas de repuestos y que contenga la siguiente información:&lt;/p&gt;&lt;ul&gt; **  &lt;li&gt;Fecha y hora de emisión **      de entrega &lt;/li&gt; **  &lt;li&gt;Nombre del cliente o **      código&lt;/li&gt; **  &lt;li&gt;Hora de &lt;u&gt;impresión&lt;/u&gt; **      de la entrega &lt;/li&gt; **  &lt;li&gt;Hora de &lt;u&gt;facturación **      de las entrega&lt;/u&gt; &lt;/li&gt; **  &lt;li&gt;Recuento de entregas &lt;u&gt;por **      encomiendas&lt;/u&gt;&lt;/li&gt; ** &lt;/ul&gt;&lt;p&gt; **  **  **  **  **  ** &lt;/p&gt;"/>
    <x v="3"/>
    <x v="6"/>
    <n v="1"/>
    <n v="0"/>
    <x v="1"/>
  </r>
  <r>
    <s v="Gerencia"/>
    <n v="0"/>
    <s v="Reserva de vehículo - Isuzu Subdistribuidor"/>
    <n v="247791"/>
    <s v="ASTRID VICTORIA PEÑA DIEGUEZ"/>
    <n v="28"/>
    <s v="20-ASIGNADO"/>
    <n v="3201"/>
    <s v="Olga María Hinestroza Lima"/>
    <s v="x"/>
    <m/>
    <n v="2"/>
    <s v="PROCESO"/>
    <n v="2"/>
    <s v="MEDIA"/>
    <n v="2"/>
    <n v="2"/>
    <n v="2"/>
    <n v="2"/>
    <n v="1"/>
    <s v="PEQUEÑO"/>
    <d v="2025-02-17T00:00:00"/>
    <m/>
    <m/>
    <x v="18"/>
    <m/>
    <m/>
    <x v="0"/>
    <x v="6"/>
    <n v="0"/>
    <n v="0"/>
    <x v="6"/>
  </r>
  <r>
    <s v="Gerencia"/>
    <n v="325"/>
    <s v="Soporte Creditos y Cobros General"/>
    <m/>
    <m/>
    <n v="22"/>
    <s v="50-IMPLEMENTACION"/>
    <n v="2767"/>
    <s v="Gerson Castro"/>
    <s v="x"/>
    <b v="1"/>
    <m/>
    <m/>
    <m/>
    <m/>
    <n v="1"/>
    <n v="1"/>
    <n v="1"/>
    <n v="1"/>
    <m/>
    <m/>
    <d v="2025-01-01T00:00:00"/>
    <d v="1899-12-31T00:00:00"/>
    <d v="2025-01-31T00:00:00"/>
    <x v="18"/>
    <m/>
    <s v="&lt;p&gt; ** SEGUIMIENTO Soporte al Sistema de Cobranza en ODOO. Edward Garcia fue el solicitante **  ** &lt;/p&gt;"/>
    <x v="1"/>
    <x v="6"/>
    <n v="1"/>
    <n v="0"/>
    <x v="0"/>
  </r>
  <r>
    <s v="Gerencia"/>
    <n v="0"/>
    <s v="Soporte PINPAD"/>
    <n v="289006"/>
    <s v="SULY DANIELA CHUN SANTOS de RIVERA"/>
    <n v="22"/>
    <s v="50-IMPLEMENTACION"/>
    <n v="3204"/>
    <s v="Gerson Gabriel Flores Montúfar"/>
    <s v="x"/>
    <m/>
    <m/>
    <m/>
    <m/>
    <m/>
    <m/>
    <m/>
    <m/>
    <m/>
    <m/>
    <m/>
    <d v="2025-02-12T00:00:00"/>
    <d v="2025-02-12T00:00:00"/>
    <d v="2025-02-12T00:00:00"/>
    <x v="18"/>
    <d v="2025-02-12T00:00:00"/>
    <m/>
    <x v="3"/>
    <x v="6"/>
    <n v="1"/>
    <n v="0"/>
    <x v="1"/>
  </r>
  <r>
    <s v="Gerencia"/>
    <n v="335"/>
    <s v="Conciliación bancaria MT940BI(CN006)"/>
    <n v="247417"/>
    <s v="ALVARO LEONEL GUTIERREZ LOPEZ"/>
    <n v="21"/>
    <s v="60-CERTIFICADO"/>
    <n v="3204"/>
    <s v="Gerson Gabriel Flores Montúfar"/>
    <s v="x"/>
    <m/>
    <m/>
    <m/>
    <m/>
    <m/>
    <n v="1"/>
    <n v="1"/>
    <n v="1"/>
    <n v="1"/>
    <m/>
    <m/>
    <d v="2025-01-01T00:00:00"/>
    <d v="1899-12-31T00:00:00"/>
    <d v="2025-01-31T00:00:00"/>
    <x v="18"/>
    <m/>
    <s v="&lt;p&gt;Carga de estado de cuenta MT940 banco industrial hacia SAP Canella&lt;/p&gt;"/>
    <x v="1"/>
    <x v="6"/>
    <n v="1"/>
    <n v="0"/>
    <x v="0"/>
  </r>
  <r>
    <s v="Gerencia"/>
    <n v="366"/>
    <s v="Desarrollo de reporte de personal 2024 de Taller Isuzu (CN006)"/>
    <m/>
    <m/>
    <n v="22"/>
    <s v="50-IMPLEMENTACION"/>
    <n v="195"/>
    <s v="Daniel Castillo"/>
    <s v="x"/>
    <b v="1"/>
    <m/>
    <m/>
    <m/>
    <m/>
    <m/>
    <m/>
    <n v="1"/>
    <n v="1"/>
    <m/>
    <m/>
    <d v="2025-01-01T00:00:00"/>
    <d v="1899-12-31T00:00:00"/>
    <d v="2025-01-31T00:00:00"/>
    <x v="18"/>
    <m/>
    <m/>
    <x v="1"/>
    <x v="6"/>
    <n v="1"/>
    <n v="0"/>
    <x v="0"/>
  </r>
  <r>
    <s v="Gerencia"/>
    <n v="333"/>
    <s v="Implementación de WMS en Elizur (CN006)"/>
    <m/>
    <m/>
    <n v="21"/>
    <s v="60-CERTIFICADO"/>
    <n v="3203"/>
    <s v="Jose Pablo Reyes Gonzalez"/>
    <s v="x"/>
    <m/>
    <m/>
    <m/>
    <m/>
    <m/>
    <n v="1"/>
    <n v="1"/>
    <n v="2"/>
    <n v="2"/>
    <m/>
    <m/>
    <d v="2025-01-01T00:00:00"/>
    <d v="1899-12-31T00:00:00"/>
    <d v="2025-01-31T00:00:00"/>
    <x v="18"/>
    <m/>
    <m/>
    <x v="1"/>
    <x v="6"/>
    <n v="1"/>
    <n v="0"/>
    <x v="0"/>
  </r>
  <r>
    <s v="Gerencia"/>
    <n v="276"/>
    <s v="Proyecto GESCON (CN006)"/>
    <n v="247888"/>
    <s v="JUAN MANUEL SOTO GUTIERREZ"/>
    <n v="30"/>
    <s v="40-DESARROLLO"/>
    <n v="3198"/>
    <s v="Josue Eleazar Chet Cuellar"/>
    <s v="x"/>
    <m/>
    <m/>
    <m/>
    <m/>
    <m/>
    <n v="1"/>
    <n v="1"/>
    <n v="1"/>
    <n v="1"/>
    <m/>
    <m/>
    <d v="2025-01-01T00:00:00"/>
    <d v="1899-12-31T00:00:00"/>
    <d v="2025-10-31T00:00:00"/>
    <x v="18"/>
    <m/>
    <s v="&lt;p&gt; ** PROCESO Implementación y Renovación del nuevo Sistema de Contratos de Arrendamiento a una tecnología actualizada, revisión&amp;nbsp;y mejoras en los procesos, se agregara KPI y Gestión de las Cotizaciones, se cambiara nombre a la herramienta a GESCON **  ** &lt;/p&gt;"/>
    <x v="6"/>
    <x v="6"/>
    <n v="1"/>
    <n v="0"/>
    <x v="7"/>
  </r>
  <r>
    <s v="Gerencia"/>
    <n v="332"/>
    <s v="RPA de confirmación de boletas bancarias Créditos y Cobros"/>
    <n v="247722"/>
    <s v="RICARDO ALFONSO ESCOBEDO DACARET"/>
    <n v="30"/>
    <s v="40-DESARROLLO"/>
    <n v="195"/>
    <s v="Daniel Castillo"/>
    <s v="x"/>
    <m/>
    <m/>
    <m/>
    <m/>
    <m/>
    <n v="1"/>
    <n v="1"/>
    <n v="2"/>
    <n v="2"/>
    <m/>
    <m/>
    <d v="2025-01-01T00:00:00"/>
    <d v="1899-12-31T00:00:00"/>
    <d v="2025-02-14T00:00:00"/>
    <x v="18"/>
    <m/>
    <s v="&lt;p&gt; ** PROCESO Se requiere desarrollar un sistema que facilite la validación masiva de boletas de transacciones bancarias, tomando como referencia el sistema de confirmación de boletas RPA implementado en el área de contabilidad. El nuevo sistema empleará las mismas validaciones y base de datos que el sistema de contabilidad, con el objetivo de eliminar la duplicidad de boletas, un problema recurrente en el proceso manual actual. **  ** &lt;/p&gt;"/>
    <x v="3"/>
    <x v="6"/>
    <n v="1"/>
    <n v="0"/>
    <x v="1"/>
  </r>
  <r>
    <s v="Gerencia"/>
    <n v="292"/>
    <s v="Sistema de encuestas Taller Isuzu (CN006)"/>
    <m/>
    <m/>
    <n v="21"/>
    <s v="60-CERTIFICADO"/>
    <n v="195"/>
    <s v="Daniel Castillo"/>
    <s v="x"/>
    <m/>
    <m/>
    <m/>
    <m/>
    <m/>
    <n v="1"/>
    <n v="1"/>
    <n v="2"/>
    <n v="2"/>
    <m/>
    <m/>
    <d v="2025-01-01T00:00:00"/>
    <d v="1899-12-31T00:00:00"/>
    <d v="2025-01-31T00:00:00"/>
    <x v="18"/>
    <m/>
    <m/>
    <x v="1"/>
    <x v="6"/>
    <n v="1"/>
    <n v="0"/>
    <x v="0"/>
  </r>
  <r>
    <s v="Gerencia"/>
    <n v="0"/>
    <s v="Soporte Carga masiva Contabilidad TC Credomatic"/>
    <n v="289036"/>
    <s v="MADELYN SUSANA BRAN OLIVAREZ"/>
    <n v="22"/>
    <s v="50-IMPLEMENTACION"/>
    <n v="3204"/>
    <s v="Gerson Gabriel Flores Montúfar"/>
    <s v="x"/>
    <m/>
    <n v="4"/>
    <s v="SOPORTE/CAPACITACION"/>
    <n v="1"/>
    <s v="BAJA"/>
    <n v="2"/>
    <n v="2"/>
    <n v="2"/>
    <n v="2"/>
    <n v="1"/>
    <s v="PEQUEÑO"/>
    <d v="2025-02-11T00:00:00"/>
    <d v="2025-02-11T00:00:00"/>
    <d v="2025-02-11T00:00:00"/>
    <x v="18"/>
    <d v="2025-02-11T00:00:00"/>
    <m/>
    <x v="3"/>
    <x v="6"/>
    <n v="1"/>
    <n v="0"/>
    <x v="1"/>
  </r>
  <r>
    <s v="Gerencia"/>
    <n v="0"/>
    <s v="Soporte RPA - Boletas"/>
    <m/>
    <m/>
    <n v="22"/>
    <s v="50-IMPLEMENTACION"/>
    <n v="2767"/>
    <s v="Gerson Castro"/>
    <s v="x"/>
    <m/>
    <m/>
    <m/>
    <m/>
    <m/>
    <m/>
    <m/>
    <m/>
    <m/>
    <m/>
    <m/>
    <d v="2025-02-06T00:00:00"/>
    <m/>
    <d v="2025-02-28T00:00:00"/>
    <x v="18"/>
    <m/>
    <s v="&lt;p&gt;Seguimiento con problemas con las boletas de los bancos, problemas de estados de cuentas, cheques etc.&lt;/p&gt;"/>
    <x v="3"/>
    <x v="6"/>
    <n v="1"/>
    <n v="0"/>
    <x v="1"/>
  </r>
  <r>
    <s v="Gerencia"/>
    <n v="374"/>
    <s v="Soporte impresión Yamaha (CN006)"/>
    <n v="247807"/>
    <s v="EDUARDO JACOBO ARA GÓMEZ"/>
    <n v="22"/>
    <s v="50-IMPLEMENTACION"/>
    <n v="3201"/>
    <s v="Olga María Hinestroza Lima"/>
    <s v="x"/>
    <m/>
    <m/>
    <m/>
    <m/>
    <m/>
    <n v="3"/>
    <n v="3"/>
    <n v="2"/>
    <n v="2"/>
    <m/>
    <m/>
    <d v="2025-01-31T00:00:00"/>
    <d v="1899-12-31T00:00:00"/>
    <d v="2025-02-28T00:00:00"/>
    <x v="18"/>
    <m/>
    <s v="&lt;p&gt;Pruebas de impresión de lote de expedientes con personal del departamento de Placas ubicados en Yamaha Liberación, validando orden, expedientes completos, reimpresión y bitácora de estado de expedientes.&lt;/p&gt;"/>
    <x v="3"/>
    <x v="6"/>
    <n v="1"/>
    <n v="0"/>
    <x v="1"/>
  </r>
  <r>
    <s v="Gerencia"/>
    <n v="317"/>
    <s v="Creditos y Cobros Fase 2 - Cobro a domiciliario"/>
    <m/>
    <m/>
    <n v="22"/>
    <s v="50-IMPLEMENTACION"/>
    <n v="2767"/>
    <s v="Gerson Castro"/>
    <s v="x"/>
    <m/>
    <m/>
    <m/>
    <m/>
    <m/>
    <n v="1"/>
    <n v="1"/>
    <n v="1"/>
    <n v="1"/>
    <m/>
    <m/>
    <d v="2025-01-01T00:00:00"/>
    <d v="1899-12-31T00:00:00"/>
    <d v="2025-02-14T00:00:00"/>
    <x v="18"/>
    <m/>
    <s v="&lt;p&gt; ** PROCESO Automatizar las retenciones de IVA e ISR mediante un robot RPA. Para IVA, el robot accede a la SAT, recopila las facturas del Régimen General y Pequeño Contribuyente, las almacena en SAP, las compara, y si coinciden, genera la retención correspondiente. En el caso de ISR, el robot gestiona diferentes escenarios asigna dicho escenario a cada factura y luego le genera la retención, notifica a contabilidad y envía al proveedor un correo con el archivo PDF. **  ** &lt;/p&gt;"/>
    <x v="3"/>
    <x v="6"/>
    <n v="1"/>
    <n v="0"/>
    <x v="1"/>
  </r>
  <r>
    <s v="Gerencia"/>
    <n v="334"/>
    <s v="Optimizacion de Llamadas de Servicio (CN006)"/>
    <m/>
    <m/>
    <n v="21"/>
    <s v="60-CERTIFICADO"/>
    <n v="3203"/>
    <s v="Jose Pablo Reyes Gonzalez"/>
    <s v="x"/>
    <b v="1"/>
    <m/>
    <m/>
    <m/>
    <m/>
    <n v="1"/>
    <n v="1"/>
    <n v="3"/>
    <n v="3"/>
    <m/>
    <m/>
    <d v="2025-01-01T00:00:00"/>
    <d v="1899-12-31T00:00:00"/>
    <d v="2025-01-31T00:00:00"/>
    <x v="18"/>
    <m/>
    <m/>
    <x v="1"/>
    <x v="6"/>
    <n v="1"/>
    <n v="0"/>
    <x v="0"/>
  </r>
  <r>
    <s v="Gerencia"/>
    <n v="0"/>
    <s v="Soporte MT940 GYT"/>
    <n v="247417"/>
    <s v="ALVARO LEONEL GUTIERREZ LOPEZ"/>
    <n v="22"/>
    <s v="50-IMPLEMENTACION"/>
    <n v="3204"/>
    <s v="Gerson Gabriel Flores Montúfar"/>
    <s v="x"/>
    <m/>
    <n v="4"/>
    <s v="SOPORTE/CAPACITACION"/>
    <m/>
    <m/>
    <m/>
    <m/>
    <m/>
    <m/>
    <m/>
    <m/>
    <d v="2025-02-12T00:00:00"/>
    <d v="2025-02-12T00:00:00"/>
    <d v="2025-02-12T00:00:00"/>
    <x v="18"/>
    <d v="2025-02-12T00:00:00"/>
    <m/>
    <x v="3"/>
    <x v="6"/>
    <n v="1"/>
    <n v="0"/>
    <x v="1"/>
  </r>
  <r>
    <s v="Gerencia"/>
    <n v="295"/>
    <s v="Soporte de confirmación de boletas Enero (CN006)"/>
    <n v="293171"/>
    <s v="GABRIEL EFRAIN MELENDEZ MARROQUIN"/>
    <n v="21"/>
    <s v="60-CERTIFICADO"/>
    <n v="195"/>
    <s v="Daniel Castillo"/>
    <s v="x"/>
    <b v="1"/>
    <m/>
    <m/>
    <m/>
    <m/>
    <n v="1"/>
    <n v="1"/>
    <n v="1"/>
    <n v="1"/>
    <m/>
    <m/>
    <d v="2025-01-01T00:00:00"/>
    <d v="1899-12-31T00:00:00"/>
    <d v="2025-02-14T00:00:00"/>
    <x v="18"/>
    <d v="2025-02-12T00:00:00"/>
    <s v="&lt;p&gt; ** MEJORAS Traslado del módulo de pases de salida de SAP a STOD **  ** &lt;/p&gt;"/>
    <x v="3"/>
    <x v="6"/>
    <n v="1"/>
    <n v="0"/>
    <x v="1"/>
  </r>
  <r>
    <s v="Gerencia"/>
    <n v="308"/>
    <s v="Carga masiva de Activo Fijo (CN006)"/>
    <n v="247795"/>
    <s v="SANDRA JUDITH LOARCA HERNANDEZ de PEREZ"/>
    <n v="30"/>
    <s v="40-DESARROLLO"/>
    <n v="3200"/>
    <s v="Carlos Eduardo Galindo Miranda"/>
    <s v="x"/>
    <m/>
    <m/>
    <m/>
    <m/>
    <m/>
    <n v="1"/>
    <n v="1"/>
    <n v="3"/>
    <n v="3"/>
    <m/>
    <m/>
    <d v="2025-01-01T00:00:00"/>
    <d v="1899-12-31T00:00:00"/>
    <d v="2025-02-28T00:00:00"/>
    <x v="18"/>
    <m/>
    <s v="&lt;p&gt; ** PROCESO Crear códigos de activos fijos por medio de un archivo Excel.&lt;/p&gt;"/>
    <x v="3"/>
    <x v="6"/>
    <n v="1"/>
    <n v="0"/>
    <x v="1"/>
  </r>
  <r>
    <s v="Gerencia"/>
    <n v="290"/>
    <s v="Módulo de RECALL taller ISUZU (CN006)"/>
    <n v="247828"/>
    <s v="DOUGLAS ALEJANDRO MALDONADO DUMAS"/>
    <n v="21"/>
    <s v="60-CERTIFICADO"/>
    <n v="195"/>
    <s v="Daniel Castillo"/>
    <s v="x"/>
    <m/>
    <m/>
    <m/>
    <m/>
    <m/>
    <n v="1"/>
    <n v="1"/>
    <n v="1"/>
    <n v="1"/>
    <m/>
    <m/>
    <d v="2025-01-01T00:00:00"/>
    <d v="1899-12-31T00:00:00"/>
    <d v="2025-01-31T00:00:00"/>
    <x v="18"/>
    <m/>
    <s v="&lt;p&gt; ** Ajustes al modulo de Recall con las indicaciones de Taller Automotriz **  ** &lt;/p&gt;"/>
    <x v="1"/>
    <x v="6"/>
    <n v="1"/>
    <n v="0"/>
    <x v="0"/>
  </r>
  <r>
    <s v="Gerencia"/>
    <n v="339"/>
    <s v="Sistema de Cubos ABC (CN006)"/>
    <m/>
    <m/>
    <n v="28"/>
    <s v="20-ASIGNADO"/>
    <n v="3203"/>
    <s v="Jose Pablo Reyes Gonzalez"/>
    <s v="x"/>
    <m/>
    <m/>
    <m/>
    <m/>
    <m/>
    <n v="1"/>
    <n v="1"/>
    <n v="2"/>
    <n v="2"/>
    <m/>
    <m/>
    <d v="2025-01-01T00:00:00"/>
    <d v="1899-12-31T00:00:00"/>
    <d v="2025-02-28T00:00:00"/>
    <x v="18"/>
    <m/>
    <m/>
    <x v="3"/>
    <x v="6"/>
    <n v="1"/>
    <n v="0"/>
    <x v="1"/>
  </r>
  <r>
    <s v="Gerencia"/>
    <n v="307"/>
    <s v="Envío de correo en creación Pago Recibido en SAP (CN006)"/>
    <n v="247722"/>
    <s v="RICARDO ALFONSO ESCOBEDO DACARET"/>
    <n v="30"/>
    <s v="40-DESARROLLO"/>
    <n v="3202"/>
    <s v="Antonio Manuel Alejandro García González"/>
    <s v="x"/>
    <b v="1"/>
    <m/>
    <m/>
    <m/>
    <m/>
    <n v="1"/>
    <n v="1"/>
    <n v="2"/>
    <n v="2"/>
    <m/>
    <m/>
    <d v="2025-01-01T00:00:00"/>
    <d v="1899-12-31T00:00:00"/>
    <d v="2025-01-31T00:00:00"/>
    <x v="18"/>
    <m/>
    <s v="&lt;p&gt;Se debe enviar un correo a Edward Garcia notificando y adjuntando el PDF del pago recibido&amp;nbsp;cuando se crea en SAP Canella.&lt;/p&gt;"/>
    <x v="1"/>
    <x v="6"/>
    <n v="1"/>
    <n v="0"/>
    <x v="0"/>
  </r>
  <r>
    <s v="Gerencia"/>
    <n v="336"/>
    <s v="Mejoras a SAP"/>
    <m/>
    <m/>
    <n v="30"/>
    <s v="40-DESARROLLO"/>
    <n v="3203"/>
    <s v="Jose Pablo Reyes Gonzalez"/>
    <s v="x"/>
    <m/>
    <m/>
    <m/>
    <m/>
    <m/>
    <n v="3"/>
    <n v="3"/>
    <n v="2"/>
    <n v="2"/>
    <m/>
    <m/>
    <d v="2025-01-01T00:00:00"/>
    <d v="1899-12-31T00:00:00"/>
    <d v="2025-02-28T00:00:00"/>
    <x v="18"/>
    <m/>
    <m/>
    <x v="3"/>
    <x v="6"/>
    <n v="1"/>
    <n v="0"/>
    <x v="1"/>
  </r>
  <r>
    <s v="Gerencia"/>
    <n v="371"/>
    <s v="Soporte de ingreso de datos para presupuestos de pintura (CN006)"/>
    <m/>
    <m/>
    <n v="21"/>
    <s v="60-CERTIFICADO"/>
    <n v="195"/>
    <s v="Daniel Castillo"/>
    <s v="x"/>
    <b v="1"/>
    <m/>
    <m/>
    <m/>
    <m/>
    <m/>
    <m/>
    <n v="1"/>
    <n v="1"/>
    <m/>
    <m/>
    <d v="2025-01-06T00:00:00"/>
    <d v="1899-12-31T00:00:00"/>
    <d v="2025-01-31T00:00:00"/>
    <x v="18"/>
    <m/>
    <m/>
    <x v="1"/>
    <x v="6"/>
    <n v="1"/>
    <n v="0"/>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AA8682F-DC68-4DD9-86B6-84289023B878}" name="_tbl_din_Gerencia" cacheId="138"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location ref="B4:J19" firstHeaderRow="1" firstDataRow="2" firstDataCol="1" rowPageCount="1" colPageCount="1"/>
  <pivotFields count="39">
    <pivotField numFmtId="1" showAll="0"/>
    <pivotField axis="axisPage" numFmtId="1" multipleItemSelectionAllowed="1" showAll="0">
      <items count="94">
        <item h="1" x="43"/>
        <item x="0"/>
        <item x="80"/>
        <item x="63"/>
        <item x="1"/>
        <item x="55"/>
        <item x="2"/>
        <item x="3"/>
        <item x="4"/>
        <item x="5"/>
        <item x="6"/>
        <item x="7"/>
        <item x="8"/>
        <item x="9"/>
        <item x="10"/>
        <item x="11"/>
        <item x="88"/>
        <item x="12"/>
        <item x="82"/>
        <item x="13"/>
        <item x="14"/>
        <item x="86"/>
        <item x="44"/>
        <item x="67"/>
        <item x="46"/>
        <item x="68"/>
        <item x="15"/>
        <item x="47"/>
        <item x="61"/>
        <item x="70"/>
        <item x="49"/>
        <item x="16"/>
        <item x="90"/>
        <item x="87"/>
        <item x="17"/>
        <item x="48"/>
        <item x="18"/>
        <item x="19"/>
        <item x="20"/>
        <item x="21"/>
        <item x="22"/>
        <item x="84"/>
        <item x="23"/>
        <item x="65"/>
        <item x="24"/>
        <item x="51"/>
        <item x="25"/>
        <item x="26"/>
        <item x="27"/>
        <item x="76"/>
        <item x="28"/>
        <item x="71"/>
        <item x="60"/>
        <item x="52"/>
        <item x="59"/>
        <item x="29"/>
        <item x="81"/>
        <item x="79"/>
        <item x="85"/>
        <item x="77"/>
        <item x="91"/>
        <item x="30"/>
        <item x="74"/>
        <item x="89"/>
        <item x="54"/>
        <item x="31"/>
        <item x="58"/>
        <item x="32"/>
        <item x="57"/>
        <item x="33"/>
        <item x="34"/>
        <item x="35"/>
        <item x="36"/>
        <item x="37"/>
        <item x="38"/>
        <item x="39"/>
        <item x="73"/>
        <item x="56"/>
        <item x="66"/>
        <item x="64"/>
        <item x="53"/>
        <item x="72"/>
        <item x="45"/>
        <item x="50"/>
        <item x="78"/>
        <item x="40"/>
        <item x="41"/>
        <item x="75"/>
        <item x="69"/>
        <item x="92"/>
        <item x="42"/>
        <item x="62"/>
        <item x="83"/>
        <item t="default"/>
      </items>
    </pivotField>
    <pivotField showAll="0"/>
    <pivotField showAll="0"/>
    <pivotField showAll="0"/>
    <pivotField numFmtId="1" showAll="0"/>
    <pivotField multipleItemSelectionAllowed="1" showAll="0"/>
    <pivotField showAll="0"/>
    <pivotField axis="axisRow" showAll="0">
      <items count="15">
        <item x="10"/>
        <item x="11"/>
        <item x="0"/>
        <item x="3"/>
        <item x="4"/>
        <item x="5"/>
        <item x="13"/>
        <item x="8"/>
        <item x="6"/>
        <item x="1"/>
        <item x="9"/>
        <item x="12"/>
        <item x="7"/>
        <item x="2"/>
        <item t="default"/>
      </items>
    </pivotField>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30">
        <item x="21"/>
        <item x="14"/>
        <item x="26"/>
        <item x="10"/>
        <item x="1"/>
        <item x="0"/>
        <item x="17"/>
        <item x="18"/>
        <item x="13"/>
        <item x="24"/>
        <item x="28"/>
        <item x="25"/>
        <item x="20"/>
        <item x="8"/>
        <item x="23"/>
        <item x="22"/>
        <item x="7"/>
        <item x="9"/>
        <item x="3"/>
        <item x="6"/>
        <item x="16"/>
        <item x="2"/>
        <item x="19"/>
        <item x="12"/>
        <item x="5"/>
        <item x="4"/>
        <item x="11"/>
        <item x="27"/>
        <item x="15"/>
        <item t="default"/>
      </items>
    </pivotField>
    <pivotField showAll="0">
      <items count="29">
        <item x="17"/>
        <item x="19"/>
        <item x="0"/>
        <item x="23"/>
        <item x="20"/>
        <item x="16"/>
        <item x="24"/>
        <item x="27"/>
        <item x="25"/>
        <item x="22"/>
        <item x="14"/>
        <item x="9"/>
        <item x="1"/>
        <item x="15"/>
        <item x="7"/>
        <item x="10"/>
        <item x="2"/>
        <item x="21"/>
        <item x="8"/>
        <item x="12"/>
        <item x="4"/>
        <item x="5"/>
        <item x="3"/>
        <item x="13"/>
        <item x="6"/>
        <item x="11"/>
        <item x="26"/>
        <item x="18"/>
        <item t="default"/>
      </items>
    </pivotField>
    <pivotField showAll="0"/>
    <pivotField showAll="0"/>
    <pivotField numFmtId="14" showAll="0">
      <items count="8">
        <item x="5"/>
        <item x="0"/>
        <item x="2"/>
        <item x="1"/>
        <item x="3"/>
        <item x="4"/>
        <item x="6"/>
        <item t="default"/>
      </items>
    </pivotField>
    <pivotField numFmtId="14" showAll="0">
      <items count="8">
        <item x="5"/>
        <item x="0"/>
        <item x="2"/>
        <item x="1"/>
        <item x="3"/>
        <item x="4"/>
        <item x="6"/>
        <item t="default"/>
      </items>
    </pivotField>
    <pivotField showAll="0">
      <items count="369">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 t="default"/>
      </items>
    </pivotField>
    <pivotField axis="axisCol" showAll="0">
      <items count="15">
        <item sd="0" x="0"/>
        <item sd="0" x="1"/>
        <item sd="0" x="2"/>
        <item sd="0" x="3"/>
        <item sd="0" x="4"/>
        <item sd="0" x="5"/>
        <item sd="0" x="6"/>
        <item sd="0" x="7"/>
        <item sd="0" x="8"/>
        <item sd="0" x="9"/>
        <item sd="0" x="10"/>
        <item sd="0" x="11"/>
        <item sd="0" x="12"/>
        <item sd="0" x="13"/>
        <item t="default"/>
      </items>
    </pivotField>
    <pivotField showAll="0">
      <items count="369">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 t="default"/>
      </items>
    </pivotField>
    <pivotField showAll="0">
      <items count="15">
        <item sd="0" x="0"/>
        <item sd="0" x="1"/>
        <item sd="0" x="2"/>
        <item sd="0" x="3"/>
        <item sd="0" x="4"/>
        <item sd="0" x="5"/>
        <item sd="0" x="6"/>
        <item sd="0" x="7"/>
        <item sd="0" x="8"/>
        <item sd="0" x="9"/>
        <item sd="0" x="10"/>
        <item sd="0" x="11"/>
        <item sd="0" x="12"/>
        <item sd="0" x="13"/>
        <item t="default"/>
      </items>
    </pivotField>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12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t="default"/>
      </items>
    </pivotField>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12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t="default"/>
      </items>
    </pivotField>
  </pivotFields>
  <rowFields count="1">
    <field x="8"/>
  </rowFields>
  <rowItems count="14">
    <i>
      <x/>
    </i>
    <i>
      <x v="1"/>
    </i>
    <i>
      <x v="2"/>
    </i>
    <i>
      <x v="3"/>
    </i>
    <i>
      <x v="4"/>
    </i>
    <i>
      <x v="5"/>
    </i>
    <i>
      <x v="6"/>
    </i>
    <i>
      <x v="7"/>
    </i>
    <i>
      <x v="8"/>
    </i>
    <i>
      <x v="9"/>
    </i>
    <i>
      <x v="11"/>
    </i>
    <i>
      <x v="12"/>
    </i>
    <i>
      <x v="13"/>
    </i>
    <i t="grand">
      <x/>
    </i>
  </rowItems>
  <colFields count="1">
    <field x="30"/>
  </colFields>
  <colItems count="8">
    <i>
      <x v="1"/>
    </i>
    <i>
      <x v="2"/>
    </i>
    <i>
      <x v="3"/>
    </i>
    <i>
      <x v="4"/>
    </i>
    <i>
      <x v="5"/>
    </i>
    <i>
      <x v="7"/>
    </i>
    <i>
      <x v="10"/>
    </i>
    <i t="grand">
      <x/>
    </i>
  </colItems>
  <pageFields count="1">
    <pageField fld="1" hier="-1"/>
  </pageFields>
  <dataFields count="1">
    <dataField name="Cuenta de Es único?" fld="9"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89025AEA-875F-4C53-ABE3-08D1DC8BCDB7}" name="TablaDinámica1" cacheId="137" applyNumberFormats="0" applyBorderFormats="0" applyFontFormats="0" applyPatternFormats="0" applyAlignmentFormats="0" applyWidthHeightFormats="1" dataCaption="Valores" updatedVersion="8" minRefreshableVersion="5" useAutoFormatting="1" itemPrintTitles="1" createdVersion="8" indent="0" outline="1" outlineData="1" multipleFieldFilters="0" chartFormat="9">
  <location ref="A1:C8" firstHeaderRow="0" firstDataRow="1" firstDataCol="1"/>
  <pivotFields count="41">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29">
        <item x="17"/>
        <item x="19"/>
        <item x="0"/>
        <item x="23"/>
        <item x="20"/>
        <item x="16"/>
        <item x="24"/>
        <item x="27"/>
        <item x="25"/>
        <item x="22"/>
        <item x="14"/>
        <item x="9"/>
        <item x="1"/>
        <item x="15"/>
        <item x="7"/>
        <item x="10"/>
        <item x="2"/>
        <item x="21"/>
        <item x="8"/>
        <item x="12"/>
        <item x="4"/>
        <item x="5"/>
        <item x="3"/>
        <item x="13"/>
        <item x="6"/>
        <item x="11"/>
        <item x="26"/>
        <item x="18"/>
        <item t="default"/>
      </items>
    </pivotField>
    <pivotField showAll="0"/>
    <pivotField showAll="0"/>
    <pivotField showAll="0">
      <items count="8">
        <item x="1"/>
        <item x="3"/>
        <item x="2"/>
        <item x="4"/>
        <item x="5"/>
        <item x="6"/>
        <item x="0"/>
        <item t="default"/>
      </items>
    </pivotField>
    <pivotField showAll="0">
      <items count="9">
        <item x="0"/>
        <item x="1"/>
        <item x="2"/>
        <item x="3"/>
        <item x="4"/>
        <item x="5"/>
        <item x="7"/>
        <item x="6"/>
        <item t="default"/>
      </items>
    </pivotField>
    <pivotField dataField="1" showAll="0"/>
    <pivotField dataField="1" showAll="0"/>
    <pivotField numFmtId="14" showAll="0">
      <items count="9">
        <item x="6"/>
        <item x="0"/>
        <item x="1"/>
        <item x="2"/>
        <item x="3"/>
        <item x="4"/>
        <item x="5"/>
        <item x="7"/>
        <item t="default"/>
      </items>
    </pivotField>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showAll="0">
      <items count="5">
        <item sd="0" x="0"/>
        <item x="1"/>
        <item sd="0" x="2"/>
        <item sd="0" x="3"/>
        <item t="default"/>
      </items>
    </pivotField>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showAll="0">
      <items count="5">
        <item sd="0" x="0"/>
        <item sd="0" x="1"/>
        <item sd="0" x="2"/>
        <item sd="0" x="3"/>
        <item t="default"/>
      </items>
    </pivotField>
    <pivotField axis="axisRow"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axis="axisRow" showAll="0">
      <items count="129">
        <item sd="0" x="0"/>
        <item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x="125"/>
        <item x="126"/>
        <item sd="0" x="127"/>
        <item t="default"/>
      </items>
    </pivotField>
  </pivotFields>
  <rowFields count="2">
    <field x="40"/>
    <field x="38"/>
  </rowFields>
  <rowItems count="7">
    <i>
      <x v="126"/>
    </i>
    <i r="1">
      <x v="2"/>
    </i>
    <i r="1">
      <x v="3"/>
    </i>
    <i r="1">
      <x v="4"/>
    </i>
    <i r="1">
      <x v="6"/>
    </i>
    <i r="1">
      <x v="9"/>
    </i>
    <i t="grand">
      <x/>
    </i>
  </rowItems>
  <colFields count="1">
    <field x="-2"/>
  </colFields>
  <colItems count="2">
    <i>
      <x/>
    </i>
    <i i="1">
      <x v="1"/>
    </i>
  </colItems>
  <dataFields count="2">
    <dataField name="Informática" fld="30" baseField="40" baseItem="1"/>
    <dataField name="Gerencia" fld="29" baseField="40" baseItem="1"/>
  </dataFields>
  <chartFormats count="1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3" format="4" series="1">
      <pivotArea type="data" outline="0" fieldPosition="0">
        <references count="1">
          <reference field="4294967294" count="1" selected="0">
            <x v="0"/>
          </reference>
        </references>
      </pivotArea>
    </chartFormat>
    <chartFormat chart="3" format="5" series="1">
      <pivotArea type="data" outline="0" fieldPosition="0">
        <references count="1">
          <reference field="4294967294" count="1" selected="0">
            <x v="1"/>
          </reference>
        </references>
      </pivotArea>
    </chartFormat>
    <chartFormat chart="4" format="2" series="1">
      <pivotArea type="data" outline="0" fieldPosition="0">
        <references count="1">
          <reference field="4294967294" count="1" selected="0">
            <x v="0"/>
          </reference>
        </references>
      </pivotArea>
    </chartFormat>
    <chartFormat chart="4" format="3" series="1">
      <pivotArea type="data" outline="0" fieldPosition="0">
        <references count="1">
          <reference field="4294967294" count="1" selected="0">
            <x v="1"/>
          </reference>
        </references>
      </pivotArea>
    </chartFormat>
    <chartFormat chart="5" format="4" series="1">
      <pivotArea type="data" outline="0" fieldPosition="0">
        <references count="1">
          <reference field="4294967294" count="1" selected="0">
            <x v="0"/>
          </reference>
        </references>
      </pivotArea>
    </chartFormat>
    <chartFormat chart="5" format="5" series="1">
      <pivotArea type="data" outline="0" fieldPosition="0">
        <references count="1">
          <reference field="4294967294" count="1" selected="0">
            <x v="1"/>
          </reference>
        </references>
      </pivotArea>
    </chartFormat>
    <chartFormat chart="6" format="4" series="1">
      <pivotArea type="data" outline="0" fieldPosition="0">
        <references count="1">
          <reference field="4294967294" count="1" selected="0">
            <x v="0"/>
          </reference>
        </references>
      </pivotArea>
    </chartFormat>
    <chartFormat chart="6" format="5"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filters count="2">
    <filter fld="31" type="dateBetween" evalOrder="-1" id="38" name="fEspecial">
      <autoFilter ref="A1">
        <filterColumn colId="0">
          <customFilters and="1">
            <customFilter operator="greaterThanOrEqual" val="45689"/>
            <customFilter operator="lessThanOrEqual" val="46022"/>
          </customFilters>
        </filterColumn>
      </autoFilter>
      <extLst>
        <ext xmlns:x15="http://schemas.microsoft.com/office/spreadsheetml/2010/11/main" uri="{0605FD5F-26C8-4aeb-8148-2DB25E43C511}">
          <x15:pivotFilter useWholeDay="1"/>
        </ext>
      </extLst>
    </filter>
    <filter fld="28" type="dateBetween" evalOrder="-1" id="22" name="FGer2">
      <autoFilter ref="A1">
        <filterColumn colId="0">
          <customFilters and="1">
            <customFilter operator="greaterThanOrEqual" val="45658"/>
            <customFilter operator="lessThanOrEqual" val="46022"/>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8FE4FF5-57EF-464C-A5D1-44DF20731D8A}" name="_tbl_odoo_datos2" displayName="_tbl_odoo_datos2" ref="A1:AF233" totalsRowShown="0" headerRowDxfId="34" dataDxfId="33">
  <tableColumns count="32">
    <tableColumn id="1" xr3:uid="{976DCF2E-237B-4ECD-96B2-73FDB1ABC294}" name="PROYECTO ID" dataDxfId="32"/>
    <tableColumn id="2" xr3:uid="{85837EEA-73EC-4A43-9721-CF1BCDABB82E}" name="STOD Ref." dataDxfId="31"/>
    <tableColumn id="3" xr3:uid="{B3C20656-49F7-458E-B1CC-FF215BB42009}" name="Proyecto" dataDxfId="30"/>
    <tableColumn id="4" xr3:uid="{0FD7AB58-FE33-4246-B057-B4AFED29D304}" name="Solicitante ID" dataDxfId="29"/>
    <tableColumn id="5" xr3:uid="{757E3608-250C-4960-90A1-064F8B8A3113}" name="Solicitante" dataDxfId="28"/>
    <tableColumn id="6" xr3:uid="{6920206E-1A2B-4B64-AFC7-361BAAA2C721}" name="Etapa ID" dataDxfId="27"/>
    <tableColumn id="7" xr3:uid="{CD50A46E-EA5E-4C2A-873C-54F6AC834606}" name="Etapa" dataDxfId="26"/>
    <tableColumn id="8" xr3:uid="{C3DF0EF4-2D3D-4EFF-92C1-76D280D43E7E}" name="Asignado ID" dataDxfId="25"/>
    <tableColumn id="9" xr3:uid="{9383C345-21C9-4A05-9241-EF043047382D}" name="Asignado" dataDxfId="24"/>
    <tableColumn id="10" xr3:uid="{498DE0E4-6242-48A3-9DD5-65A270AE82B4}" name="Es único?" dataDxfId="23"/>
    <tableColumn id="11" xr3:uid="{D3C54012-93F0-4C84-B6DD-6BD809F6F9C9}" name="Emergente" dataDxfId="22"/>
    <tableColumn id="12" xr3:uid="{811CF681-1F45-4190-8B0A-8C171A5F5493}" name="Clasificación ID" dataDxfId="21"/>
    <tableColumn id="13" xr3:uid="{381DB158-2DEA-470C-A3F9-6349D54A41B1}" name="Clasificación" dataDxfId="20"/>
    <tableColumn id="14" xr3:uid="{BF8039CB-7B65-49A8-AA40-EF272BF4F311}" name="Complejidad ID" dataDxfId="19"/>
    <tableColumn id="15" xr3:uid="{80821FB3-8126-49AD-9A69-1F844E4D907B}" name="Complejidad" dataDxfId="18"/>
    <tableColumn id="16" xr3:uid="{8297FEB8-62E6-4FE5-9804-D51480C5E622}" name="Importancia ID" dataDxfId="17"/>
    <tableColumn id="17" xr3:uid="{54A62327-975D-486D-94B2-D0F14934465E}" name="Importancia" dataDxfId="16"/>
    <tableColumn id="18" xr3:uid="{324300D3-1649-458B-B306-49F89CC650D7}" name="Urgencia ID" dataDxfId="15"/>
    <tableColumn id="19" xr3:uid="{23EBC17F-7494-4E04-AC28-1637C752F6B3}" name="Urgencia" dataDxfId="14"/>
    <tableColumn id="20" xr3:uid="{637BDE99-CEE4-437B-BB16-B30AB87017CB}" name="Tamaño ID" dataDxfId="13"/>
    <tableColumn id="21" xr3:uid="{7419C0AB-F9D3-4B7C-A3B9-0FFB4F70304C}" name="Tamaño" dataDxfId="12"/>
    <tableColumn id="22" xr3:uid="{D045DB6A-AD1E-457B-B806-8E1C108085B3}" name="Fecha Creación" dataDxfId="11"/>
    <tableColumn id="23" xr3:uid="{803A16B4-9DDA-4028-9920-37075D535472}" name="Fecha Inicio" dataDxfId="10"/>
    <tableColumn id="24" xr3:uid="{5FCA5847-DD63-45A1-A1C7-7CAF998690A2}" name="Fecha Informática" dataDxfId="9"/>
    <tableColumn id="25" xr3:uid="{48CC9666-A620-4F3E-ADFB-BB94D574AA0C}" name="Fecha Gerencia" dataDxfId="8"/>
    <tableColumn id="26" xr3:uid="{126BA911-7672-4481-83D1-6B490E84F96C}" name="Fecha Cierre" dataDxfId="7"/>
    <tableColumn id="27" xr3:uid="{C11295CB-334C-4EC8-9C1A-571609368396}" name="Descripción" dataDxfId="6"/>
    <tableColumn id="28" xr3:uid="{98C46D5E-193A-410F-A5F2-56EC070C741F}" name="Finf2" dataDxfId="4"/>
    <tableColumn id="29" xr3:uid="{CEFEB4C7-ED15-4691-9793-1A84B2C3AB55}" name="FGer2" dataDxfId="3"/>
    <tableColumn id="31" xr3:uid="{44BA3653-CCE2-40BD-A785-E78E77BFA4EF}" name="xGer" dataDxfId="2">
      <calculatedColumnFormula>IF(_tbl_odoo_datos2[[#This Row],[Finf2]]="",0,1)</calculatedColumnFormula>
    </tableColumn>
    <tableColumn id="32" xr3:uid="{11E652BE-8182-41D1-9AB5-28A357E733D8}" name="xInf" dataDxfId="1">
      <calculatedColumnFormula>IF(_tbl_odoo_datos2[[#This Row],[FGer2]]="",0,1)</calculatedColumnFormula>
    </tableColumn>
    <tableColumn id="33" xr3:uid="{DCC19C39-59C5-49B1-900C-DC28ED209208}" name="fEspecial" dataDxfId="0">
      <calculatedColumnFormula>IF(_tbl_odoo_datos2[[#This Row],[Finf2]]="",_tbl_odoo_datos2[[#This Row],[FGer2]],_tbl_odoo_datos2[[#This Row],[Finf2]])</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B1259E61-CE5B-4FE4-8F0A-F8B6EAE834C2}" name="_tbl_odoo_datos" displayName="_tbl_odoo_datos" ref="A1:AA117" totalsRowShown="0" headerRowDxfId="63" dataDxfId="62">
  <tableColumns count="27">
    <tableColumn id="1" xr3:uid="{2786F766-7EC7-4929-A38B-218CAA7ACAB8}" name="PROYECTO ID" dataDxfId="61"/>
    <tableColumn id="2" xr3:uid="{8A0409DD-65BD-482C-97E6-5A1B2A1D7899}" name="STOD Ref." dataDxfId="60"/>
    <tableColumn id="3" xr3:uid="{CB6853DA-A890-458E-BC94-CE2E307763D8}" name="Proyecto" dataDxfId="59"/>
    <tableColumn id="4" xr3:uid="{F5663BC1-839C-4C90-AA83-A797A5026BD6}" name="Solicitante ID" dataDxfId="58"/>
    <tableColumn id="5" xr3:uid="{F7227C04-6FF1-4548-9CCF-A803108667A9}" name="Solicitante" dataDxfId="57"/>
    <tableColumn id="6" xr3:uid="{A951CB28-CB6F-4A5D-8EEC-8B33ACEE6466}" name="Etapa ID" dataDxfId="56"/>
    <tableColumn id="7" xr3:uid="{69EAFBAC-8007-4CC3-856F-7A91793E232D}" name="Etapa" dataDxfId="55"/>
    <tableColumn id="8" xr3:uid="{95FD63FC-9720-4E49-B68A-6C5462E274D0}" name="Asignado ID" dataDxfId="54"/>
    <tableColumn id="9" xr3:uid="{3B445657-1C56-4543-A44E-C1178B5F204E}" name="Asignado" dataDxfId="53"/>
    <tableColumn id="10" xr3:uid="{308224E9-C4FA-4F6C-B5E3-0EAE3B4855A2}" name="Es único?" dataDxfId="52"/>
    <tableColumn id="11" xr3:uid="{0083917D-F811-4377-B2A5-6B2ADE87F1E2}" name="Emergente" dataDxfId="51"/>
    <tableColumn id="12" xr3:uid="{7E5CB544-9F8E-4BC1-AE81-B37F123EF5DC}" name="Clasificación ID" dataDxfId="50"/>
    <tableColumn id="13" xr3:uid="{D9E3E47D-A9EA-4CD4-9D11-F3991D3DDDAD}" name="Clasificación" dataDxfId="49"/>
    <tableColumn id="14" xr3:uid="{F3A4F3A1-D52D-471E-973E-FAC4E88580E1}" name="Complejidad ID" dataDxfId="48"/>
    <tableColumn id="15" xr3:uid="{01AFF49D-1936-4817-B52E-211A36718777}" name="Complejidad" dataDxfId="47"/>
    <tableColumn id="16" xr3:uid="{D05B6F1E-441B-445A-BA90-9DFD5A9B8FB2}" name="Importancia ID" dataDxfId="46"/>
    <tableColumn id="17" xr3:uid="{CA342269-6678-4D90-80DE-AB901AB3637A}" name="Importancia" dataDxfId="45"/>
    <tableColumn id="18" xr3:uid="{FDCFE153-02DF-4CCF-AF75-9544B9F4705C}" name="Urgencia ID" dataDxfId="44"/>
    <tableColumn id="19" xr3:uid="{93C597D0-CE9F-40A0-B238-9AA80F0891E4}" name="Urgencia" dataDxfId="43"/>
    <tableColumn id="20" xr3:uid="{52981316-46A3-49F4-B7C6-A374B1679174}" name="Tamaño ID" dataDxfId="42"/>
    <tableColumn id="21" xr3:uid="{447309E0-C722-4E04-9C76-AFCB06011486}" name="Tamaño" dataDxfId="41"/>
    <tableColumn id="22" xr3:uid="{01D5F6F5-50FF-4B20-8D81-3E036FE5D644}" name="Fecha Creación" dataDxfId="40"/>
    <tableColumn id="23" xr3:uid="{600D6F6B-D61E-4CC1-8603-51EB683C8E3C}" name="Fecha Inicio" dataDxfId="39"/>
    <tableColumn id="24" xr3:uid="{555CC918-A6CB-49EC-B83B-469B42327A42}" name="Fecha Informática" dataDxfId="38"/>
    <tableColumn id="25" xr3:uid="{F2903C41-DEFC-45C5-B321-DB7E040FA2A1}" name="Fecha Gerencia" dataDxfId="37"/>
    <tableColumn id="26" xr3:uid="{0FC999DE-FC0B-476C-A1D0-54B994D406C3}" name="Fecha Cierre" dataDxfId="36"/>
    <tableColumn id="27" xr3:uid="{163C71B9-5A30-4AF8-B642-A6D82419E185}" name="Descripción" dataDxfId="35"/>
  </tableColumns>
  <tableStyleInfo name="TableStyleMedium2"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Fecha_Gerencia" xr10:uid="{8BB07428-EB9B-4866-92E8-286F1473B639}" sourceName="Fecha Gerencia">
  <pivotTables>
    <pivotTable tabId="150" name="TablaDinámica1"/>
  </pivotTables>
  <state minimalRefreshVersion="6" lastRefreshVersion="6" pivotCacheId="1590167252" filterType="unknown">
    <bounds startDate="2025-01-01T00:00:00" endDate="2026-01-01T00:00:00"/>
  </state>
</timelineCacheDefinition>
</file>

<file path=xl/timelineCaches/timelineCache2.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fEspecial" xr10:uid="{D7CE9D6B-9C2E-4D06-9798-830F88A3F66E}" sourceName="fEspecial">
  <pivotTables>
    <pivotTable tabId="150" name="TablaDinámica1"/>
  </pivotTables>
  <state minimalRefreshVersion="6" lastRefreshVersion="6" pivotCacheId="1590167252" filterType="dateBetween">
    <selection startDate="2025-02-01T00:00:00" endDate="2025-12-31T00:00:00"/>
    <bounds startDate="1899-12-31T00:00:00" endDate="2026-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fEspecial" xr10:uid="{208BEA57-209D-43A7-BD39-413C7B77C037}" cache="NativeTimeline_fEspecial" caption="fEspecial" level="2" selectionLevel="2" scrollPosition="2025-05-19T00:00:00"/>
</timelines>
</file>

<file path=xl/timelines/timeline2.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Fecha Gerencia" xr10:uid="{76FBDAEC-AEE1-4588-B666-44B7E5A973CF}" cache="NativeTimeline_Fecha_Gerencia" caption="Fecha Gerencia" level="2" selectionLevel="2" scrollPosition="2025-01-01T00:00:00"/>
</timelines>
</file>

<file path=xl/worksheets/_rels/sheet1.xml.rels><?xml version="1.0" encoding="UTF-8" standalone="yes"?>
<Relationships xmlns="http://schemas.openxmlformats.org/package/2006/relationships"><Relationship Id="rId2" Type="http://schemas.microsoft.com/office/2011/relationships/timeline" Target="../timelines/timeline1.x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5.xml.rels><?xml version="1.0" encoding="UTF-8" standalone="yes"?>
<Relationships xmlns="http://schemas.openxmlformats.org/package/2006/relationships"><Relationship Id="rId3" Type="http://schemas.microsoft.com/office/2011/relationships/timeline" Target="../timelines/timeline2.xml"/><Relationship Id="rId2" Type="http://schemas.openxmlformats.org/officeDocument/2006/relationships/drawing" Target="../drawings/drawing2.xml"/><Relationship Id="rId1" Type="http://schemas.openxmlformats.org/officeDocument/2006/relationships/pivotTable" Target="../pivotTables/pivotTable2.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F570B5-6EFC-4A58-83D8-EEDDA118F152}">
  <dimension ref="A1"/>
  <sheetViews>
    <sheetView workbookViewId="0">
      <selection activeCell="B3" sqref="B3"/>
    </sheetView>
  </sheetViews>
  <sheetFormatPr baseColWidth="10" defaultRowHeight="15" x14ac:dyDescent="0.25"/>
  <sheetData/>
  <pageMargins left="0.7" right="0.7" top="0.75" bottom="0.75" header="0.3" footer="0.3"/>
  <drawing r:id="rId1"/>
  <extLst>
    <ext xmlns:x15="http://schemas.microsoft.com/office/spreadsheetml/2010/11/main" uri="{7E03D99C-DC04-49d9-9315-930204A7B6E9}">
      <x15:timelineRefs>
        <x15:timelineRef r:id="rId2"/>
      </x15:timelineRef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A4922B-943C-4409-BA65-D78F6B649D6F}">
  <sheetPr codeName="Hoja2">
    <tabColor theme="7" tint="-0.249977111117893"/>
  </sheetPr>
  <dimension ref="A1:AF233"/>
  <sheetViews>
    <sheetView showGridLines="0" topLeftCell="S1" zoomScaleNormal="100" workbookViewId="0">
      <selection activeCell="AF1" sqref="AF1"/>
    </sheetView>
  </sheetViews>
  <sheetFormatPr baseColWidth="10" defaultColWidth="11.42578125" defaultRowHeight="15" x14ac:dyDescent="0.25"/>
  <cols>
    <col min="1" max="3" width="12" customWidth="1"/>
    <col min="4" max="7" width="18.140625" bestFit="1" customWidth="1"/>
    <col min="8" max="8" width="24.140625" bestFit="1" customWidth="1"/>
    <col min="9" max="9" width="18.140625" bestFit="1" customWidth="1"/>
    <col min="10" max="10" width="13" customWidth="1"/>
    <col min="11" max="11" width="18.140625" bestFit="1" customWidth="1"/>
    <col min="12" max="12" width="13" customWidth="1"/>
    <col min="13" max="14" width="18.140625" bestFit="1" customWidth="1"/>
    <col min="15" max="15" width="13" customWidth="1"/>
    <col min="16" max="18" width="18.140625" bestFit="1" customWidth="1"/>
    <col min="19" max="22" width="13" customWidth="1"/>
    <col min="23" max="23" width="19.5703125" customWidth="1"/>
    <col min="24" max="27" width="13" customWidth="1"/>
  </cols>
  <sheetData>
    <row r="1" spans="1:32" x14ac:dyDescent="0.25">
      <c r="A1" t="s">
        <v>38</v>
      </c>
      <c r="B1" s="12" t="s">
        <v>5</v>
      </c>
      <c r="C1" s="7" t="s">
        <v>6</v>
      </c>
      <c r="D1" t="s">
        <v>7</v>
      </c>
      <c r="E1" s="8" t="s">
        <v>8</v>
      </c>
      <c r="F1" s="12" t="s">
        <v>9</v>
      </c>
      <c r="G1" s="13" t="s">
        <v>10</v>
      </c>
      <c r="H1" s="12" t="s">
        <v>11</v>
      </c>
      <c r="I1" s="6" t="s">
        <v>12</v>
      </c>
      <c r="J1" s="2" t="s">
        <v>13</v>
      </c>
      <c r="K1" s="7" t="s">
        <v>14</v>
      </c>
      <c r="L1" s="2" t="s">
        <v>15</v>
      </c>
      <c r="M1" s="6" t="s">
        <v>16</v>
      </c>
      <c r="N1" s="12" t="s">
        <v>17</v>
      </c>
      <c r="O1" s="13" t="s">
        <v>18</v>
      </c>
      <c r="P1" s="6" t="s">
        <v>19</v>
      </c>
      <c r="Q1" s="8" t="s">
        <v>20</v>
      </c>
      <c r="R1" s="12" t="s">
        <v>21</v>
      </c>
      <c r="S1" s="13" t="s">
        <v>22</v>
      </c>
      <c r="T1" s="12" t="s">
        <v>23</v>
      </c>
      <c r="U1" s="8" t="s">
        <v>24</v>
      </c>
      <c r="V1" s="2" t="s">
        <v>25</v>
      </c>
      <c r="W1" s="2" t="s">
        <v>26</v>
      </c>
      <c r="X1" s="2" t="s">
        <v>27</v>
      </c>
      <c r="Y1" s="2" t="s">
        <v>28</v>
      </c>
      <c r="Z1" s="2" t="s">
        <v>29</v>
      </c>
      <c r="AA1" t="s">
        <v>30</v>
      </c>
      <c r="AB1" s="2" t="s">
        <v>442</v>
      </c>
      <c r="AC1" s="2" t="s">
        <v>441</v>
      </c>
      <c r="AD1" s="2" t="s">
        <v>448</v>
      </c>
      <c r="AE1" s="2" t="s">
        <v>447</v>
      </c>
      <c r="AF1" s="2" t="s">
        <v>449</v>
      </c>
    </row>
    <row r="2" spans="1:32" x14ac:dyDescent="0.25">
      <c r="A2" s="12" t="s">
        <v>446</v>
      </c>
      <c r="B2" s="12">
        <v>275</v>
      </c>
      <c r="C2" t="s">
        <v>42</v>
      </c>
      <c r="D2">
        <v>247828</v>
      </c>
      <c r="E2" s="8" t="s">
        <v>43</v>
      </c>
      <c r="F2" s="12">
        <v>30</v>
      </c>
      <c r="G2" s="8" t="s">
        <v>44</v>
      </c>
      <c r="H2" s="12">
        <v>3233</v>
      </c>
      <c r="I2" t="s">
        <v>45</v>
      </c>
      <c r="J2" t="s">
        <v>46</v>
      </c>
      <c r="N2" s="12"/>
      <c r="O2" s="8"/>
      <c r="P2">
        <v>1</v>
      </c>
      <c r="Q2" s="8">
        <v>1</v>
      </c>
      <c r="R2" s="12">
        <v>1</v>
      </c>
      <c r="S2" s="8">
        <v>1</v>
      </c>
      <c r="T2" s="12"/>
      <c r="U2" s="8"/>
      <c r="V2" s="2">
        <v>45658</v>
      </c>
      <c r="W2" s="2">
        <v>1</v>
      </c>
      <c r="X2" s="2"/>
      <c r="Y2" s="2">
        <v>45688</v>
      </c>
      <c r="Z2" s="2"/>
      <c r="AA2" t="s">
        <v>47</v>
      </c>
      <c r="AB2" s="2"/>
      <c r="AC2" s="2">
        <v>45657</v>
      </c>
      <c r="AD2" s="47">
        <f>IF(_tbl_odoo_datos2[[#This Row],[Finf2]]="",0,1)</f>
        <v>0</v>
      </c>
      <c r="AE2" s="47">
        <f>IF(_tbl_odoo_datos2[[#This Row],[FGer2]]="",0,1)</f>
        <v>1</v>
      </c>
      <c r="AF2" s="2">
        <f>IF(_tbl_odoo_datos2[[#This Row],[Finf2]]="",_tbl_odoo_datos2[[#This Row],[FGer2]],_tbl_odoo_datos2[[#This Row],[Finf2]])</f>
        <v>45657</v>
      </c>
    </row>
    <row r="3" spans="1:32" x14ac:dyDescent="0.25">
      <c r="A3" s="12" t="s">
        <v>446</v>
      </c>
      <c r="B3" s="12">
        <v>278</v>
      </c>
      <c r="C3" t="s">
        <v>48</v>
      </c>
      <c r="D3">
        <v>247828</v>
      </c>
      <c r="E3" s="8" t="s">
        <v>43</v>
      </c>
      <c r="F3" s="12">
        <v>30</v>
      </c>
      <c r="G3" s="8" t="s">
        <v>44</v>
      </c>
      <c r="H3" s="12">
        <v>3233</v>
      </c>
      <c r="I3" t="s">
        <v>45</v>
      </c>
      <c r="J3" t="s">
        <v>46</v>
      </c>
      <c r="K3" t="b">
        <v>1</v>
      </c>
      <c r="N3" s="12"/>
      <c r="O3" s="8"/>
      <c r="P3">
        <v>1</v>
      </c>
      <c r="Q3" s="8">
        <v>1</v>
      </c>
      <c r="R3" s="12">
        <v>3</v>
      </c>
      <c r="S3" s="8">
        <v>3</v>
      </c>
      <c r="T3" s="12"/>
      <c r="U3" s="8"/>
      <c r="V3" s="2">
        <v>45658</v>
      </c>
      <c r="W3" s="2">
        <v>1</v>
      </c>
      <c r="X3" s="2"/>
      <c r="Y3" s="2">
        <v>45716</v>
      </c>
      <c r="Z3" s="2"/>
      <c r="AA3" t="s">
        <v>49</v>
      </c>
      <c r="AB3" s="2"/>
      <c r="AC3" s="2">
        <v>45688</v>
      </c>
      <c r="AD3" s="47">
        <f>IF(_tbl_odoo_datos2[[#This Row],[Finf2]]="",0,1)</f>
        <v>0</v>
      </c>
      <c r="AE3" s="47">
        <f>IF(_tbl_odoo_datos2[[#This Row],[FGer2]]="",0,1)</f>
        <v>1</v>
      </c>
      <c r="AF3" s="2">
        <f>IF(_tbl_odoo_datos2[[#This Row],[Finf2]]="",_tbl_odoo_datos2[[#This Row],[FGer2]],_tbl_odoo_datos2[[#This Row],[Finf2]])</f>
        <v>45688</v>
      </c>
    </row>
    <row r="4" spans="1:32" x14ac:dyDescent="0.25">
      <c r="A4" s="12" t="s">
        <v>446</v>
      </c>
      <c r="B4" s="12">
        <v>280</v>
      </c>
      <c r="C4" t="s">
        <v>50</v>
      </c>
      <c r="D4">
        <v>247541</v>
      </c>
      <c r="E4" s="8" t="s">
        <v>51</v>
      </c>
      <c r="F4" s="12">
        <v>28</v>
      </c>
      <c r="G4" s="8" t="s">
        <v>52</v>
      </c>
      <c r="H4" s="12">
        <v>3198</v>
      </c>
      <c r="I4" t="s">
        <v>53</v>
      </c>
      <c r="J4" t="s">
        <v>46</v>
      </c>
      <c r="N4" s="12"/>
      <c r="O4" s="8"/>
      <c r="P4">
        <v>3</v>
      </c>
      <c r="Q4" s="8">
        <v>3</v>
      </c>
      <c r="R4" s="12">
        <v>3</v>
      </c>
      <c r="S4" s="8">
        <v>3</v>
      </c>
      <c r="T4" s="12"/>
      <c r="U4" s="8"/>
      <c r="V4" s="2">
        <v>45658</v>
      </c>
      <c r="W4" s="2">
        <v>1</v>
      </c>
      <c r="X4" s="2"/>
      <c r="Y4" s="2">
        <v>45744</v>
      </c>
      <c r="Z4" s="2"/>
      <c r="AA4" t="s">
        <v>54</v>
      </c>
      <c r="AB4" s="2"/>
      <c r="AC4" s="2">
        <v>45716</v>
      </c>
      <c r="AD4" s="47">
        <f>IF(_tbl_odoo_datos2[[#This Row],[Finf2]]="",0,1)</f>
        <v>0</v>
      </c>
      <c r="AE4" s="47">
        <f>IF(_tbl_odoo_datos2[[#This Row],[FGer2]]="",0,1)</f>
        <v>1</v>
      </c>
      <c r="AF4" s="2">
        <f>IF(_tbl_odoo_datos2[[#This Row],[Finf2]]="",_tbl_odoo_datos2[[#This Row],[FGer2]],_tbl_odoo_datos2[[#This Row],[Finf2]])</f>
        <v>45716</v>
      </c>
    </row>
    <row r="5" spans="1:32" x14ac:dyDescent="0.25">
      <c r="A5" s="12" t="s">
        <v>446</v>
      </c>
      <c r="B5" s="12">
        <v>281</v>
      </c>
      <c r="C5" t="s">
        <v>55</v>
      </c>
      <c r="D5">
        <v>247795</v>
      </c>
      <c r="E5" s="8" t="s">
        <v>56</v>
      </c>
      <c r="F5" s="12">
        <v>28</v>
      </c>
      <c r="G5" s="8" t="s">
        <v>52</v>
      </c>
      <c r="H5" s="12">
        <v>3233</v>
      </c>
      <c r="I5" t="s">
        <v>45</v>
      </c>
      <c r="J5" t="s">
        <v>46</v>
      </c>
      <c r="N5" s="12"/>
      <c r="O5" s="8"/>
      <c r="P5">
        <v>1</v>
      </c>
      <c r="Q5" s="8">
        <v>1</v>
      </c>
      <c r="R5" s="12">
        <v>1</v>
      </c>
      <c r="S5" s="8">
        <v>1</v>
      </c>
      <c r="T5" s="12"/>
      <c r="U5" s="8"/>
      <c r="V5" s="2">
        <v>45658</v>
      </c>
      <c r="W5" s="2">
        <v>1</v>
      </c>
      <c r="X5" s="2"/>
      <c r="Y5" s="2">
        <v>45744</v>
      </c>
      <c r="Z5" s="2"/>
      <c r="AA5" t="s">
        <v>57</v>
      </c>
      <c r="AB5" s="2"/>
      <c r="AC5" s="2">
        <v>45716</v>
      </c>
      <c r="AD5" s="47">
        <f>IF(_tbl_odoo_datos2[[#This Row],[Finf2]]="",0,1)</f>
        <v>0</v>
      </c>
      <c r="AE5" s="47">
        <f>IF(_tbl_odoo_datos2[[#This Row],[FGer2]]="",0,1)</f>
        <v>1</v>
      </c>
      <c r="AF5" s="2">
        <f>IF(_tbl_odoo_datos2[[#This Row],[Finf2]]="",_tbl_odoo_datos2[[#This Row],[FGer2]],_tbl_odoo_datos2[[#This Row],[Finf2]])</f>
        <v>45716</v>
      </c>
    </row>
    <row r="6" spans="1:32" x14ac:dyDescent="0.25">
      <c r="A6" s="12" t="s">
        <v>446</v>
      </c>
      <c r="B6" s="12">
        <v>282</v>
      </c>
      <c r="C6" t="s">
        <v>58</v>
      </c>
      <c r="D6">
        <v>247556</v>
      </c>
      <c r="E6" s="8" t="s">
        <v>59</v>
      </c>
      <c r="F6" s="12">
        <v>28</v>
      </c>
      <c r="G6" s="8" t="s">
        <v>52</v>
      </c>
      <c r="H6" s="12">
        <v>3233</v>
      </c>
      <c r="I6" t="s">
        <v>45</v>
      </c>
      <c r="J6" t="s">
        <v>46</v>
      </c>
      <c r="N6" s="12"/>
      <c r="O6" s="8"/>
      <c r="P6">
        <v>1</v>
      </c>
      <c r="Q6" s="8">
        <v>1</v>
      </c>
      <c r="R6" s="12">
        <v>3</v>
      </c>
      <c r="S6" s="8">
        <v>3</v>
      </c>
      <c r="T6" s="12"/>
      <c r="U6" s="8"/>
      <c r="V6" s="2">
        <v>45658</v>
      </c>
      <c r="W6" s="2">
        <v>1</v>
      </c>
      <c r="X6" s="2"/>
      <c r="Y6" s="2">
        <v>45716</v>
      </c>
      <c r="Z6" s="2"/>
      <c r="AA6" t="s">
        <v>60</v>
      </c>
      <c r="AB6" s="2"/>
      <c r="AC6" s="2">
        <v>45688</v>
      </c>
      <c r="AD6" s="47">
        <f>IF(_tbl_odoo_datos2[[#This Row],[Finf2]]="",0,1)</f>
        <v>0</v>
      </c>
      <c r="AE6" s="47">
        <f>IF(_tbl_odoo_datos2[[#This Row],[FGer2]]="",0,1)</f>
        <v>1</v>
      </c>
      <c r="AF6" s="2">
        <f>IF(_tbl_odoo_datos2[[#This Row],[Finf2]]="",_tbl_odoo_datos2[[#This Row],[FGer2]],_tbl_odoo_datos2[[#This Row],[Finf2]])</f>
        <v>45688</v>
      </c>
    </row>
    <row r="7" spans="1:32" x14ac:dyDescent="0.25">
      <c r="A7" s="12" t="s">
        <v>446</v>
      </c>
      <c r="B7" s="12">
        <v>283</v>
      </c>
      <c r="C7" t="s">
        <v>61</v>
      </c>
      <c r="D7">
        <v>247857</v>
      </c>
      <c r="E7" s="8" t="s">
        <v>62</v>
      </c>
      <c r="F7" s="12">
        <v>28</v>
      </c>
      <c r="G7" s="8" t="s">
        <v>52</v>
      </c>
      <c r="H7" s="12"/>
      <c r="J7" t="s">
        <v>46</v>
      </c>
      <c r="N7" s="12"/>
      <c r="O7" s="8"/>
      <c r="P7">
        <v>1</v>
      </c>
      <c r="Q7" s="8">
        <v>1</v>
      </c>
      <c r="R7" s="12">
        <v>2</v>
      </c>
      <c r="S7" s="8">
        <v>2</v>
      </c>
      <c r="T7" s="12"/>
      <c r="U7" s="8"/>
      <c r="V7" s="2">
        <v>45658</v>
      </c>
      <c r="W7" s="2">
        <v>1</v>
      </c>
      <c r="X7" s="2"/>
      <c r="Y7" s="2">
        <v>45688</v>
      </c>
      <c r="Z7" s="2"/>
      <c r="AA7" t="s">
        <v>63</v>
      </c>
      <c r="AB7" s="2"/>
      <c r="AC7" s="2">
        <v>45657</v>
      </c>
      <c r="AD7" s="47">
        <f>IF(_tbl_odoo_datos2[[#This Row],[Finf2]]="",0,1)</f>
        <v>0</v>
      </c>
      <c r="AE7" s="47">
        <f>IF(_tbl_odoo_datos2[[#This Row],[FGer2]]="",0,1)</f>
        <v>1</v>
      </c>
      <c r="AF7" s="2">
        <f>IF(_tbl_odoo_datos2[[#This Row],[Finf2]]="",_tbl_odoo_datos2[[#This Row],[FGer2]],_tbl_odoo_datos2[[#This Row],[Finf2]])</f>
        <v>45657</v>
      </c>
    </row>
    <row r="8" spans="1:32" x14ac:dyDescent="0.25">
      <c r="A8" s="12" t="s">
        <v>446</v>
      </c>
      <c r="B8" s="12">
        <v>284</v>
      </c>
      <c r="C8" t="s">
        <v>64</v>
      </c>
      <c r="D8">
        <v>247885</v>
      </c>
      <c r="E8" s="8" t="s">
        <v>65</v>
      </c>
      <c r="F8" s="12">
        <v>28</v>
      </c>
      <c r="G8" s="8" t="s">
        <v>52</v>
      </c>
      <c r="H8" s="12">
        <v>3233</v>
      </c>
      <c r="I8" t="s">
        <v>45</v>
      </c>
      <c r="J8" t="s">
        <v>46</v>
      </c>
      <c r="N8" s="12"/>
      <c r="O8" s="8"/>
      <c r="P8">
        <v>1</v>
      </c>
      <c r="Q8" s="8">
        <v>1</v>
      </c>
      <c r="R8" s="12">
        <v>1</v>
      </c>
      <c r="S8" s="8">
        <v>1</v>
      </c>
      <c r="T8" s="12"/>
      <c r="U8" s="8"/>
      <c r="V8" s="2">
        <v>45658</v>
      </c>
      <c r="W8" s="2">
        <v>1</v>
      </c>
      <c r="X8" s="2"/>
      <c r="Y8" s="2">
        <v>45777</v>
      </c>
      <c r="Z8" s="2"/>
      <c r="AA8" t="s">
        <v>66</v>
      </c>
      <c r="AB8" s="2"/>
      <c r="AC8" s="2">
        <v>45747</v>
      </c>
      <c r="AD8" s="47">
        <f>IF(_tbl_odoo_datos2[[#This Row],[Finf2]]="",0,1)</f>
        <v>0</v>
      </c>
      <c r="AE8" s="47">
        <f>IF(_tbl_odoo_datos2[[#This Row],[FGer2]]="",0,1)</f>
        <v>1</v>
      </c>
      <c r="AF8" s="2">
        <f>IF(_tbl_odoo_datos2[[#This Row],[Finf2]]="",_tbl_odoo_datos2[[#This Row],[FGer2]],_tbl_odoo_datos2[[#This Row],[Finf2]])</f>
        <v>45747</v>
      </c>
    </row>
    <row r="9" spans="1:32" x14ac:dyDescent="0.25">
      <c r="A9" s="12" t="s">
        <v>446</v>
      </c>
      <c r="B9" s="12">
        <v>285</v>
      </c>
      <c r="C9" t="s">
        <v>67</v>
      </c>
      <c r="D9">
        <v>247277</v>
      </c>
      <c r="E9" s="8" t="s">
        <v>68</v>
      </c>
      <c r="F9" s="12">
        <v>21</v>
      </c>
      <c r="G9" s="8" t="s">
        <v>69</v>
      </c>
      <c r="H9" s="12">
        <v>3233</v>
      </c>
      <c r="I9" t="s">
        <v>45</v>
      </c>
      <c r="J9" t="s">
        <v>46</v>
      </c>
      <c r="N9" s="12"/>
      <c r="O9" s="8"/>
      <c r="P9">
        <v>1</v>
      </c>
      <c r="Q9" s="8">
        <v>1</v>
      </c>
      <c r="R9" s="12">
        <v>1</v>
      </c>
      <c r="S9" s="8">
        <v>1</v>
      </c>
      <c r="T9" s="12"/>
      <c r="U9" s="8"/>
      <c r="V9" s="2">
        <v>45658</v>
      </c>
      <c r="W9" s="2">
        <v>1</v>
      </c>
      <c r="X9" s="2"/>
      <c r="Y9" s="2">
        <v>45688</v>
      </c>
      <c r="Z9" s="2"/>
      <c r="AA9" t="s">
        <v>70</v>
      </c>
      <c r="AB9" s="2"/>
      <c r="AC9" s="2">
        <v>45657</v>
      </c>
      <c r="AD9" s="47">
        <f>IF(_tbl_odoo_datos2[[#This Row],[Finf2]]="",0,1)</f>
        <v>0</v>
      </c>
      <c r="AE9" s="47">
        <f>IF(_tbl_odoo_datos2[[#This Row],[FGer2]]="",0,1)</f>
        <v>1</v>
      </c>
      <c r="AF9" s="2">
        <f>IF(_tbl_odoo_datos2[[#This Row],[Finf2]]="",_tbl_odoo_datos2[[#This Row],[FGer2]],_tbl_odoo_datos2[[#This Row],[Finf2]])</f>
        <v>45657</v>
      </c>
    </row>
    <row r="10" spans="1:32" x14ac:dyDescent="0.25">
      <c r="A10" s="12" t="s">
        <v>446</v>
      </c>
      <c r="B10" s="12">
        <v>286</v>
      </c>
      <c r="C10" t="s">
        <v>71</v>
      </c>
      <c r="D10">
        <v>247795</v>
      </c>
      <c r="E10" s="8" t="s">
        <v>56</v>
      </c>
      <c r="F10" s="12">
        <v>28</v>
      </c>
      <c r="G10" s="8" t="s">
        <v>52</v>
      </c>
      <c r="H10" s="12"/>
      <c r="J10" t="s">
        <v>46</v>
      </c>
      <c r="N10" s="12"/>
      <c r="O10" s="8"/>
      <c r="P10">
        <v>2</v>
      </c>
      <c r="Q10" s="8">
        <v>2</v>
      </c>
      <c r="R10" s="12">
        <v>2</v>
      </c>
      <c r="S10" s="8">
        <v>2</v>
      </c>
      <c r="T10" s="12"/>
      <c r="U10" s="8"/>
      <c r="V10" s="2">
        <v>45658</v>
      </c>
      <c r="W10" s="2">
        <v>1</v>
      </c>
      <c r="X10" s="2"/>
      <c r="Y10" s="2">
        <v>45716</v>
      </c>
      <c r="Z10" s="2"/>
      <c r="AA10" t="s">
        <v>72</v>
      </c>
      <c r="AB10" s="2"/>
      <c r="AC10" s="2">
        <v>45688</v>
      </c>
      <c r="AD10" s="47">
        <f>IF(_tbl_odoo_datos2[[#This Row],[Finf2]]="",0,1)</f>
        <v>0</v>
      </c>
      <c r="AE10" s="47">
        <f>IF(_tbl_odoo_datos2[[#This Row],[FGer2]]="",0,1)</f>
        <v>1</v>
      </c>
      <c r="AF10" s="2">
        <f>IF(_tbl_odoo_datos2[[#This Row],[Finf2]]="",_tbl_odoo_datos2[[#This Row],[FGer2]],_tbl_odoo_datos2[[#This Row],[Finf2]])</f>
        <v>45688</v>
      </c>
    </row>
    <row r="11" spans="1:32" x14ac:dyDescent="0.25">
      <c r="A11" s="12" t="s">
        <v>446</v>
      </c>
      <c r="B11" s="12">
        <v>287</v>
      </c>
      <c r="C11" t="s">
        <v>73</v>
      </c>
      <c r="D11">
        <v>289004</v>
      </c>
      <c r="E11" s="8" t="s">
        <v>59</v>
      </c>
      <c r="F11" s="12">
        <v>28</v>
      </c>
      <c r="G11" s="8" t="s">
        <v>52</v>
      </c>
      <c r="H11" s="12"/>
      <c r="J11" t="s">
        <v>46</v>
      </c>
      <c r="N11" s="12"/>
      <c r="O11" s="8"/>
      <c r="P11">
        <v>2</v>
      </c>
      <c r="Q11" s="8">
        <v>2</v>
      </c>
      <c r="R11" s="12">
        <v>2</v>
      </c>
      <c r="S11" s="8">
        <v>2</v>
      </c>
      <c r="T11" s="12"/>
      <c r="U11" s="8"/>
      <c r="V11" s="2">
        <v>45658</v>
      </c>
      <c r="W11" s="2">
        <v>1</v>
      </c>
      <c r="X11" s="2"/>
      <c r="Y11" s="2">
        <v>45716</v>
      </c>
      <c r="Z11" s="2"/>
      <c r="AA11" t="s">
        <v>74</v>
      </c>
      <c r="AB11" s="2"/>
      <c r="AC11" s="2">
        <v>45688</v>
      </c>
      <c r="AD11" s="47">
        <f>IF(_tbl_odoo_datos2[[#This Row],[Finf2]]="",0,1)</f>
        <v>0</v>
      </c>
      <c r="AE11" s="47">
        <f>IF(_tbl_odoo_datos2[[#This Row],[FGer2]]="",0,1)</f>
        <v>1</v>
      </c>
      <c r="AF11" s="2">
        <f>IF(_tbl_odoo_datos2[[#This Row],[Finf2]]="",_tbl_odoo_datos2[[#This Row],[FGer2]],_tbl_odoo_datos2[[#This Row],[Finf2]])</f>
        <v>45688</v>
      </c>
    </row>
    <row r="12" spans="1:32" x14ac:dyDescent="0.25">
      <c r="A12" s="12" t="s">
        <v>446</v>
      </c>
      <c r="B12" s="12">
        <v>288</v>
      </c>
      <c r="C12" t="s">
        <v>75</v>
      </c>
      <c r="D12">
        <v>289006</v>
      </c>
      <c r="E12" s="8" t="s">
        <v>76</v>
      </c>
      <c r="F12" s="12">
        <v>22</v>
      </c>
      <c r="G12" s="8" t="s">
        <v>77</v>
      </c>
      <c r="H12" s="12">
        <v>195</v>
      </c>
      <c r="I12" t="s">
        <v>78</v>
      </c>
      <c r="J12" t="s">
        <v>46</v>
      </c>
      <c r="K12" t="b">
        <v>1</v>
      </c>
      <c r="N12" s="12"/>
      <c r="O12" s="8"/>
      <c r="P12">
        <v>1</v>
      </c>
      <c r="Q12" s="8">
        <v>1</v>
      </c>
      <c r="R12" s="12">
        <v>1</v>
      </c>
      <c r="S12" s="8">
        <v>1</v>
      </c>
      <c r="T12" s="12"/>
      <c r="U12" s="8"/>
      <c r="V12" s="2">
        <v>45658</v>
      </c>
      <c r="W12" s="2">
        <v>1</v>
      </c>
      <c r="X12" s="2"/>
      <c r="Y12" s="2">
        <v>45744</v>
      </c>
      <c r="Z12" s="2"/>
      <c r="AA12" t="s">
        <v>79</v>
      </c>
      <c r="AB12" s="2"/>
      <c r="AC12" s="2">
        <v>45716</v>
      </c>
      <c r="AD12" s="47">
        <f>IF(_tbl_odoo_datos2[[#This Row],[Finf2]]="",0,1)</f>
        <v>0</v>
      </c>
      <c r="AE12" s="47">
        <f>IF(_tbl_odoo_datos2[[#This Row],[FGer2]]="",0,1)</f>
        <v>1</v>
      </c>
      <c r="AF12" s="2">
        <f>IF(_tbl_odoo_datos2[[#This Row],[Finf2]]="",_tbl_odoo_datos2[[#This Row],[FGer2]],_tbl_odoo_datos2[[#This Row],[Finf2]])</f>
        <v>45716</v>
      </c>
    </row>
    <row r="13" spans="1:32" x14ac:dyDescent="0.25">
      <c r="A13" s="12" t="s">
        <v>446</v>
      </c>
      <c r="B13" s="12">
        <v>289</v>
      </c>
      <c r="C13" t="s">
        <v>80</v>
      </c>
      <c r="D13">
        <v>247729</v>
      </c>
      <c r="E13" s="8" t="s">
        <v>81</v>
      </c>
      <c r="F13" s="12">
        <v>28</v>
      </c>
      <c r="G13" s="8" t="s">
        <v>52</v>
      </c>
      <c r="H13" s="12"/>
      <c r="J13" t="s">
        <v>46</v>
      </c>
      <c r="N13" s="12"/>
      <c r="O13" s="8"/>
      <c r="P13">
        <v>3</v>
      </c>
      <c r="Q13" s="8">
        <v>3</v>
      </c>
      <c r="R13" s="12">
        <v>3</v>
      </c>
      <c r="S13" s="8">
        <v>3</v>
      </c>
      <c r="T13" s="12"/>
      <c r="U13" s="8"/>
      <c r="V13" s="2">
        <v>45658</v>
      </c>
      <c r="W13" s="2">
        <v>1</v>
      </c>
      <c r="X13" s="2"/>
      <c r="Y13" s="2">
        <v>45744</v>
      </c>
      <c r="Z13" s="2"/>
      <c r="AA13" t="s">
        <v>82</v>
      </c>
      <c r="AB13" s="2"/>
      <c r="AC13" s="2">
        <v>45716</v>
      </c>
      <c r="AD13" s="47">
        <f>IF(_tbl_odoo_datos2[[#This Row],[Finf2]]="",0,1)</f>
        <v>0</v>
      </c>
      <c r="AE13" s="47">
        <f>IF(_tbl_odoo_datos2[[#This Row],[FGer2]]="",0,1)</f>
        <v>1</v>
      </c>
      <c r="AF13" s="2">
        <f>IF(_tbl_odoo_datos2[[#This Row],[Finf2]]="",_tbl_odoo_datos2[[#This Row],[FGer2]],_tbl_odoo_datos2[[#This Row],[Finf2]])</f>
        <v>45716</v>
      </c>
    </row>
    <row r="14" spans="1:32" x14ac:dyDescent="0.25">
      <c r="A14" s="12" t="s">
        <v>446</v>
      </c>
      <c r="B14" s="12">
        <v>291</v>
      </c>
      <c r="C14" t="s">
        <v>83</v>
      </c>
      <c r="D14">
        <v>247393</v>
      </c>
      <c r="E14" s="8" t="s">
        <v>84</v>
      </c>
      <c r="F14" s="12">
        <v>28</v>
      </c>
      <c r="G14" s="8" t="s">
        <v>52</v>
      </c>
      <c r="H14" s="12"/>
      <c r="J14" t="s">
        <v>46</v>
      </c>
      <c r="N14" s="12"/>
      <c r="O14" s="8"/>
      <c r="P14">
        <v>3</v>
      </c>
      <c r="Q14" s="8">
        <v>3</v>
      </c>
      <c r="R14" s="12">
        <v>3</v>
      </c>
      <c r="S14" s="8">
        <v>3</v>
      </c>
      <c r="T14" s="12"/>
      <c r="U14" s="8"/>
      <c r="V14" s="2">
        <v>45658</v>
      </c>
      <c r="W14" s="2">
        <v>1</v>
      </c>
      <c r="X14" s="2"/>
      <c r="Y14" s="2">
        <v>45761</v>
      </c>
      <c r="Z14" s="2"/>
      <c r="AA14" t="s">
        <v>85</v>
      </c>
      <c r="AB14" s="2"/>
      <c r="AC14" s="2">
        <v>45747</v>
      </c>
      <c r="AD14" s="47">
        <f>IF(_tbl_odoo_datos2[[#This Row],[Finf2]]="",0,1)</f>
        <v>0</v>
      </c>
      <c r="AE14" s="47">
        <f>IF(_tbl_odoo_datos2[[#This Row],[FGer2]]="",0,1)</f>
        <v>1</v>
      </c>
      <c r="AF14" s="2">
        <f>IF(_tbl_odoo_datos2[[#This Row],[Finf2]]="",_tbl_odoo_datos2[[#This Row],[FGer2]],_tbl_odoo_datos2[[#This Row],[Finf2]])</f>
        <v>45747</v>
      </c>
    </row>
    <row r="15" spans="1:32" x14ac:dyDescent="0.25">
      <c r="A15" s="12" t="s">
        <v>446</v>
      </c>
      <c r="B15" s="12">
        <v>293</v>
      </c>
      <c r="C15" t="s">
        <v>86</v>
      </c>
      <c r="D15">
        <v>247795</v>
      </c>
      <c r="E15" s="8" t="s">
        <v>56</v>
      </c>
      <c r="F15" s="12">
        <v>28</v>
      </c>
      <c r="G15" s="8" t="s">
        <v>52</v>
      </c>
      <c r="H15" s="12"/>
      <c r="J15" t="s">
        <v>46</v>
      </c>
      <c r="N15" s="12"/>
      <c r="O15" s="8"/>
      <c r="P15">
        <v>2</v>
      </c>
      <c r="Q15" s="8">
        <v>2</v>
      </c>
      <c r="R15" s="12">
        <v>2</v>
      </c>
      <c r="S15" s="8">
        <v>2</v>
      </c>
      <c r="T15" s="12"/>
      <c r="U15" s="8"/>
      <c r="V15" s="2">
        <v>45658</v>
      </c>
      <c r="W15" s="2">
        <v>1</v>
      </c>
      <c r="X15" s="2"/>
      <c r="Y15" s="2">
        <v>45775</v>
      </c>
      <c r="Z15" s="2"/>
      <c r="AA15" t="s">
        <v>87</v>
      </c>
      <c r="AB15" s="2"/>
      <c r="AC15" s="2">
        <v>45747</v>
      </c>
      <c r="AD15" s="47">
        <f>IF(_tbl_odoo_datos2[[#This Row],[Finf2]]="",0,1)</f>
        <v>0</v>
      </c>
      <c r="AE15" s="47">
        <f>IF(_tbl_odoo_datos2[[#This Row],[FGer2]]="",0,1)</f>
        <v>1</v>
      </c>
      <c r="AF15" s="2">
        <f>IF(_tbl_odoo_datos2[[#This Row],[Finf2]]="",_tbl_odoo_datos2[[#This Row],[FGer2]],_tbl_odoo_datos2[[#This Row],[Finf2]])</f>
        <v>45747</v>
      </c>
    </row>
    <row r="16" spans="1:32" x14ac:dyDescent="0.25">
      <c r="A16" s="12" t="s">
        <v>446</v>
      </c>
      <c r="B16" s="12">
        <v>294</v>
      </c>
      <c r="C16" t="s">
        <v>88</v>
      </c>
      <c r="D16">
        <v>247795</v>
      </c>
      <c r="E16" s="8" t="s">
        <v>56</v>
      </c>
      <c r="F16" s="12">
        <v>28</v>
      </c>
      <c r="G16" s="8" t="s">
        <v>52</v>
      </c>
      <c r="H16" s="12"/>
      <c r="J16" t="s">
        <v>46</v>
      </c>
      <c r="N16" s="12"/>
      <c r="O16" s="8"/>
      <c r="P16">
        <v>1</v>
      </c>
      <c r="Q16" s="8">
        <v>1</v>
      </c>
      <c r="R16" s="12">
        <v>2</v>
      </c>
      <c r="S16" s="8">
        <v>2</v>
      </c>
      <c r="T16" s="12"/>
      <c r="U16" s="8"/>
      <c r="V16" s="2">
        <v>45658</v>
      </c>
      <c r="W16" s="2">
        <v>1</v>
      </c>
      <c r="X16" s="2"/>
      <c r="Y16" s="2">
        <v>45791</v>
      </c>
      <c r="Z16" s="2"/>
      <c r="AA16" t="s">
        <v>89</v>
      </c>
      <c r="AB16" s="2"/>
      <c r="AC16" s="2">
        <v>45777</v>
      </c>
      <c r="AD16" s="47">
        <f>IF(_tbl_odoo_datos2[[#This Row],[Finf2]]="",0,1)</f>
        <v>0</v>
      </c>
      <c r="AE16" s="47">
        <f>IF(_tbl_odoo_datos2[[#This Row],[FGer2]]="",0,1)</f>
        <v>1</v>
      </c>
      <c r="AF16" s="2">
        <f>IF(_tbl_odoo_datos2[[#This Row],[Finf2]]="",_tbl_odoo_datos2[[#This Row],[FGer2]],_tbl_odoo_datos2[[#This Row],[Finf2]])</f>
        <v>45777</v>
      </c>
    </row>
    <row r="17" spans="1:32" x14ac:dyDescent="0.25">
      <c r="A17" s="12" t="s">
        <v>446</v>
      </c>
      <c r="B17" s="12">
        <v>300</v>
      </c>
      <c r="C17" t="s">
        <v>90</v>
      </c>
      <c r="D17">
        <v>293171</v>
      </c>
      <c r="E17" s="8" t="s">
        <v>91</v>
      </c>
      <c r="F17" s="12">
        <v>21</v>
      </c>
      <c r="G17" s="8" t="s">
        <v>69</v>
      </c>
      <c r="H17" s="12">
        <v>195</v>
      </c>
      <c r="I17" t="s">
        <v>78</v>
      </c>
      <c r="J17" t="s">
        <v>46</v>
      </c>
      <c r="K17" t="b">
        <v>1</v>
      </c>
      <c r="N17" s="12"/>
      <c r="O17" s="8"/>
      <c r="P17">
        <v>1</v>
      </c>
      <c r="Q17" s="8">
        <v>1</v>
      </c>
      <c r="R17" s="12">
        <v>2</v>
      </c>
      <c r="S17" s="8">
        <v>2</v>
      </c>
      <c r="T17" s="12"/>
      <c r="U17" s="8"/>
      <c r="V17" s="2">
        <v>45658</v>
      </c>
      <c r="W17" s="2">
        <v>1</v>
      </c>
      <c r="X17" s="2"/>
      <c r="Y17" s="2">
        <v>45726</v>
      </c>
      <c r="Z17" s="2"/>
      <c r="AA17" t="s">
        <v>92</v>
      </c>
      <c r="AB17" s="2"/>
      <c r="AC17" s="2">
        <v>45716</v>
      </c>
      <c r="AD17" s="47">
        <f>IF(_tbl_odoo_datos2[[#This Row],[Finf2]]="",0,1)</f>
        <v>0</v>
      </c>
      <c r="AE17" s="47">
        <f>IF(_tbl_odoo_datos2[[#This Row],[FGer2]]="",0,1)</f>
        <v>1</v>
      </c>
      <c r="AF17" s="2">
        <f>IF(_tbl_odoo_datos2[[#This Row],[Finf2]]="",_tbl_odoo_datos2[[#This Row],[FGer2]],_tbl_odoo_datos2[[#This Row],[Finf2]])</f>
        <v>45716</v>
      </c>
    </row>
    <row r="18" spans="1:32" x14ac:dyDescent="0.25">
      <c r="A18" s="12" t="s">
        <v>446</v>
      </c>
      <c r="B18" s="12">
        <v>305</v>
      </c>
      <c r="C18" t="s">
        <v>93</v>
      </c>
      <c r="D18">
        <v>247795</v>
      </c>
      <c r="E18" s="8" t="s">
        <v>56</v>
      </c>
      <c r="F18" s="12">
        <v>28</v>
      </c>
      <c r="G18" s="8" t="s">
        <v>52</v>
      </c>
      <c r="H18" s="12">
        <v>195</v>
      </c>
      <c r="I18" t="s">
        <v>78</v>
      </c>
      <c r="J18" t="s">
        <v>46</v>
      </c>
      <c r="N18" s="12"/>
      <c r="O18" s="8"/>
      <c r="P18">
        <v>1</v>
      </c>
      <c r="Q18" s="8">
        <v>1</v>
      </c>
      <c r="R18" s="12">
        <v>1</v>
      </c>
      <c r="S18" s="8">
        <v>1</v>
      </c>
      <c r="T18" s="12"/>
      <c r="U18" s="8"/>
      <c r="V18" s="2">
        <v>45658</v>
      </c>
      <c r="W18" s="2">
        <v>1</v>
      </c>
      <c r="X18" s="2"/>
      <c r="Y18" s="2">
        <v>45757</v>
      </c>
      <c r="Z18" s="2"/>
      <c r="AA18" t="s">
        <v>94</v>
      </c>
      <c r="AB18" s="2"/>
      <c r="AC18" s="2">
        <v>45747</v>
      </c>
      <c r="AD18" s="47">
        <f>IF(_tbl_odoo_datos2[[#This Row],[Finf2]]="",0,1)</f>
        <v>0</v>
      </c>
      <c r="AE18" s="47">
        <f>IF(_tbl_odoo_datos2[[#This Row],[FGer2]]="",0,1)</f>
        <v>1</v>
      </c>
      <c r="AF18" s="2">
        <f>IF(_tbl_odoo_datos2[[#This Row],[Finf2]]="",_tbl_odoo_datos2[[#This Row],[FGer2]],_tbl_odoo_datos2[[#This Row],[Finf2]])</f>
        <v>45747</v>
      </c>
    </row>
    <row r="19" spans="1:32" x14ac:dyDescent="0.25">
      <c r="A19" s="12" t="s">
        <v>446</v>
      </c>
      <c r="B19" s="12">
        <v>309</v>
      </c>
      <c r="C19" t="s">
        <v>95</v>
      </c>
      <c r="D19">
        <v>247795</v>
      </c>
      <c r="E19" s="8" t="s">
        <v>56</v>
      </c>
      <c r="F19" s="12">
        <v>21</v>
      </c>
      <c r="G19" s="8" t="s">
        <v>69</v>
      </c>
      <c r="H19" s="12"/>
      <c r="J19" t="s">
        <v>46</v>
      </c>
      <c r="N19" s="12"/>
      <c r="O19" s="8"/>
      <c r="P19">
        <v>1</v>
      </c>
      <c r="Q19" s="8">
        <v>1</v>
      </c>
      <c r="R19" s="12">
        <v>1</v>
      </c>
      <c r="S19" s="8">
        <v>1</v>
      </c>
      <c r="T19" s="12"/>
      <c r="U19" s="8"/>
      <c r="V19" s="2">
        <v>45658</v>
      </c>
      <c r="W19" s="2">
        <v>1</v>
      </c>
      <c r="X19" s="2"/>
      <c r="Y19" s="2">
        <v>45688</v>
      </c>
      <c r="Z19" s="2"/>
      <c r="AA19" t="s">
        <v>96</v>
      </c>
      <c r="AB19" s="2"/>
      <c r="AC19" s="2">
        <v>45657</v>
      </c>
      <c r="AD19" s="47">
        <f>IF(_tbl_odoo_datos2[[#This Row],[Finf2]]="",0,1)</f>
        <v>0</v>
      </c>
      <c r="AE19" s="47">
        <f>IF(_tbl_odoo_datos2[[#This Row],[FGer2]]="",0,1)</f>
        <v>1</v>
      </c>
      <c r="AF19" s="2">
        <f>IF(_tbl_odoo_datos2[[#This Row],[Finf2]]="",_tbl_odoo_datos2[[#This Row],[FGer2]],_tbl_odoo_datos2[[#This Row],[Finf2]])</f>
        <v>45657</v>
      </c>
    </row>
    <row r="20" spans="1:32" x14ac:dyDescent="0.25">
      <c r="A20" s="12" t="s">
        <v>446</v>
      </c>
      <c r="B20" s="12">
        <v>312</v>
      </c>
      <c r="C20" t="s">
        <v>97</v>
      </c>
      <c r="D20">
        <v>247807</v>
      </c>
      <c r="E20" s="8" t="s">
        <v>98</v>
      </c>
      <c r="F20" s="12">
        <v>28</v>
      </c>
      <c r="G20" s="8" t="s">
        <v>52</v>
      </c>
      <c r="H20" s="12"/>
      <c r="J20" t="s">
        <v>46</v>
      </c>
      <c r="K20" t="b">
        <v>1</v>
      </c>
      <c r="N20" s="12"/>
      <c r="O20" s="8"/>
      <c r="P20">
        <v>2</v>
      </c>
      <c r="Q20" s="8">
        <v>2</v>
      </c>
      <c r="R20" s="12">
        <v>2</v>
      </c>
      <c r="S20" s="8">
        <v>2</v>
      </c>
      <c r="T20" s="12"/>
      <c r="U20" s="8"/>
      <c r="V20" s="2">
        <v>45658</v>
      </c>
      <c r="W20" s="2">
        <v>1</v>
      </c>
      <c r="X20" s="2"/>
      <c r="Y20" s="2">
        <v>45791</v>
      </c>
      <c r="Z20" s="2"/>
      <c r="AA20" t="s">
        <v>99</v>
      </c>
      <c r="AB20" s="2"/>
      <c r="AC20" s="2">
        <v>45777</v>
      </c>
      <c r="AD20" s="47">
        <f>IF(_tbl_odoo_datos2[[#This Row],[Finf2]]="",0,1)</f>
        <v>0</v>
      </c>
      <c r="AE20" s="47">
        <f>IF(_tbl_odoo_datos2[[#This Row],[FGer2]]="",0,1)</f>
        <v>1</v>
      </c>
      <c r="AF20" s="2">
        <f>IF(_tbl_odoo_datos2[[#This Row],[Finf2]]="",_tbl_odoo_datos2[[#This Row],[FGer2]],_tbl_odoo_datos2[[#This Row],[Finf2]])</f>
        <v>45777</v>
      </c>
    </row>
    <row r="21" spans="1:32" x14ac:dyDescent="0.25">
      <c r="A21" s="12" t="s">
        <v>446</v>
      </c>
      <c r="B21" s="12">
        <v>313</v>
      </c>
      <c r="C21" t="s">
        <v>428</v>
      </c>
      <c r="E21" s="8"/>
      <c r="F21" s="12">
        <v>28</v>
      </c>
      <c r="G21" s="8" t="s">
        <v>52</v>
      </c>
      <c r="H21" s="12">
        <v>3199</v>
      </c>
      <c r="I21" t="s">
        <v>104</v>
      </c>
      <c r="J21" t="s">
        <v>46</v>
      </c>
      <c r="N21" s="12"/>
      <c r="O21" s="8"/>
      <c r="P21">
        <v>1</v>
      </c>
      <c r="Q21" s="8">
        <v>1</v>
      </c>
      <c r="R21" s="12">
        <v>1</v>
      </c>
      <c r="S21" s="8">
        <v>1</v>
      </c>
      <c r="T21" s="12"/>
      <c r="U21" s="8"/>
      <c r="V21" s="2">
        <v>45658</v>
      </c>
      <c r="W21" s="2">
        <v>1</v>
      </c>
      <c r="X21" s="2"/>
      <c r="Y21" s="2">
        <v>45757</v>
      </c>
      <c r="Z21" s="2"/>
      <c r="AB21" s="2"/>
      <c r="AC21" s="2">
        <v>45747</v>
      </c>
      <c r="AD21" s="47">
        <f>IF(_tbl_odoo_datos2[[#This Row],[Finf2]]="",0,1)</f>
        <v>0</v>
      </c>
      <c r="AE21" s="47">
        <f>IF(_tbl_odoo_datos2[[#This Row],[FGer2]]="",0,1)</f>
        <v>1</v>
      </c>
      <c r="AF21" s="2">
        <f>IF(_tbl_odoo_datos2[[#This Row],[Finf2]]="",_tbl_odoo_datos2[[#This Row],[FGer2]],_tbl_odoo_datos2[[#This Row],[Finf2]])</f>
        <v>45747</v>
      </c>
    </row>
    <row r="22" spans="1:32" x14ac:dyDescent="0.25">
      <c r="A22" s="12" t="s">
        <v>446</v>
      </c>
      <c r="B22" s="12">
        <v>314</v>
      </c>
      <c r="C22" t="s">
        <v>100</v>
      </c>
      <c r="D22">
        <v>247857</v>
      </c>
      <c r="E22" s="8" t="s">
        <v>62</v>
      </c>
      <c r="F22" s="12">
        <v>28</v>
      </c>
      <c r="G22" s="8" t="s">
        <v>52</v>
      </c>
      <c r="H22" s="12"/>
      <c r="J22" t="s">
        <v>46</v>
      </c>
      <c r="N22" s="12"/>
      <c r="O22" s="8"/>
      <c r="P22">
        <v>2</v>
      </c>
      <c r="Q22" s="8">
        <v>2</v>
      </c>
      <c r="R22" s="12">
        <v>2</v>
      </c>
      <c r="S22" s="8">
        <v>2</v>
      </c>
      <c r="T22" s="12"/>
      <c r="U22" s="8"/>
      <c r="V22" s="2">
        <v>45658</v>
      </c>
      <c r="W22" s="2">
        <v>1</v>
      </c>
      <c r="X22" s="2"/>
      <c r="Y22" s="2">
        <v>45726</v>
      </c>
      <c r="Z22" s="2"/>
      <c r="AA22" t="s">
        <v>101</v>
      </c>
      <c r="AB22" s="2"/>
      <c r="AC22" s="2">
        <v>45716</v>
      </c>
      <c r="AD22" s="47">
        <f>IF(_tbl_odoo_datos2[[#This Row],[Finf2]]="",0,1)</f>
        <v>0</v>
      </c>
      <c r="AE22" s="47">
        <f>IF(_tbl_odoo_datos2[[#This Row],[FGer2]]="",0,1)</f>
        <v>1</v>
      </c>
      <c r="AF22" s="2">
        <f>IF(_tbl_odoo_datos2[[#This Row],[Finf2]]="",_tbl_odoo_datos2[[#This Row],[FGer2]],_tbl_odoo_datos2[[#This Row],[Finf2]])</f>
        <v>45716</v>
      </c>
    </row>
    <row r="23" spans="1:32" x14ac:dyDescent="0.25">
      <c r="A23" s="12" t="s">
        <v>446</v>
      </c>
      <c r="B23" s="12">
        <v>315</v>
      </c>
      <c r="C23" t="s">
        <v>102</v>
      </c>
      <c r="D23">
        <v>247651</v>
      </c>
      <c r="E23" s="8" t="s">
        <v>103</v>
      </c>
      <c r="F23" s="12">
        <v>21</v>
      </c>
      <c r="G23" s="8" t="s">
        <v>69</v>
      </c>
      <c r="H23" s="12">
        <v>3199</v>
      </c>
      <c r="I23" t="s">
        <v>104</v>
      </c>
      <c r="J23" t="s">
        <v>46</v>
      </c>
      <c r="N23" s="12"/>
      <c r="O23" s="8"/>
      <c r="P23">
        <v>1</v>
      </c>
      <c r="Q23" s="8">
        <v>1</v>
      </c>
      <c r="R23" s="12">
        <v>3</v>
      </c>
      <c r="S23" s="8">
        <v>3</v>
      </c>
      <c r="T23" s="12"/>
      <c r="U23" s="8"/>
      <c r="V23" s="2">
        <v>45658</v>
      </c>
      <c r="W23" s="2">
        <v>1</v>
      </c>
      <c r="X23" s="2"/>
      <c r="Y23" s="2">
        <v>45726</v>
      </c>
      <c r="Z23" s="2"/>
      <c r="AA23" t="s">
        <v>105</v>
      </c>
      <c r="AB23" s="2"/>
      <c r="AC23" s="2">
        <v>45716</v>
      </c>
      <c r="AD23" s="47">
        <f>IF(_tbl_odoo_datos2[[#This Row],[Finf2]]="",0,1)</f>
        <v>0</v>
      </c>
      <c r="AE23" s="47">
        <f>IF(_tbl_odoo_datos2[[#This Row],[FGer2]]="",0,1)</f>
        <v>1</v>
      </c>
      <c r="AF23" s="2">
        <f>IF(_tbl_odoo_datos2[[#This Row],[Finf2]]="",_tbl_odoo_datos2[[#This Row],[FGer2]],_tbl_odoo_datos2[[#This Row],[Finf2]])</f>
        <v>45716</v>
      </c>
    </row>
    <row r="24" spans="1:32" x14ac:dyDescent="0.25">
      <c r="A24" s="12" t="s">
        <v>446</v>
      </c>
      <c r="B24" s="12">
        <v>316</v>
      </c>
      <c r="C24" t="s">
        <v>106</v>
      </c>
      <c r="D24">
        <v>247770</v>
      </c>
      <c r="E24" s="8" t="s">
        <v>107</v>
      </c>
      <c r="F24" s="12">
        <v>28</v>
      </c>
      <c r="G24" s="8" t="s">
        <v>52</v>
      </c>
      <c r="H24" s="12"/>
      <c r="J24" t="s">
        <v>46</v>
      </c>
      <c r="N24" s="12"/>
      <c r="O24" s="8"/>
      <c r="P24">
        <v>2</v>
      </c>
      <c r="Q24" s="8">
        <v>2</v>
      </c>
      <c r="R24" s="12">
        <v>2</v>
      </c>
      <c r="S24" s="8">
        <v>2</v>
      </c>
      <c r="T24" s="12"/>
      <c r="U24" s="8"/>
      <c r="V24" s="2">
        <v>45658</v>
      </c>
      <c r="W24" s="2">
        <v>1</v>
      </c>
      <c r="X24" s="2"/>
      <c r="Y24" s="2">
        <v>45726</v>
      </c>
      <c r="Z24" s="2"/>
      <c r="AA24" t="s">
        <v>108</v>
      </c>
      <c r="AB24" s="2"/>
      <c r="AC24" s="2">
        <v>45716</v>
      </c>
      <c r="AD24" s="47">
        <f>IF(_tbl_odoo_datos2[[#This Row],[Finf2]]="",0,1)</f>
        <v>0</v>
      </c>
      <c r="AE24" s="47">
        <f>IF(_tbl_odoo_datos2[[#This Row],[FGer2]]="",0,1)</f>
        <v>1</v>
      </c>
      <c r="AF24" s="2">
        <f>IF(_tbl_odoo_datos2[[#This Row],[Finf2]]="",_tbl_odoo_datos2[[#This Row],[FGer2]],_tbl_odoo_datos2[[#This Row],[Finf2]])</f>
        <v>45716</v>
      </c>
    </row>
    <row r="25" spans="1:32" x14ac:dyDescent="0.25">
      <c r="A25" s="12" t="s">
        <v>446</v>
      </c>
      <c r="B25" s="12">
        <v>318</v>
      </c>
      <c r="C25" t="s">
        <v>109</v>
      </c>
      <c r="D25">
        <v>247068</v>
      </c>
      <c r="E25" s="8" t="s">
        <v>110</v>
      </c>
      <c r="F25" s="12">
        <v>28</v>
      </c>
      <c r="G25" s="8" t="s">
        <v>52</v>
      </c>
      <c r="H25" s="12"/>
      <c r="J25" t="s">
        <v>46</v>
      </c>
      <c r="N25" s="12"/>
      <c r="O25" s="8"/>
      <c r="P25">
        <v>2</v>
      </c>
      <c r="Q25" s="8">
        <v>2</v>
      </c>
      <c r="R25" s="12">
        <v>2</v>
      </c>
      <c r="S25" s="8">
        <v>2</v>
      </c>
      <c r="T25" s="12"/>
      <c r="U25" s="8"/>
      <c r="V25" s="2">
        <v>45659</v>
      </c>
      <c r="W25" s="2">
        <v>1</v>
      </c>
      <c r="X25" s="2"/>
      <c r="Y25" s="2">
        <v>45712</v>
      </c>
      <c r="Z25" s="2"/>
      <c r="AA25" t="s">
        <v>111</v>
      </c>
      <c r="AB25" s="2"/>
      <c r="AC25" s="2">
        <v>45688</v>
      </c>
      <c r="AD25" s="47">
        <f>IF(_tbl_odoo_datos2[[#This Row],[Finf2]]="",0,1)</f>
        <v>0</v>
      </c>
      <c r="AE25" s="47">
        <f>IF(_tbl_odoo_datos2[[#This Row],[FGer2]]="",0,1)</f>
        <v>1</v>
      </c>
      <c r="AF25" s="2">
        <f>IF(_tbl_odoo_datos2[[#This Row],[Finf2]]="",_tbl_odoo_datos2[[#This Row],[FGer2]],_tbl_odoo_datos2[[#This Row],[Finf2]])</f>
        <v>45688</v>
      </c>
    </row>
    <row r="26" spans="1:32" x14ac:dyDescent="0.25">
      <c r="A26" s="12" t="s">
        <v>446</v>
      </c>
      <c r="B26" s="12">
        <v>320</v>
      </c>
      <c r="C26" t="s">
        <v>112</v>
      </c>
      <c r="D26">
        <v>247556</v>
      </c>
      <c r="E26" s="8" t="s">
        <v>59</v>
      </c>
      <c r="F26" s="12">
        <v>28</v>
      </c>
      <c r="G26" s="8" t="s">
        <v>52</v>
      </c>
      <c r="H26" s="12"/>
      <c r="J26" t="s">
        <v>46</v>
      </c>
      <c r="N26" s="12"/>
      <c r="O26" s="8"/>
      <c r="P26">
        <v>3</v>
      </c>
      <c r="Q26" s="8">
        <v>3</v>
      </c>
      <c r="R26" s="12">
        <v>3</v>
      </c>
      <c r="S26" s="8">
        <v>3</v>
      </c>
      <c r="T26" s="12"/>
      <c r="U26" s="8"/>
      <c r="V26" s="2">
        <v>45658</v>
      </c>
      <c r="W26" s="2">
        <v>1</v>
      </c>
      <c r="X26" s="2"/>
      <c r="Y26" s="2">
        <v>45761</v>
      </c>
      <c r="Z26" s="2"/>
      <c r="AA26" t="s">
        <v>113</v>
      </c>
      <c r="AB26" s="2"/>
      <c r="AC26" s="2">
        <v>45747</v>
      </c>
      <c r="AD26" s="47">
        <f>IF(_tbl_odoo_datos2[[#This Row],[Finf2]]="",0,1)</f>
        <v>0</v>
      </c>
      <c r="AE26" s="47">
        <f>IF(_tbl_odoo_datos2[[#This Row],[FGer2]]="",0,1)</f>
        <v>1</v>
      </c>
      <c r="AF26" s="2">
        <f>IF(_tbl_odoo_datos2[[#This Row],[Finf2]]="",_tbl_odoo_datos2[[#This Row],[FGer2]],_tbl_odoo_datos2[[#This Row],[Finf2]])</f>
        <v>45747</v>
      </c>
    </row>
    <row r="27" spans="1:32" x14ac:dyDescent="0.25">
      <c r="A27" s="12" t="s">
        <v>446</v>
      </c>
      <c r="B27" s="12">
        <v>322</v>
      </c>
      <c r="C27" t="s">
        <v>114</v>
      </c>
      <c r="D27">
        <v>247857</v>
      </c>
      <c r="E27" s="8" t="s">
        <v>62</v>
      </c>
      <c r="F27" s="12">
        <v>28</v>
      </c>
      <c r="G27" s="8" t="s">
        <v>52</v>
      </c>
      <c r="H27" s="12"/>
      <c r="J27" t="s">
        <v>46</v>
      </c>
      <c r="N27" s="12"/>
      <c r="O27" s="8"/>
      <c r="P27">
        <v>3</v>
      </c>
      <c r="Q27" s="8">
        <v>3</v>
      </c>
      <c r="R27" s="12">
        <v>1</v>
      </c>
      <c r="S27" s="8">
        <v>1</v>
      </c>
      <c r="T27" s="12"/>
      <c r="U27" s="8"/>
      <c r="V27" s="2">
        <v>45658</v>
      </c>
      <c r="W27" s="2">
        <v>1</v>
      </c>
      <c r="X27" s="2"/>
      <c r="Y27" s="2">
        <v>45761</v>
      </c>
      <c r="Z27" s="2"/>
      <c r="AA27" t="s">
        <v>115</v>
      </c>
      <c r="AB27" s="2"/>
      <c r="AC27" s="2">
        <v>45747</v>
      </c>
      <c r="AD27" s="47">
        <f>IF(_tbl_odoo_datos2[[#This Row],[Finf2]]="",0,1)</f>
        <v>0</v>
      </c>
      <c r="AE27" s="47">
        <f>IF(_tbl_odoo_datos2[[#This Row],[FGer2]]="",0,1)</f>
        <v>1</v>
      </c>
      <c r="AF27" s="2">
        <f>IF(_tbl_odoo_datos2[[#This Row],[Finf2]]="",_tbl_odoo_datos2[[#This Row],[FGer2]],_tbl_odoo_datos2[[#This Row],[Finf2]])</f>
        <v>45747</v>
      </c>
    </row>
    <row r="28" spans="1:32" x14ac:dyDescent="0.25">
      <c r="A28" s="12" t="s">
        <v>446</v>
      </c>
      <c r="B28" s="12">
        <v>323</v>
      </c>
      <c r="C28" t="s">
        <v>116</v>
      </c>
      <c r="D28">
        <v>247722</v>
      </c>
      <c r="E28" s="8" t="s">
        <v>117</v>
      </c>
      <c r="F28" s="12">
        <v>28</v>
      </c>
      <c r="G28" s="8" t="s">
        <v>52</v>
      </c>
      <c r="H28" s="12">
        <v>2767</v>
      </c>
      <c r="I28" t="s">
        <v>118</v>
      </c>
      <c r="J28" t="s">
        <v>46</v>
      </c>
      <c r="N28" s="12"/>
      <c r="O28" s="8"/>
      <c r="P28">
        <v>1</v>
      </c>
      <c r="Q28" s="8">
        <v>1</v>
      </c>
      <c r="R28" s="12">
        <v>3</v>
      </c>
      <c r="S28" s="8">
        <v>3</v>
      </c>
      <c r="T28" s="12"/>
      <c r="U28" s="8"/>
      <c r="V28" s="2">
        <v>45658</v>
      </c>
      <c r="W28" s="2">
        <v>1</v>
      </c>
      <c r="X28" s="2"/>
      <c r="Y28" s="2">
        <v>45775</v>
      </c>
      <c r="Z28" s="2"/>
      <c r="AA28" t="s">
        <v>119</v>
      </c>
      <c r="AB28" s="2"/>
      <c r="AC28" s="2">
        <v>45747</v>
      </c>
      <c r="AD28" s="47">
        <f>IF(_tbl_odoo_datos2[[#This Row],[Finf2]]="",0,1)</f>
        <v>0</v>
      </c>
      <c r="AE28" s="47">
        <f>IF(_tbl_odoo_datos2[[#This Row],[FGer2]]="",0,1)</f>
        <v>1</v>
      </c>
      <c r="AF28" s="2">
        <f>IF(_tbl_odoo_datos2[[#This Row],[Finf2]]="",_tbl_odoo_datos2[[#This Row],[FGer2]],_tbl_odoo_datos2[[#This Row],[Finf2]])</f>
        <v>45747</v>
      </c>
    </row>
    <row r="29" spans="1:32" x14ac:dyDescent="0.25">
      <c r="A29" s="12" t="s">
        <v>446</v>
      </c>
      <c r="B29" s="12">
        <v>324</v>
      </c>
      <c r="C29" t="s">
        <v>120</v>
      </c>
      <c r="D29">
        <v>247374</v>
      </c>
      <c r="E29" s="8" t="s">
        <v>121</v>
      </c>
      <c r="F29" s="12">
        <v>28</v>
      </c>
      <c r="G29" s="8" t="s">
        <v>52</v>
      </c>
      <c r="H29" s="12"/>
      <c r="J29" t="s">
        <v>46</v>
      </c>
      <c r="N29" s="12"/>
      <c r="O29" s="8"/>
      <c r="P29">
        <v>2</v>
      </c>
      <c r="Q29" s="8">
        <v>2</v>
      </c>
      <c r="R29" s="12">
        <v>2</v>
      </c>
      <c r="S29" s="8">
        <v>2</v>
      </c>
      <c r="T29" s="12"/>
      <c r="U29" s="8"/>
      <c r="V29" s="2">
        <v>45658</v>
      </c>
      <c r="W29" s="2">
        <v>1</v>
      </c>
      <c r="X29" s="2"/>
      <c r="Y29" s="2">
        <v>45791</v>
      </c>
      <c r="Z29" s="2"/>
      <c r="AA29" t="s">
        <v>122</v>
      </c>
      <c r="AB29" s="2"/>
      <c r="AC29" s="2">
        <v>45777</v>
      </c>
      <c r="AD29" s="47">
        <f>IF(_tbl_odoo_datos2[[#This Row],[Finf2]]="",0,1)</f>
        <v>0</v>
      </c>
      <c r="AE29" s="47">
        <f>IF(_tbl_odoo_datos2[[#This Row],[FGer2]]="",0,1)</f>
        <v>1</v>
      </c>
      <c r="AF29" s="2">
        <f>IF(_tbl_odoo_datos2[[#This Row],[Finf2]]="",_tbl_odoo_datos2[[#This Row],[FGer2]],_tbl_odoo_datos2[[#This Row],[Finf2]])</f>
        <v>45777</v>
      </c>
    </row>
    <row r="30" spans="1:32" x14ac:dyDescent="0.25">
      <c r="A30" s="12" t="s">
        <v>446</v>
      </c>
      <c r="B30" s="12">
        <v>326</v>
      </c>
      <c r="C30" t="s">
        <v>123</v>
      </c>
      <c r="D30">
        <v>247828</v>
      </c>
      <c r="E30" s="8" t="s">
        <v>43</v>
      </c>
      <c r="F30" s="12">
        <v>28</v>
      </c>
      <c r="G30" s="8" t="s">
        <v>52</v>
      </c>
      <c r="H30" s="12"/>
      <c r="J30" t="s">
        <v>46</v>
      </c>
      <c r="N30" s="12"/>
      <c r="O30" s="8"/>
      <c r="P30">
        <v>2</v>
      </c>
      <c r="Q30" s="8">
        <v>2</v>
      </c>
      <c r="R30" s="12">
        <v>2</v>
      </c>
      <c r="S30" s="8">
        <v>2</v>
      </c>
      <c r="T30" s="12"/>
      <c r="U30" s="8"/>
      <c r="V30" s="2">
        <v>45658</v>
      </c>
      <c r="W30" s="2">
        <v>1</v>
      </c>
      <c r="X30" s="2"/>
      <c r="Y30" s="2">
        <v>45761</v>
      </c>
      <c r="Z30" s="2"/>
      <c r="AA30" t="s">
        <v>124</v>
      </c>
      <c r="AB30" s="2"/>
      <c r="AC30" s="2">
        <v>45747</v>
      </c>
      <c r="AD30" s="47">
        <f>IF(_tbl_odoo_datos2[[#This Row],[Finf2]]="",0,1)</f>
        <v>0</v>
      </c>
      <c r="AE30" s="47">
        <f>IF(_tbl_odoo_datos2[[#This Row],[FGer2]]="",0,1)</f>
        <v>1</v>
      </c>
      <c r="AF30" s="2">
        <f>IF(_tbl_odoo_datos2[[#This Row],[Finf2]]="",_tbl_odoo_datos2[[#This Row],[FGer2]],_tbl_odoo_datos2[[#This Row],[Finf2]])</f>
        <v>45747</v>
      </c>
    </row>
    <row r="31" spans="1:32" x14ac:dyDescent="0.25">
      <c r="A31" s="12" t="s">
        <v>446</v>
      </c>
      <c r="B31" s="12">
        <v>331</v>
      </c>
      <c r="C31" t="s">
        <v>125</v>
      </c>
      <c r="D31">
        <v>289092</v>
      </c>
      <c r="E31" s="8" t="s">
        <v>126</v>
      </c>
      <c r="F31" s="12">
        <v>21</v>
      </c>
      <c r="G31" s="8" t="s">
        <v>69</v>
      </c>
      <c r="H31" s="12">
        <v>3203</v>
      </c>
      <c r="I31" t="s">
        <v>127</v>
      </c>
      <c r="J31" t="s">
        <v>46</v>
      </c>
      <c r="K31" t="b">
        <v>1</v>
      </c>
      <c r="N31" s="12"/>
      <c r="O31" s="8"/>
      <c r="P31">
        <v>1</v>
      </c>
      <c r="Q31" s="8">
        <v>1</v>
      </c>
      <c r="R31" s="12">
        <v>1</v>
      </c>
      <c r="S31" s="8">
        <v>1</v>
      </c>
      <c r="T31" s="12"/>
      <c r="U31" s="8"/>
      <c r="V31" s="2">
        <v>45658</v>
      </c>
      <c r="W31" s="2">
        <v>1</v>
      </c>
      <c r="X31" s="2"/>
      <c r="Y31" s="2">
        <v>45761</v>
      </c>
      <c r="Z31" s="2"/>
      <c r="AA31" t="s">
        <v>128</v>
      </c>
      <c r="AB31" s="2"/>
      <c r="AC31" s="2">
        <v>45747</v>
      </c>
      <c r="AD31" s="47">
        <f>IF(_tbl_odoo_datos2[[#This Row],[Finf2]]="",0,1)</f>
        <v>0</v>
      </c>
      <c r="AE31" s="47">
        <f>IF(_tbl_odoo_datos2[[#This Row],[FGer2]]="",0,1)</f>
        <v>1</v>
      </c>
      <c r="AF31" s="2">
        <f>IF(_tbl_odoo_datos2[[#This Row],[Finf2]]="",_tbl_odoo_datos2[[#This Row],[FGer2]],_tbl_odoo_datos2[[#This Row],[Finf2]])</f>
        <v>45747</v>
      </c>
    </row>
    <row r="32" spans="1:32" x14ac:dyDescent="0.25">
      <c r="A32" s="12" t="s">
        <v>446</v>
      </c>
      <c r="B32" s="12">
        <v>337</v>
      </c>
      <c r="C32" t="s">
        <v>129</v>
      </c>
      <c r="D32">
        <v>289092</v>
      </c>
      <c r="E32" s="8" t="s">
        <v>126</v>
      </c>
      <c r="F32" s="12">
        <v>21</v>
      </c>
      <c r="G32" s="8" t="s">
        <v>69</v>
      </c>
      <c r="H32" s="12">
        <v>3203</v>
      </c>
      <c r="I32" t="s">
        <v>127</v>
      </c>
      <c r="J32" t="s">
        <v>46</v>
      </c>
      <c r="K32" t="b">
        <v>1</v>
      </c>
      <c r="N32" s="12"/>
      <c r="O32" s="8"/>
      <c r="P32">
        <v>1</v>
      </c>
      <c r="Q32" s="8">
        <v>1</v>
      </c>
      <c r="R32" s="12">
        <v>1</v>
      </c>
      <c r="S32" s="8">
        <v>1</v>
      </c>
      <c r="T32" s="12"/>
      <c r="U32" s="8"/>
      <c r="V32" s="2">
        <v>45658</v>
      </c>
      <c r="W32" s="2">
        <v>1</v>
      </c>
      <c r="X32" s="2"/>
      <c r="Y32" s="2">
        <v>45740</v>
      </c>
      <c r="Z32" s="2"/>
      <c r="AA32" t="s">
        <v>130</v>
      </c>
      <c r="AB32" s="2"/>
      <c r="AC32" s="2">
        <v>45716</v>
      </c>
      <c r="AD32" s="47">
        <f>IF(_tbl_odoo_datos2[[#This Row],[Finf2]]="",0,1)</f>
        <v>0</v>
      </c>
      <c r="AE32" s="47">
        <f>IF(_tbl_odoo_datos2[[#This Row],[FGer2]]="",0,1)</f>
        <v>1</v>
      </c>
      <c r="AF32" s="2">
        <f>IF(_tbl_odoo_datos2[[#This Row],[Finf2]]="",_tbl_odoo_datos2[[#This Row],[FGer2]],_tbl_odoo_datos2[[#This Row],[Finf2]])</f>
        <v>45716</v>
      </c>
    </row>
    <row r="33" spans="1:32" x14ac:dyDescent="0.25">
      <c r="A33" s="12" t="s">
        <v>446</v>
      </c>
      <c r="B33" s="12">
        <v>341</v>
      </c>
      <c r="C33" t="s">
        <v>131</v>
      </c>
      <c r="D33">
        <v>247904</v>
      </c>
      <c r="E33" s="8" t="s">
        <v>132</v>
      </c>
      <c r="F33" s="12">
        <v>28</v>
      </c>
      <c r="G33" s="8" t="s">
        <v>52</v>
      </c>
      <c r="H33" s="12">
        <v>312</v>
      </c>
      <c r="I33" t="s">
        <v>133</v>
      </c>
      <c r="J33" t="s">
        <v>46</v>
      </c>
      <c r="N33" s="12"/>
      <c r="O33" s="8"/>
      <c r="P33">
        <v>1</v>
      </c>
      <c r="Q33" s="8">
        <v>1</v>
      </c>
      <c r="R33" s="12">
        <v>1</v>
      </c>
      <c r="S33" s="8">
        <v>1</v>
      </c>
      <c r="T33" s="12"/>
      <c r="U33" s="8"/>
      <c r="V33" s="2">
        <v>45658</v>
      </c>
      <c r="W33" s="2">
        <v>1</v>
      </c>
      <c r="X33" s="2"/>
      <c r="Y33" s="2">
        <v>45869</v>
      </c>
      <c r="Z33" s="2"/>
      <c r="AA33" t="s">
        <v>134</v>
      </c>
      <c r="AB33" s="2"/>
      <c r="AC33" s="2">
        <v>45838</v>
      </c>
      <c r="AD33" s="47">
        <f>IF(_tbl_odoo_datos2[[#This Row],[Finf2]]="",0,1)</f>
        <v>0</v>
      </c>
      <c r="AE33" s="47">
        <f>IF(_tbl_odoo_datos2[[#This Row],[FGer2]]="",0,1)</f>
        <v>1</v>
      </c>
      <c r="AF33" s="2">
        <f>IF(_tbl_odoo_datos2[[#This Row],[Finf2]]="",_tbl_odoo_datos2[[#This Row],[FGer2]],_tbl_odoo_datos2[[#This Row],[Finf2]])</f>
        <v>45838</v>
      </c>
    </row>
    <row r="34" spans="1:32" x14ac:dyDescent="0.25">
      <c r="A34" s="12" t="s">
        <v>446</v>
      </c>
      <c r="B34" s="12">
        <v>343</v>
      </c>
      <c r="C34" t="s">
        <v>135</v>
      </c>
      <c r="D34">
        <v>247885</v>
      </c>
      <c r="E34" s="8" t="s">
        <v>65</v>
      </c>
      <c r="F34" s="12">
        <v>28</v>
      </c>
      <c r="G34" s="8" t="s">
        <v>52</v>
      </c>
      <c r="H34" s="12">
        <v>312</v>
      </c>
      <c r="I34" t="s">
        <v>133</v>
      </c>
      <c r="J34" t="s">
        <v>46</v>
      </c>
      <c r="N34" s="12"/>
      <c r="O34" s="8"/>
      <c r="P34">
        <v>1</v>
      </c>
      <c r="Q34" s="8">
        <v>1</v>
      </c>
      <c r="R34" s="12">
        <v>1</v>
      </c>
      <c r="S34" s="8">
        <v>1</v>
      </c>
      <c r="T34" s="12"/>
      <c r="U34" s="8"/>
      <c r="V34" s="2">
        <v>45658</v>
      </c>
      <c r="W34" s="2">
        <v>1</v>
      </c>
      <c r="X34" s="2"/>
      <c r="Y34" s="2">
        <v>45760</v>
      </c>
      <c r="Z34" s="2"/>
      <c r="AA34" t="s">
        <v>136</v>
      </c>
      <c r="AB34" s="2"/>
      <c r="AC34" s="2">
        <v>45747</v>
      </c>
      <c r="AD34" s="47">
        <f>IF(_tbl_odoo_datos2[[#This Row],[Finf2]]="",0,1)</f>
        <v>0</v>
      </c>
      <c r="AE34" s="47">
        <f>IF(_tbl_odoo_datos2[[#This Row],[FGer2]]="",0,1)</f>
        <v>1</v>
      </c>
      <c r="AF34" s="2">
        <f>IF(_tbl_odoo_datos2[[#This Row],[Finf2]]="",_tbl_odoo_datos2[[#This Row],[FGer2]],_tbl_odoo_datos2[[#This Row],[Finf2]])</f>
        <v>45747</v>
      </c>
    </row>
    <row r="35" spans="1:32" x14ac:dyDescent="0.25">
      <c r="A35" s="12" t="s">
        <v>446</v>
      </c>
      <c r="B35" s="12">
        <v>345</v>
      </c>
      <c r="C35" t="s">
        <v>137</v>
      </c>
      <c r="D35">
        <v>247885</v>
      </c>
      <c r="E35" s="8" t="s">
        <v>65</v>
      </c>
      <c r="F35" s="12">
        <v>28</v>
      </c>
      <c r="G35" s="8" t="s">
        <v>52</v>
      </c>
      <c r="H35" s="12">
        <v>312</v>
      </c>
      <c r="I35" t="s">
        <v>133</v>
      </c>
      <c r="J35" t="s">
        <v>46</v>
      </c>
      <c r="N35" s="12"/>
      <c r="O35" s="8"/>
      <c r="P35">
        <v>1</v>
      </c>
      <c r="Q35" s="8">
        <v>1</v>
      </c>
      <c r="R35" s="12">
        <v>1</v>
      </c>
      <c r="S35" s="8">
        <v>1</v>
      </c>
      <c r="T35" s="12"/>
      <c r="U35" s="8"/>
      <c r="V35" s="2">
        <v>45658</v>
      </c>
      <c r="W35" s="2">
        <v>1</v>
      </c>
      <c r="X35" s="2"/>
      <c r="Y35" s="2">
        <v>45790</v>
      </c>
      <c r="Z35" s="2"/>
      <c r="AA35" t="s">
        <v>138</v>
      </c>
      <c r="AB35" s="2"/>
      <c r="AC35" s="2">
        <v>45777</v>
      </c>
      <c r="AD35" s="47">
        <f>IF(_tbl_odoo_datos2[[#This Row],[Finf2]]="",0,1)</f>
        <v>0</v>
      </c>
      <c r="AE35" s="47">
        <f>IF(_tbl_odoo_datos2[[#This Row],[FGer2]]="",0,1)</f>
        <v>1</v>
      </c>
      <c r="AF35" s="2">
        <f>IF(_tbl_odoo_datos2[[#This Row],[Finf2]]="",_tbl_odoo_datos2[[#This Row],[FGer2]],_tbl_odoo_datos2[[#This Row],[Finf2]])</f>
        <v>45777</v>
      </c>
    </row>
    <row r="36" spans="1:32" x14ac:dyDescent="0.25">
      <c r="A36" s="12" t="s">
        <v>446</v>
      </c>
      <c r="B36" s="12">
        <v>346</v>
      </c>
      <c r="C36" t="s">
        <v>139</v>
      </c>
      <c r="D36">
        <v>247828</v>
      </c>
      <c r="E36" s="8" t="s">
        <v>43</v>
      </c>
      <c r="F36" s="12">
        <v>21</v>
      </c>
      <c r="G36" s="8" t="s">
        <v>69</v>
      </c>
      <c r="H36" s="12">
        <v>3234</v>
      </c>
      <c r="I36" t="s">
        <v>140</v>
      </c>
      <c r="J36" t="s">
        <v>46</v>
      </c>
      <c r="N36" s="12"/>
      <c r="O36" s="8"/>
      <c r="P36">
        <v>1</v>
      </c>
      <c r="Q36" s="8">
        <v>1</v>
      </c>
      <c r="R36" s="12">
        <v>1</v>
      </c>
      <c r="S36" s="8">
        <v>1</v>
      </c>
      <c r="T36" s="12"/>
      <c r="U36" s="8"/>
      <c r="V36" s="2">
        <v>45658</v>
      </c>
      <c r="W36" s="2">
        <v>1</v>
      </c>
      <c r="X36" s="2"/>
      <c r="Y36" s="2">
        <v>45688</v>
      </c>
      <c r="Z36" s="2"/>
      <c r="AA36" t="s">
        <v>141</v>
      </c>
      <c r="AB36" s="2"/>
      <c r="AC36" s="2">
        <v>45657</v>
      </c>
      <c r="AD36" s="47">
        <f>IF(_tbl_odoo_datos2[[#This Row],[Finf2]]="",0,1)</f>
        <v>0</v>
      </c>
      <c r="AE36" s="47">
        <f>IF(_tbl_odoo_datos2[[#This Row],[FGer2]]="",0,1)</f>
        <v>1</v>
      </c>
      <c r="AF36" s="2">
        <f>IF(_tbl_odoo_datos2[[#This Row],[Finf2]]="",_tbl_odoo_datos2[[#This Row],[FGer2]],_tbl_odoo_datos2[[#This Row],[Finf2]])</f>
        <v>45657</v>
      </c>
    </row>
    <row r="37" spans="1:32" x14ac:dyDescent="0.25">
      <c r="A37" s="12" t="s">
        <v>446</v>
      </c>
      <c r="B37" s="12">
        <v>347</v>
      </c>
      <c r="C37" t="s">
        <v>142</v>
      </c>
      <c r="D37">
        <v>247857</v>
      </c>
      <c r="E37" s="8" t="s">
        <v>62</v>
      </c>
      <c r="F37" s="12">
        <v>28</v>
      </c>
      <c r="G37" s="8" t="s">
        <v>52</v>
      </c>
      <c r="H37" s="12">
        <v>3234</v>
      </c>
      <c r="I37" t="s">
        <v>140</v>
      </c>
      <c r="J37" t="s">
        <v>46</v>
      </c>
      <c r="N37" s="12"/>
      <c r="O37" s="8"/>
      <c r="P37">
        <v>3</v>
      </c>
      <c r="Q37" s="8">
        <v>3</v>
      </c>
      <c r="R37" s="12">
        <v>1</v>
      </c>
      <c r="S37" s="8">
        <v>1</v>
      </c>
      <c r="T37" s="12"/>
      <c r="U37" s="8"/>
      <c r="V37" s="2">
        <v>45658</v>
      </c>
      <c r="W37" s="2">
        <v>1</v>
      </c>
      <c r="X37" s="2"/>
      <c r="Y37" s="2">
        <v>45761</v>
      </c>
      <c r="Z37" s="2"/>
      <c r="AA37" t="s">
        <v>143</v>
      </c>
      <c r="AB37" s="2"/>
      <c r="AC37" s="2">
        <v>45747</v>
      </c>
      <c r="AD37" s="47">
        <f>IF(_tbl_odoo_datos2[[#This Row],[Finf2]]="",0,1)</f>
        <v>0</v>
      </c>
      <c r="AE37" s="47">
        <f>IF(_tbl_odoo_datos2[[#This Row],[FGer2]]="",0,1)</f>
        <v>1</v>
      </c>
      <c r="AF37" s="2">
        <f>IF(_tbl_odoo_datos2[[#This Row],[Finf2]]="",_tbl_odoo_datos2[[#This Row],[FGer2]],_tbl_odoo_datos2[[#This Row],[Finf2]])</f>
        <v>45747</v>
      </c>
    </row>
    <row r="38" spans="1:32" x14ac:dyDescent="0.25">
      <c r="A38" s="12" t="s">
        <v>446</v>
      </c>
      <c r="B38" s="12">
        <v>348</v>
      </c>
      <c r="C38" t="s">
        <v>144</v>
      </c>
      <c r="D38">
        <v>247722</v>
      </c>
      <c r="E38" s="8" t="s">
        <v>117</v>
      </c>
      <c r="F38" s="12">
        <v>21</v>
      </c>
      <c r="G38" s="8" t="s">
        <v>69</v>
      </c>
      <c r="H38" s="12">
        <v>3234</v>
      </c>
      <c r="I38" t="s">
        <v>140</v>
      </c>
      <c r="J38" t="s">
        <v>46</v>
      </c>
      <c r="N38" s="12"/>
      <c r="O38" s="8"/>
      <c r="P38">
        <v>1</v>
      </c>
      <c r="Q38" s="8">
        <v>1</v>
      </c>
      <c r="R38" s="12">
        <v>1</v>
      </c>
      <c r="S38" s="8">
        <v>1</v>
      </c>
      <c r="T38" s="12"/>
      <c r="U38" s="8"/>
      <c r="V38" s="2">
        <v>45658</v>
      </c>
      <c r="W38" s="2">
        <v>1</v>
      </c>
      <c r="X38" s="2"/>
      <c r="Y38" s="2">
        <v>45688</v>
      </c>
      <c r="Z38" s="2"/>
      <c r="AA38" t="s">
        <v>145</v>
      </c>
      <c r="AB38" s="2"/>
      <c r="AC38" s="2">
        <v>45657</v>
      </c>
      <c r="AD38" s="47">
        <f>IF(_tbl_odoo_datos2[[#This Row],[Finf2]]="",0,1)</f>
        <v>0</v>
      </c>
      <c r="AE38" s="47">
        <f>IF(_tbl_odoo_datos2[[#This Row],[FGer2]]="",0,1)</f>
        <v>1</v>
      </c>
      <c r="AF38" s="2">
        <f>IF(_tbl_odoo_datos2[[#This Row],[Finf2]]="",_tbl_odoo_datos2[[#This Row],[FGer2]],_tbl_odoo_datos2[[#This Row],[Finf2]])</f>
        <v>45657</v>
      </c>
    </row>
    <row r="39" spans="1:32" x14ac:dyDescent="0.25">
      <c r="A39" s="12" t="s">
        <v>446</v>
      </c>
      <c r="B39" s="12">
        <v>349</v>
      </c>
      <c r="C39" t="s">
        <v>146</v>
      </c>
      <c r="D39">
        <v>247828</v>
      </c>
      <c r="E39" s="8" t="s">
        <v>43</v>
      </c>
      <c r="F39" s="12">
        <v>28</v>
      </c>
      <c r="G39" s="8" t="s">
        <v>52</v>
      </c>
      <c r="H39" s="12">
        <v>3234</v>
      </c>
      <c r="I39" t="s">
        <v>140</v>
      </c>
      <c r="J39" t="s">
        <v>46</v>
      </c>
      <c r="N39" s="12"/>
      <c r="O39" s="8"/>
      <c r="P39">
        <v>3</v>
      </c>
      <c r="Q39" s="8">
        <v>3</v>
      </c>
      <c r="R39" s="12">
        <v>3</v>
      </c>
      <c r="S39" s="8">
        <v>3</v>
      </c>
      <c r="T39" s="12"/>
      <c r="U39" s="8"/>
      <c r="V39" s="2">
        <v>45658</v>
      </c>
      <c r="W39" s="2">
        <v>1</v>
      </c>
      <c r="X39" s="2"/>
      <c r="Y39" s="2">
        <v>45726</v>
      </c>
      <c r="Z39" s="2"/>
      <c r="AA39" t="s">
        <v>147</v>
      </c>
      <c r="AB39" s="2"/>
      <c r="AC39" s="2">
        <v>45716</v>
      </c>
      <c r="AD39" s="47">
        <f>IF(_tbl_odoo_datos2[[#This Row],[Finf2]]="",0,1)</f>
        <v>0</v>
      </c>
      <c r="AE39" s="47">
        <f>IF(_tbl_odoo_datos2[[#This Row],[FGer2]]="",0,1)</f>
        <v>1</v>
      </c>
      <c r="AF39" s="2">
        <f>IF(_tbl_odoo_datos2[[#This Row],[Finf2]]="",_tbl_odoo_datos2[[#This Row],[FGer2]],_tbl_odoo_datos2[[#This Row],[Finf2]])</f>
        <v>45716</v>
      </c>
    </row>
    <row r="40" spans="1:32" x14ac:dyDescent="0.25">
      <c r="A40" s="12" t="s">
        <v>446</v>
      </c>
      <c r="B40" s="12">
        <v>350</v>
      </c>
      <c r="C40" t="s">
        <v>148</v>
      </c>
      <c r="D40">
        <v>247857</v>
      </c>
      <c r="E40" s="8" t="s">
        <v>62</v>
      </c>
      <c r="F40" s="12">
        <v>28</v>
      </c>
      <c r="G40" s="8" t="s">
        <v>52</v>
      </c>
      <c r="H40" s="12">
        <v>3234</v>
      </c>
      <c r="I40" t="s">
        <v>140</v>
      </c>
      <c r="J40" t="s">
        <v>46</v>
      </c>
      <c r="N40" s="12"/>
      <c r="O40" s="8"/>
      <c r="P40">
        <v>1</v>
      </c>
      <c r="Q40" s="8">
        <v>1</v>
      </c>
      <c r="R40" s="12">
        <v>1</v>
      </c>
      <c r="S40" s="8">
        <v>1</v>
      </c>
      <c r="T40" s="12"/>
      <c r="U40" s="8"/>
      <c r="V40" s="2">
        <v>45658</v>
      </c>
      <c r="W40" s="2">
        <v>1</v>
      </c>
      <c r="X40" s="2"/>
      <c r="Y40" s="2">
        <v>45702</v>
      </c>
      <c r="Z40" s="2"/>
      <c r="AA40" t="s">
        <v>149</v>
      </c>
      <c r="AB40" s="2"/>
      <c r="AC40" s="2">
        <v>45688</v>
      </c>
      <c r="AD40" s="47">
        <f>IF(_tbl_odoo_datos2[[#This Row],[Finf2]]="",0,1)</f>
        <v>0</v>
      </c>
      <c r="AE40" s="47">
        <f>IF(_tbl_odoo_datos2[[#This Row],[FGer2]]="",0,1)</f>
        <v>1</v>
      </c>
      <c r="AF40" s="2">
        <f>IF(_tbl_odoo_datos2[[#This Row],[Finf2]]="",_tbl_odoo_datos2[[#This Row],[FGer2]],_tbl_odoo_datos2[[#This Row],[Finf2]])</f>
        <v>45688</v>
      </c>
    </row>
    <row r="41" spans="1:32" x14ac:dyDescent="0.25">
      <c r="A41" s="12" t="s">
        <v>446</v>
      </c>
      <c r="B41" s="12">
        <v>351</v>
      </c>
      <c r="C41" t="s">
        <v>150</v>
      </c>
      <c r="D41">
        <v>247828</v>
      </c>
      <c r="E41" s="8" t="s">
        <v>43</v>
      </c>
      <c r="F41" s="12">
        <v>28</v>
      </c>
      <c r="G41" s="8" t="s">
        <v>52</v>
      </c>
      <c r="H41" s="12">
        <v>3234</v>
      </c>
      <c r="I41" t="s">
        <v>140</v>
      </c>
      <c r="J41" t="s">
        <v>46</v>
      </c>
      <c r="N41" s="12"/>
      <c r="O41" s="8"/>
      <c r="P41">
        <v>3</v>
      </c>
      <c r="Q41" s="8">
        <v>3</v>
      </c>
      <c r="R41" s="12">
        <v>1</v>
      </c>
      <c r="S41" s="8">
        <v>1</v>
      </c>
      <c r="T41" s="12"/>
      <c r="U41" s="8"/>
      <c r="V41" s="2">
        <v>45658</v>
      </c>
      <c r="W41" s="2">
        <v>1</v>
      </c>
      <c r="X41" s="2"/>
      <c r="Y41" s="2">
        <v>45757</v>
      </c>
      <c r="Z41" s="2"/>
      <c r="AA41" t="s">
        <v>151</v>
      </c>
      <c r="AB41" s="2"/>
      <c r="AC41" s="2">
        <v>45747</v>
      </c>
      <c r="AD41" s="47">
        <f>IF(_tbl_odoo_datos2[[#This Row],[Finf2]]="",0,1)</f>
        <v>0</v>
      </c>
      <c r="AE41" s="47">
        <f>IF(_tbl_odoo_datos2[[#This Row],[FGer2]]="",0,1)</f>
        <v>1</v>
      </c>
      <c r="AF41" s="2">
        <f>IF(_tbl_odoo_datos2[[#This Row],[Finf2]]="",_tbl_odoo_datos2[[#This Row],[FGer2]],_tbl_odoo_datos2[[#This Row],[Finf2]])</f>
        <v>45747</v>
      </c>
    </row>
    <row r="42" spans="1:32" x14ac:dyDescent="0.25">
      <c r="A42" s="12" t="s">
        <v>446</v>
      </c>
      <c r="B42" s="12">
        <v>367</v>
      </c>
      <c r="C42" t="s">
        <v>152</v>
      </c>
      <c r="D42">
        <v>247605</v>
      </c>
      <c r="E42" s="8" t="s">
        <v>153</v>
      </c>
      <c r="F42" s="12">
        <v>29</v>
      </c>
      <c r="G42" s="8" t="s">
        <v>154</v>
      </c>
      <c r="H42" s="12"/>
      <c r="J42" t="s">
        <v>46</v>
      </c>
      <c r="N42" s="12"/>
      <c r="O42" s="8"/>
      <c r="P42">
        <v>2</v>
      </c>
      <c r="Q42" s="8">
        <v>2</v>
      </c>
      <c r="R42" s="12">
        <v>2</v>
      </c>
      <c r="S42" s="8">
        <v>2</v>
      </c>
      <c r="T42" s="12"/>
      <c r="U42" s="8"/>
      <c r="V42" s="2">
        <v>45685</v>
      </c>
      <c r="W42" s="2">
        <v>1</v>
      </c>
      <c r="X42" s="2"/>
      <c r="Y42" s="2">
        <v>45723</v>
      </c>
      <c r="Z42" s="2"/>
      <c r="AA42" t="s">
        <v>155</v>
      </c>
      <c r="AB42" s="2"/>
      <c r="AC42" s="2">
        <v>45716</v>
      </c>
      <c r="AD42" s="47">
        <f>IF(_tbl_odoo_datos2[[#This Row],[Finf2]]="",0,1)</f>
        <v>0</v>
      </c>
      <c r="AE42" s="47">
        <f>IF(_tbl_odoo_datos2[[#This Row],[FGer2]]="",0,1)</f>
        <v>1</v>
      </c>
      <c r="AF42" s="2">
        <f>IF(_tbl_odoo_datos2[[#This Row],[Finf2]]="",_tbl_odoo_datos2[[#This Row],[FGer2]],_tbl_odoo_datos2[[#This Row],[Finf2]])</f>
        <v>45716</v>
      </c>
    </row>
    <row r="43" spans="1:32" x14ac:dyDescent="0.25">
      <c r="A43" s="12" t="s">
        <v>446</v>
      </c>
      <c r="B43" s="12">
        <v>368</v>
      </c>
      <c r="C43" t="s">
        <v>156</v>
      </c>
      <c r="D43">
        <v>247888</v>
      </c>
      <c r="E43" s="8" t="s">
        <v>157</v>
      </c>
      <c r="F43" s="12">
        <v>22</v>
      </c>
      <c r="G43" s="8" t="s">
        <v>77</v>
      </c>
      <c r="H43" s="12">
        <v>3233</v>
      </c>
      <c r="I43" t="s">
        <v>45</v>
      </c>
      <c r="J43" t="s">
        <v>46</v>
      </c>
      <c r="N43" s="12"/>
      <c r="O43" s="8"/>
      <c r="P43">
        <v>1</v>
      </c>
      <c r="Q43" s="8">
        <v>1</v>
      </c>
      <c r="R43" s="12">
        <v>1</v>
      </c>
      <c r="S43" s="8">
        <v>1</v>
      </c>
      <c r="T43" s="12"/>
      <c r="U43" s="8"/>
      <c r="V43" s="2">
        <v>45653</v>
      </c>
      <c r="W43" s="2">
        <v>1</v>
      </c>
      <c r="X43" s="2"/>
      <c r="Y43" s="2">
        <v>45695</v>
      </c>
      <c r="Z43" s="2"/>
      <c r="AA43" t="s">
        <v>158</v>
      </c>
      <c r="AB43" s="2"/>
      <c r="AC43" s="2">
        <v>45688</v>
      </c>
      <c r="AD43" s="47">
        <f>IF(_tbl_odoo_datos2[[#This Row],[Finf2]]="",0,1)</f>
        <v>0</v>
      </c>
      <c r="AE43" s="47">
        <f>IF(_tbl_odoo_datos2[[#This Row],[FGer2]]="",0,1)</f>
        <v>1</v>
      </c>
      <c r="AF43" s="2">
        <f>IF(_tbl_odoo_datos2[[#This Row],[Finf2]]="",_tbl_odoo_datos2[[#This Row],[FGer2]],_tbl_odoo_datos2[[#This Row],[Finf2]])</f>
        <v>45688</v>
      </c>
    </row>
    <row r="44" spans="1:32" x14ac:dyDescent="0.25">
      <c r="A44" s="12" t="s">
        <v>446</v>
      </c>
      <c r="B44" s="12">
        <v>372</v>
      </c>
      <c r="C44" t="s">
        <v>429</v>
      </c>
      <c r="D44">
        <v>289036</v>
      </c>
      <c r="E44" s="8" t="s">
        <v>262</v>
      </c>
      <c r="F44" s="12">
        <v>29</v>
      </c>
      <c r="G44" s="8" t="s">
        <v>154</v>
      </c>
      <c r="H44" s="12">
        <v>195</v>
      </c>
      <c r="I44" t="s">
        <v>78</v>
      </c>
      <c r="J44" t="s">
        <v>46</v>
      </c>
      <c r="K44" t="b">
        <v>1</v>
      </c>
      <c r="N44" s="12"/>
      <c r="O44" s="8"/>
      <c r="Q44" s="8"/>
      <c r="R44" s="12">
        <v>1</v>
      </c>
      <c r="S44" s="8">
        <v>1</v>
      </c>
      <c r="T44" s="12"/>
      <c r="U44" s="8"/>
      <c r="V44" s="2">
        <v>45673</v>
      </c>
      <c r="W44" s="2">
        <v>1</v>
      </c>
      <c r="X44" s="2"/>
      <c r="Y44" s="2">
        <v>45675</v>
      </c>
      <c r="Z44" s="2"/>
      <c r="AB44" s="2"/>
      <c r="AC44" s="2">
        <v>45657</v>
      </c>
      <c r="AD44" s="47">
        <f>IF(_tbl_odoo_datos2[[#This Row],[Finf2]]="",0,1)</f>
        <v>0</v>
      </c>
      <c r="AE44" s="47">
        <f>IF(_tbl_odoo_datos2[[#This Row],[FGer2]]="",0,1)</f>
        <v>1</v>
      </c>
      <c r="AF44" s="2">
        <f>IF(_tbl_odoo_datos2[[#This Row],[Finf2]]="",_tbl_odoo_datos2[[#This Row],[FGer2]],_tbl_odoo_datos2[[#This Row],[Finf2]])</f>
        <v>45657</v>
      </c>
    </row>
    <row r="45" spans="1:32" x14ac:dyDescent="0.25">
      <c r="A45" s="12" t="s">
        <v>446</v>
      </c>
      <c r="B45" s="12">
        <v>0</v>
      </c>
      <c r="C45" t="s">
        <v>159</v>
      </c>
      <c r="E45" s="8"/>
      <c r="F45" s="12">
        <v>29</v>
      </c>
      <c r="G45" s="8" t="s">
        <v>154</v>
      </c>
      <c r="H45" s="12">
        <v>252</v>
      </c>
      <c r="I45" t="s">
        <v>160</v>
      </c>
      <c r="J45" t="s">
        <v>46</v>
      </c>
      <c r="L45">
        <v>1</v>
      </c>
      <c r="M45" t="s">
        <v>161</v>
      </c>
      <c r="N45" s="12"/>
      <c r="O45" s="8"/>
      <c r="Q45" s="8"/>
      <c r="R45" s="12"/>
      <c r="S45" s="8"/>
      <c r="T45" s="12"/>
      <c r="U45" s="8"/>
      <c r="V45" s="2"/>
      <c r="W45" s="2"/>
      <c r="X45" s="2"/>
      <c r="Y45" s="2"/>
      <c r="Z45" s="2"/>
      <c r="AB45" s="2"/>
      <c r="AC45" s="2"/>
      <c r="AD45" s="47">
        <f>IF(_tbl_odoo_datos2[[#This Row],[Finf2]]="",0,1)</f>
        <v>0</v>
      </c>
      <c r="AE45" s="47">
        <f>IF(_tbl_odoo_datos2[[#This Row],[FGer2]]="",0,1)</f>
        <v>0</v>
      </c>
      <c r="AF45" s="2">
        <f>IF(_tbl_odoo_datos2[[#This Row],[Finf2]]="",_tbl_odoo_datos2[[#This Row],[FGer2]],_tbl_odoo_datos2[[#This Row],[Finf2]])</f>
        <v>0</v>
      </c>
    </row>
    <row r="46" spans="1:32" x14ac:dyDescent="0.25">
      <c r="A46" s="12" t="s">
        <v>446</v>
      </c>
      <c r="B46" s="12">
        <v>0</v>
      </c>
      <c r="C46" t="s">
        <v>162</v>
      </c>
      <c r="D46">
        <v>247047</v>
      </c>
      <c r="E46" s="8" t="s">
        <v>163</v>
      </c>
      <c r="F46" s="12">
        <v>29</v>
      </c>
      <c r="G46" s="8" t="s">
        <v>154</v>
      </c>
      <c r="H46" s="12">
        <v>312</v>
      </c>
      <c r="I46" t="s">
        <v>133</v>
      </c>
      <c r="J46" t="s">
        <v>46</v>
      </c>
      <c r="K46" t="b">
        <v>1</v>
      </c>
      <c r="N46" s="12"/>
      <c r="O46" s="8"/>
      <c r="Q46" s="8"/>
      <c r="R46" s="12"/>
      <c r="S46" s="8"/>
      <c r="T46" s="12"/>
      <c r="U46" s="8"/>
      <c r="V46" s="2"/>
      <c r="W46" s="2"/>
      <c r="X46" s="2"/>
      <c r="Y46" s="2"/>
      <c r="Z46" s="2"/>
      <c r="AB46" s="2"/>
      <c r="AC46" s="2"/>
      <c r="AD46" s="47">
        <f>IF(_tbl_odoo_datos2[[#This Row],[Finf2]]="",0,1)</f>
        <v>0</v>
      </c>
      <c r="AE46" s="47">
        <f>IF(_tbl_odoo_datos2[[#This Row],[FGer2]]="",0,1)</f>
        <v>0</v>
      </c>
      <c r="AF46" s="2">
        <f>IF(_tbl_odoo_datos2[[#This Row],[Finf2]]="",_tbl_odoo_datos2[[#This Row],[FGer2]],_tbl_odoo_datos2[[#This Row],[Finf2]])</f>
        <v>0</v>
      </c>
    </row>
    <row r="47" spans="1:32" x14ac:dyDescent="0.25">
      <c r="A47" s="12" t="s">
        <v>446</v>
      </c>
      <c r="B47" s="12">
        <v>296</v>
      </c>
      <c r="C47" t="s">
        <v>164</v>
      </c>
      <c r="E47" s="8"/>
      <c r="F47" s="12">
        <v>29</v>
      </c>
      <c r="G47" s="8" t="s">
        <v>154</v>
      </c>
      <c r="H47" s="12">
        <v>3202</v>
      </c>
      <c r="I47" t="s">
        <v>165</v>
      </c>
      <c r="J47" t="s">
        <v>46</v>
      </c>
      <c r="N47" s="12"/>
      <c r="O47" s="8"/>
      <c r="P47">
        <v>3</v>
      </c>
      <c r="Q47" s="8">
        <v>3</v>
      </c>
      <c r="R47" s="12">
        <v>1</v>
      </c>
      <c r="S47" s="8">
        <v>1</v>
      </c>
      <c r="T47" s="12"/>
      <c r="U47" s="8"/>
      <c r="V47" s="2">
        <v>45658</v>
      </c>
      <c r="W47" s="2">
        <v>1</v>
      </c>
      <c r="X47" s="2"/>
      <c r="Y47" s="2">
        <v>45761</v>
      </c>
      <c r="Z47" s="2"/>
      <c r="AB47" s="2"/>
      <c r="AC47" s="2">
        <v>45747</v>
      </c>
      <c r="AD47" s="47">
        <f>IF(_tbl_odoo_datos2[[#This Row],[Finf2]]="",0,1)</f>
        <v>0</v>
      </c>
      <c r="AE47" s="47">
        <f>IF(_tbl_odoo_datos2[[#This Row],[FGer2]]="",0,1)</f>
        <v>1</v>
      </c>
      <c r="AF47" s="2">
        <f>IF(_tbl_odoo_datos2[[#This Row],[Finf2]]="",_tbl_odoo_datos2[[#This Row],[FGer2]],_tbl_odoo_datos2[[#This Row],[Finf2]])</f>
        <v>45747</v>
      </c>
    </row>
    <row r="48" spans="1:32" x14ac:dyDescent="0.25">
      <c r="A48" s="12" t="s">
        <v>446</v>
      </c>
      <c r="B48" s="12">
        <v>362</v>
      </c>
      <c r="C48" t="s">
        <v>166</v>
      </c>
      <c r="D48">
        <v>247002</v>
      </c>
      <c r="E48" s="8" t="s">
        <v>167</v>
      </c>
      <c r="F48" s="12">
        <v>21</v>
      </c>
      <c r="G48" s="8" t="s">
        <v>69</v>
      </c>
      <c r="H48" s="12">
        <v>3202</v>
      </c>
      <c r="I48" t="s">
        <v>165</v>
      </c>
      <c r="J48" t="s">
        <v>46</v>
      </c>
      <c r="K48" t="b">
        <v>1</v>
      </c>
      <c r="N48" s="12"/>
      <c r="O48" s="8"/>
      <c r="P48">
        <v>1</v>
      </c>
      <c r="Q48" s="8">
        <v>1</v>
      </c>
      <c r="R48" s="12">
        <v>2</v>
      </c>
      <c r="S48" s="8">
        <v>2</v>
      </c>
      <c r="T48" s="12"/>
      <c r="U48" s="8"/>
      <c r="V48" s="2">
        <v>45677</v>
      </c>
      <c r="W48" s="2">
        <v>1</v>
      </c>
      <c r="X48" s="2"/>
      <c r="Y48" s="2">
        <v>45684</v>
      </c>
      <c r="Z48" s="2">
        <v>45717</v>
      </c>
      <c r="AB48" s="2"/>
      <c r="AC48" s="2">
        <v>45657</v>
      </c>
      <c r="AD48" s="47">
        <f>IF(_tbl_odoo_datos2[[#This Row],[Finf2]]="",0,1)</f>
        <v>0</v>
      </c>
      <c r="AE48" s="47">
        <f>IF(_tbl_odoo_datos2[[#This Row],[FGer2]]="",0,1)</f>
        <v>1</v>
      </c>
      <c r="AF48" s="2">
        <f>IF(_tbl_odoo_datos2[[#This Row],[Finf2]]="",_tbl_odoo_datos2[[#This Row],[FGer2]],_tbl_odoo_datos2[[#This Row],[Finf2]])</f>
        <v>45657</v>
      </c>
    </row>
    <row r="49" spans="1:32" x14ac:dyDescent="0.25">
      <c r="A49" s="12" t="s">
        <v>446</v>
      </c>
      <c r="B49" s="12">
        <v>298</v>
      </c>
      <c r="C49" t="s">
        <v>168</v>
      </c>
      <c r="D49">
        <v>247002</v>
      </c>
      <c r="E49" s="8" t="s">
        <v>167</v>
      </c>
      <c r="F49" s="12">
        <v>22</v>
      </c>
      <c r="G49" s="8" t="s">
        <v>77</v>
      </c>
      <c r="H49" s="12">
        <v>3202</v>
      </c>
      <c r="I49" t="s">
        <v>165</v>
      </c>
      <c r="J49" t="s">
        <v>46</v>
      </c>
      <c r="N49" s="12"/>
      <c r="O49" s="8"/>
      <c r="P49">
        <v>1</v>
      </c>
      <c r="Q49" s="8">
        <v>1</v>
      </c>
      <c r="R49" s="12">
        <v>1</v>
      </c>
      <c r="S49" s="8">
        <v>1</v>
      </c>
      <c r="T49" s="12"/>
      <c r="U49" s="8"/>
      <c r="V49" s="2">
        <v>45658</v>
      </c>
      <c r="W49" s="2">
        <v>1</v>
      </c>
      <c r="X49" s="2"/>
      <c r="Y49" s="2">
        <v>45688</v>
      </c>
      <c r="Z49" s="2"/>
      <c r="AB49" s="2"/>
      <c r="AC49" s="2">
        <v>45657</v>
      </c>
      <c r="AD49" s="47">
        <f>IF(_tbl_odoo_datos2[[#This Row],[Finf2]]="",0,1)</f>
        <v>0</v>
      </c>
      <c r="AE49" s="47">
        <f>IF(_tbl_odoo_datos2[[#This Row],[FGer2]]="",0,1)</f>
        <v>1</v>
      </c>
      <c r="AF49" s="2">
        <f>IF(_tbl_odoo_datos2[[#This Row],[Finf2]]="",_tbl_odoo_datos2[[#This Row],[FGer2]],_tbl_odoo_datos2[[#This Row],[Finf2]])</f>
        <v>45657</v>
      </c>
    </row>
    <row r="50" spans="1:32" x14ac:dyDescent="0.25">
      <c r="A50" s="12" t="s">
        <v>446</v>
      </c>
      <c r="B50" s="12">
        <v>0</v>
      </c>
      <c r="C50" t="s">
        <v>169</v>
      </c>
      <c r="D50">
        <v>247857</v>
      </c>
      <c r="E50" s="8" t="s">
        <v>62</v>
      </c>
      <c r="F50" s="12">
        <v>29</v>
      </c>
      <c r="G50" s="8" t="s">
        <v>154</v>
      </c>
      <c r="H50" s="12">
        <v>252</v>
      </c>
      <c r="I50" t="s">
        <v>160</v>
      </c>
      <c r="J50" t="s">
        <v>46</v>
      </c>
      <c r="K50" t="b">
        <v>1</v>
      </c>
      <c r="L50">
        <v>3</v>
      </c>
      <c r="M50" t="s">
        <v>170</v>
      </c>
      <c r="N50" s="12">
        <v>2</v>
      </c>
      <c r="O50" s="8" t="s">
        <v>171</v>
      </c>
      <c r="P50">
        <v>2</v>
      </c>
      <c r="Q50" s="8">
        <v>2</v>
      </c>
      <c r="R50" s="12">
        <v>2</v>
      </c>
      <c r="S50" s="8">
        <v>2</v>
      </c>
      <c r="T50" s="12">
        <v>1</v>
      </c>
      <c r="U50" s="8" t="s">
        <v>172</v>
      </c>
      <c r="V50" s="2">
        <v>45699</v>
      </c>
      <c r="W50" s="2">
        <v>45705</v>
      </c>
      <c r="X50" s="2"/>
      <c r="Y50" s="2"/>
      <c r="Z50" s="2"/>
      <c r="AB50" s="2"/>
      <c r="AC50" s="2"/>
      <c r="AD50" s="47">
        <f>IF(_tbl_odoo_datos2[[#This Row],[Finf2]]="",0,1)</f>
        <v>0</v>
      </c>
      <c r="AE50" s="47">
        <f>IF(_tbl_odoo_datos2[[#This Row],[FGer2]]="",0,1)</f>
        <v>0</v>
      </c>
      <c r="AF50" s="2">
        <f>IF(_tbl_odoo_datos2[[#This Row],[Finf2]]="",_tbl_odoo_datos2[[#This Row],[FGer2]],_tbl_odoo_datos2[[#This Row],[Finf2]])</f>
        <v>0</v>
      </c>
    </row>
    <row r="51" spans="1:32" x14ac:dyDescent="0.25">
      <c r="A51" s="12" t="s">
        <v>446</v>
      </c>
      <c r="B51" s="12">
        <v>301</v>
      </c>
      <c r="C51" t="s">
        <v>173</v>
      </c>
      <c r="E51" s="8"/>
      <c r="F51" s="12">
        <v>29</v>
      </c>
      <c r="G51" s="8" t="s">
        <v>154</v>
      </c>
      <c r="H51" s="12">
        <v>3202</v>
      </c>
      <c r="I51" t="s">
        <v>165</v>
      </c>
      <c r="J51" t="s">
        <v>46</v>
      </c>
      <c r="N51" s="12"/>
      <c r="O51" s="8"/>
      <c r="P51">
        <v>3</v>
      </c>
      <c r="Q51" s="8">
        <v>3</v>
      </c>
      <c r="R51" s="12">
        <v>3</v>
      </c>
      <c r="S51" s="8">
        <v>3</v>
      </c>
      <c r="T51" s="12"/>
      <c r="U51" s="8"/>
      <c r="V51" s="2">
        <v>45658</v>
      </c>
      <c r="W51" s="2">
        <v>1</v>
      </c>
      <c r="X51" s="2"/>
      <c r="Y51" s="2">
        <v>45791</v>
      </c>
      <c r="Z51" s="2"/>
      <c r="AB51" s="2"/>
      <c r="AC51" s="2">
        <v>45777</v>
      </c>
      <c r="AD51" s="47">
        <f>IF(_tbl_odoo_datos2[[#This Row],[Finf2]]="",0,1)</f>
        <v>0</v>
      </c>
      <c r="AE51" s="47">
        <f>IF(_tbl_odoo_datos2[[#This Row],[FGer2]]="",0,1)</f>
        <v>1</v>
      </c>
      <c r="AF51" s="2">
        <f>IF(_tbl_odoo_datos2[[#This Row],[Finf2]]="",_tbl_odoo_datos2[[#This Row],[FGer2]],_tbl_odoo_datos2[[#This Row],[Finf2]])</f>
        <v>45777</v>
      </c>
    </row>
    <row r="52" spans="1:32" x14ac:dyDescent="0.25">
      <c r="A52" s="12" t="s">
        <v>446</v>
      </c>
      <c r="B52" s="12">
        <v>0</v>
      </c>
      <c r="C52" t="s">
        <v>174</v>
      </c>
      <c r="D52">
        <v>289006</v>
      </c>
      <c r="E52" s="8" t="s">
        <v>76</v>
      </c>
      <c r="F52" s="12">
        <v>30</v>
      </c>
      <c r="G52" s="8" t="s">
        <v>44</v>
      </c>
      <c r="H52" s="12">
        <v>3202</v>
      </c>
      <c r="I52" t="s">
        <v>165</v>
      </c>
      <c r="J52" t="s">
        <v>46</v>
      </c>
      <c r="K52" t="b">
        <v>1</v>
      </c>
      <c r="L52">
        <v>4</v>
      </c>
      <c r="M52" t="s">
        <v>175</v>
      </c>
      <c r="N52" s="12">
        <v>1</v>
      </c>
      <c r="O52" s="8" t="s">
        <v>176</v>
      </c>
      <c r="P52">
        <v>2</v>
      </c>
      <c r="Q52" s="8">
        <v>2</v>
      </c>
      <c r="R52" s="12">
        <v>2</v>
      </c>
      <c r="S52" s="8">
        <v>2</v>
      </c>
      <c r="T52" s="12">
        <v>1</v>
      </c>
      <c r="U52" s="8" t="s">
        <v>172</v>
      </c>
      <c r="V52" s="2">
        <v>45694</v>
      </c>
      <c r="W52" s="2">
        <v>45701</v>
      </c>
      <c r="X52" s="2"/>
      <c r="Y52" s="2">
        <v>45716</v>
      </c>
      <c r="Z52" s="2"/>
      <c r="AB52" s="2"/>
      <c r="AC52" s="2">
        <v>45688</v>
      </c>
      <c r="AD52" s="47">
        <f>IF(_tbl_odoo_datos2[[#This Row],[Finf2]]="",0,1)</f>
        <v>0</v>
      </c>
      <c r="AE52" s="47">
        <f>IF(_tbl_odoo_datos2[[#This Row],[FGer2]]="",0,1)</f>
        <v>1</v>
      </c>
      <c r="AF52" s="2">
        <f>IF(_tbl_odoo_datos2[[#This Row],[Finf2]]="",_tbl_odoo_datos2[[#This Row],[FGer2]],_tbl_odoo_datos2[[#This Row],[Finf2]])</f>
        <v>45688</v>
      </c>
    </row>
    <row r="53" spans="1:32" x14ac:dyDescent="0.25">
      <c r="A53" s="12" t="s">
        <v>446</v>
      </c>
      <c r="B53" s="12">
        <v>310</v>
      </c>
      <c r="C53" t="s">
        <v>177</v>
      </c>
      <c r="E53" s="8"/>
      <c r="F53" s="12">
        <v>27</v>
      </c>
      <c r="G53" s="8" t="s">
        <v>178</v>
      </c>
      <c r="H53" s="12">
        <v>3200</v>
      </c>
      <c r="I53" t="s">
        <v>179</v>
      </c>
      <c r="J53" t="s">
        <v>46</v>
      </c>
      <c r="N53" s="12"/>
      <c r="O53" s="8"/>
      <c r="P53">
        <v>1</v>
      </c>
      <c r="Q53" s="8">
        <v>1</v>
      </c>
      <c r="R53" s="12">
        <v>2</v>
      </c>
      <c r="S53" s="8">
        <v>2</v>
      </c>
      <c r="T53" s="12"/>
      <c r="U53" s="8"/>
      <c r="V53" s="2">
        <v>45658</v>
      </c>
      <c r="W53" s="2">
        <v>1</v>
      </c>
      <c r="X53" s="2"/>
      <c r="Y53" s="2">
        <v>45712</v>
      </c>
      <c r="Z53" s="2"/>
      <c r="AA53" t="s">
        <v>180</v>
      </c>
      <c r="AB53" s="2"/>
      <c r="AC53" s="2">
        <v>45688</v>
      </c>
      <c r="AD53" s="47">
        <f>IF(_tbl_odoo_datos2[[#This Row],[Finf2]]="",0,1)</f>
        <v>0</v>
      </c>
      <c r="AE53" s="47">
        <f>IF(_tbl_odoo_datos2[[#This Row],[FGer2]]="",0,1)</f>
        <v>1</v>
      </c>
      <c r="AF53" s="2">
        <f>IF(_tbl_odoo_datos2[[#This Row],[Finf2]]="",_tbl_odoo_datos2[[#This Row],[FGer2]],_tbl_odoo_datos2[[#This Row],[Finf2]])</f>
        <v>45688</v>
      </c>
    </row>
    <row r="54" spans="1:32" x14ac:dyDescent="0.25">
      <c r="A54" s="12" t="s">
        <v>446</v>
      </c>
      <c r="B54" s="12">
        <v>0</v>
      </c>
      <c r="C54" t="s">
        <v>181</v>
      </c>
      <c r="D54">
        <v>247791</v>
      </c>
      <c r="E54" s="8" t="s">
        <v>182</v>
      </c>
      <c r="F54" s="12">
        <v>29</v>
      </c>
      <c r="G54" s="8" t="s">
        <v>154</v>
      </c>
      <c r="H54" s="12">
        <v>3201</v>
      </c>
      <c r="I54" t="s">
        <v>183</v>
      </c>
      <c r="J54" t="s">
        <v>46</v>
      </c>
      <c r="L54">
        <v>2</v>
      </c>
      <c r="M54" t="s">
        <v>184</v>
      </c>
      <c r="N54" s="12">
        <v>2</v>
      </c>
      <c r="O54" s="8" t="s">
        <v>171</v>
      </c>
      <c r="P54">
        <v>2</v>
      </c>
      <c r="Q54" s="8">
        <v>2</v>
      </c>
      <c r="R54" s="12">
        <v>2</v>
      </c>
      <c r="S54" s="8">
        <v>2</v>
      </c>
      <c r="T54" s="12">
        <v>2</v>
      </c>
      <c r="U54" s="8" t="s">
        <v>185</v>
      </c>
      <c r="V54" s="2">
        <v>45689</v>
      </c>
      <c r="W54" s="2"/>
      <c r="X54" s="2"/>
      <c r="Y54" s="2"/>
      <c r="Z54" s="2"/>
      <c r="AB54" s="2"/>
      <c r="AC54" s="2"/>
      <c r="AD54" s="47">
        <f>IF(_tbl_odoo_datos2[[#This Row],[Finf2]]="",0,1)</f>
        <v>0</v>
      </c>
      <c r="AE54" s="47">
        <f>IF(_tbl_odoo_datos2[[#This Row],[FGer2]]="",0,1)</f>
        <v>0</v>
      </c>
      <c r="AF54" s="2">
        <f>IF(_tbl_odoo_datos2[[#This Row],[Finf2]]="",_tbl_odoo_datos2[[#This Row],[FGer2]],_tbl_odoo_datos2[[#This Row],[Finf2]])</f>
        <v>0</v>
      </c>
    </row>
    <row r="55" spans="1:32" x14ac:dyDescent="0.25">
      <c r="A55" s="12" t="s">
        <v>446</v>
      </c>
      <c r="B55" s="12">
        <v>304</v>
      </c>
      <c r="C55" t="s">
        <v>186</v>
      </c>
      <c r="D55">
        <v>247795</v>
      </c>
      <c r="E55" s="8" t="s">
        <v>56</v>
      </c>
      <c r="F55" s="12">
        <v>21</v>
      </c>
      <c r="G55" s="8" t="s">
        <v>69</v>
      </c>
      <c r="H55" s="12">
        <v>3202</v>
      </c>
      <c r="I55" t="s">
        <v>165</v>
      </c>
      <c r="J55" t="s">
        <v>46</v>
      </c>
      <c r="N55" s="12"/>
      <c r="O55" s="8"/>
      <c r="P55">
        <v>1</v>
      </c>
      <c r="Q55" s="8">
        <v>1</v>
      </c>
      <c r="R55" s="12">
        <v>3</v>
      </c>
      <c r="S55" s="8">
        <v>3</v>
      </c>
      <c r="T55" s="12"/>
      <c r="U55" s="8"/>
      <c r="V55" s="2">
        <v>45658</v>
      </c>
      <c r="W55" s="2">
        <v>1</v>
      </c>
      <c r="X55" s="2"/>
      <c r="Y55" s="2">
        <v>45791</v>
      </c>
      <c r="Z55" s="2">
        <v>45692</v>
      </c>
      <c r="AB55" s="2"/>
      <c r="AC55" s="2">
        <v>45777</v>
      </c>
      <c r="AD55" s="47">
        <f>IF(_tbl_odoo_datos2[[#This Row],[Finf2]]="",0,1)</f>
        <v>0</v>
      </c>
      <c r="AE55" s="47">
        <f>IF(_tbl_odoo_datos2[[#This Row],[FGer2]]="",0,1)</f>
        <v>1</v>
      </c>
      <c r="AF55" s="2">
        <f>IF(_tbl_odoo_datos2[[#This Row],[Finf2]]="",_tbl_odoo_datos2[[#This Row],[FGer2]],_tbl_odoo_datos2[[#This Row],[Finf2]])</f>
        <v>45777</v>
      </c>
    </row>
    <row r="56" spans="1:32" x14ac:dyDescent="0.25">
      <c r="A56" s="12" t="s">
        <v>446</v>
      </c>
      <c r="B56" s="12">
        <v>363</v>
      </c>
      <c r="C56" t="s">
        <v>187</v>
      </c>
      <c r="D56">
        <v>247651</v>
      </c>
      <c r="E56" s="8" t="s">
        <v>103</v>
      </c>
      <c r="F56" s="12">
        <v>28</v>
      </c>
      <c r="G56" s="8" t="s">
        <v>52</v>
      </c>
      <c r="H56" s="12">
        <v>3199</v>
      </c>
      <c r="I56" t="s">
        <v>104</v>
      </c>
      <c r="J56" t="s">
        <v>46</v>
      </c>
      <c r="N56" s="12"/>
      <c r="O56" s="8"/>
      <c r="P56">
        <v>2</v>
      </c>
      <c r="Q56" s="8">
        <v>2</v>
      </c>
      <c r="R56" s="12">
        <v>2</v>
      </c>
      <c r="S56" s="8">
        <v>2</v>
      </c>
      <c r="T56" s="12"/>
      <c r="U56" s="8"/>
      <c r="V56" s="2">
        <v>45679</v>
      </c>
      <c r="W56" s="2">
        <v>1</v>
      </c>
      <c r="X56" s="2"/>
      <c r="Y56" s="2">
        <v>45694</v>
      </c>
      <c r="Z56" s="2"/>
      <c r="AA56" t="s">
        <v>188</v>
      </c>
      <c r="AB56" s="2"/>
      <c r="AC56" s="2">
        <v>45688</v>
      </c>
      <c r="AD56" s="47">
        <f>IF(_tbl_odoo_datos2[[#This Row],[Finf2]]="",0,1)</f>
        <v>0</v>
      </c>
      <c r="AE56" s="47">
        <f>IF(_tbl_odoo_datos2[[#This Row],[FGer2]]="",0,1)</f>
        <v>1</v>
      </c>
      <c r="AF56" s="2">
        <f>IF(_tbl_odoo_datos2[[#This Row],[Finf2]]="",_tbl_odoo_datos2[[#This Row],[FGer2]],_tbl_odoo_datos2[[#This Row],[Finf2]])</f>
        <v>45688</v>
      </c>
    </row>
    <row r="57" spans="1:32" x14ac:dyDescent="0.25">
      <c r="A57" s="12" t="s">
        <v>446</v>
      </c>
      <c r="B57" s="12">
        <v>321</v>
      </c>
      <c r="C57" t="s">
        <v>189</v>
      </c>
      <c r="E57" s="8"/>
      <c r="F57" s="12">
        <v>22</v>
      </c>
      <c r="G57" s="8" t="s">
        <v>77</v>
      </c>
      <c r="H57" s="12">
        <v>2767</v>
      </c>
      <c r="I57" t="s">
        <v>118</v>
      </c>
      <c r="J57" t="s">
        <v>46</v>
      </c>
      <c r="N57" s="12"/>
      <c r="O57" s="8"/>
      <c r="P57">
        <v>1</v>
      </c>
      <c r="Q57" s="8">
        <v>1</v>
      </c>
      <c r="R57" s="12">
        <v>1</v>
      </c>
      <c r="S57" s="8">
        <v>1</v>
      </c>
      <c r="T57" s="12"/>
      <c r="U57" s="8"/>
      <c r="V57" s="2">
        <v>45658</v>
      </c>
      <c r="W57" s="2">
        <v>1</v>
      </c>
      <c r="X57" s="2"/>
      <c r="Y57" s="2">
        <v>45688</v>
      </c>
      <c r="Z57" s="2"/>
      <c r="AA57" t="s">
        <v>190</v>
      </c>
      <c r="AB57" s="2"/>
      <c r="AC57" s="2">
        <v>45657</v>
      </c>
      <c r="AD57" s="47">
        <f>IF(_tbl_odoo_datos2[[#This Row],[Finf2]]="",0,1)</f>
        <v>0</v>
      </c>
      <c r="AE57" s="47">
        <f>IF(_tbl_odoo_datos2[[#This Row],[FGer2]]="",0,1)</f>
        <v>1</v>
      </c>
      <c r="AF57" s="2">
        <f>IF(_tbl_odoo_datos2[[#This Row],[Finf2]]="",_tbl_odoo_datos2[[#This Row],[FGer2]],_tbl_odoo_datos2[[#This Row],[Finf2]])</f>
        <v>45657</v>
      </c>
    </row>
    <row r="58" spans="1:32" x14ac:dyDescent="0.25">
      <c r="A58" s="12" t="s">
        <v>446</v>
      </c>
      <c r="B58" s="12">
        <v>329</v>
      </c>
      <c r="C58" t="s">
        <v>191</v>
      </c>
      <c r="E58" s="8"/>
      <c r="F58" s="12">
        <v>29</v>
      </c>
      <c r="G58" s="8" t="s">
        <v>154</v>
      </c>
      <c r="H58" s="12">
        <v>3201</v>
      </c>
      <c r="I58" t="s">
        <v>183</v>
      </c>
      <c r="J58" t="s">
        <v>46</v>
      </c>
      <c r="N58" s="12"/>
      <c r="O58" s="8"/>
      <c r="P58">
        <v>2</v>
      </c>
      <c r="Q58" s="8">
        <v>2</v>
      </c>
      <c r="R58" s="12">
        <v>2</v>
      </c>
      <c r="S58" s="8">
        <v>2</v>
      </c>
      <c r="T58" s="12"/>
      <c r="U58" s="8"/>
      <c r="V58" s="2">
        <v>45658</v>
      </c>
      <c r="W58" s="2">
        <v>1</v>
      </c>
      <c r="X58" s="2"/>
      <c r="Y58" s="2">
        <v>45726</v>
      </c>
      <c r="Z58" s="2"/>
      <c r="AB58" s="2"/>
      <c r="AC58" s="2">
        <v>45716</v>
      </c>
      <c r="AD58" s="47">
        <f>IF(_tbl_odoo_datos2[[#This Row],[Finf2]]="",0,1)</f>
        <v>0</v>
      </c>
      <c r="AE58" s="47">
        <f>IF(_tbl_odoo_datos2[[#This Row],[FGer2]]="",0,1)</f>
        <v>1</v>
      </c>
      <c r="AF58" s="2">
        <f>IF(_tbl_odoo_datos2[[#This Row],[Finf2]]="",_tbl_odoo_datos2[[#This Row],[FGer2]],_tbl_odoo_datos2[[#This Row],[Finf2]])</f>
        <v>45716</v>
      </c>
    </row>
    <row r="59" spans="1:32" x14ac:dyDescent="0.25">
      <c r="A59" s="12" t="s">
        <v>446</v>
      </c>
      <c r="B59" s="12">
        <v>360</v>
      </c>
      <c r="C59" t="s">
        <v>192</v>
      </c>
      <c r="D59">
        <v>246895</v>
      </c>
      <c r="E59" s="8" t="s">
        <v>193</v>
      </c>
      <c r="F59" s="12">
        <v>29</v>
      </c>
      <c r="G59" s="8" t="s">
        <v>154</v>
      </c>
      <c r="H59" s="12">
        <v>3201</v>
      </c>
      <c r="I59" t="s">
        <v>183</v>
      </c>
      <c r="J59" t="s">
        <v>46</v>
      </c>
      <c r="N59" s="12"/>
      <c r="O59" s="8"/>
      <c r="P59">
        <v>1</v>
      </c>
      <c r="Q59" s="8">
        <v>1</v>
      </c>
      <c r="R59" s="12">
        <v>2</v>
      </c>
      <c r="S59" s="8">
        <v>2</v>
      </c>
      <c r="T59" s="12"/>
      <c r="U59" s="8"/>
      <c r="V59" s="2">
        <v>45698</v>
      </c>
      <c r="W59" s="2">
        <v>1</v>
      </c>
      <c r="X59" s="2"/>
      <c r="Y59" s="2">
        <v>45747</v>
      </c>
      <c r="Z59" s="2"/>
      <c r="AB59" s="2"/>
      <c r="AC59" s="2">
        <v>45716</v>
      </c>
      <c r="AD59" s="47">
        <f>IF(_tbl_odoo_datos2[[#This Row],[Finf2]]="",0,1)</f>
        <v>0</v>
      </c>
      <c r="AE59" s="47">
        <f>IF(_tbl_odoo_datos2[[#This Row],[FGer2]]="",0,1)</f>
        <v>1</v>
      </c>
      <c r="AF59" s="2">
        <f>IF(_tbl_odoo_datos2[[#This Row],[Finf2]]="",_tbl_odoo_datos2[[#This Row],[FGer2]],_tbl_odoo_datos2[[#This Row],[Finf2]])</f>
        <v>45716</v>
      </c>
    </row>
    <row r="60" spans="1:32" x14ac:dyDescent="0.25">
      <c r="A60" s="12" t="s">
        <v>446</v>
      </c>
      <c r="B60" s="12">
        <v>0</v>
      </c>
      <c r="C60" t="s">
        <v>194</v>
      </c>
      <c r="D60">
        <v>254970</v>
      </c>
      <c r="E60" s="8" t="s">
        <v>195</v>
      </c>
      <c r="F60" s="12">
        <v>21</v>
      </c>
      <c r="G60" s="8" t="s">
        <v>69</v>
      </c>
      <c r="H60" s="12">
        <v>3204</v>
      </c>
      <c r="I60" t="s">
        <v>196</v>
      </c>
      <c r="J60" t="s">
        <v>46</v>
      </c>
      <c r="L60">
        <v>4</v>
      </c>
      <c r="M60" t="s">
        <v>175</v>
      </c>
      <c r="N60" s="12">
        <v>2</v>
      </c>
      <c r="O60" s="8" t="s">
        <v>171</v>
      </c>
      <c r="P60">
        <v>2</v>
      </c>
      <c r="Q60" s="8">
        <v>2</v>
      </c>
      <c r="R60" s="12">
        <v>2</v>
      </c>
      <c r="S60" s="8">
        <v>2</v>
      </c>
      <c r="T60" s="12">
        <v>1</v>
      </c>
      <c r="U60" s="8" t="s">
        <v>172</v>
      </c>
      <c r="V60" s="2">
        <v>45693</v>
      </c>
      <c r="W60" s="2">
        <v>45693</v>
      </c>
      <c r="X60" s="2"/>
      <c r="Y60" s="2"/>
      <c r="Z60" s="2"/>
      <c r="AB60" s="2"/>
      <c r="AC60" s="2"/>
      <c r="AD60" s="47">
        <f>IF(_tbl_odoo_datos2[[#This Row],[Finf2]]="",0,1)</f>
        <v>0</v>
      </c>
      <c r="AE60" s="47">
        <f>IF(_tbl_odoo_datos2[[#This Row],[FGer2]]="",0,1)</f>
        <v>0</v>
      </c>
      <c r="AF60" s="2">
        <f>IF(_tbl_odoo_datos2[[#This Row],[Finf2]]="",_tbl_odoo_datos2[[#This Row],[FGer2]],_tbl_odoo_datos2[[#This Row],[Finf2]])</f>
        <v>0</v>
      </c>
    </row>
    <row r="61" spans="1:32" x14ac:dyDescent="0.25">
      <c r="A61" s="12" t="s">
        <v>446</v>
      </c>
      <c r="B61" s="12">
        <v>340</v>
      </c>
      <c r="C61" t="s">
        <v>197</v>
      </c>
      <c r="E61" s="8"/>
      <c r="F61" s="12">
        <v>29</v>
      </c>
      <c r="G61" s="8" t="s">
        <v>154</v>
      </c>
      <c r="H61" s="12">
        <v>3204</v>
      </c>
      <c r="I61" t="s">
        <v>196</v>
      </c>
      <c r="J61" t="s">
        <v>46</v>
      </c>
      <c r="N61" s="12"/>
      <c r="O61" s="8"/>
      <c r="P61">
        <v>1</v>
      </c>
      <c r="Q61" s="8">
        <v>1</v>
      </c>
      <c r="R61" s="12">
        <v>1</v>
      </c>
      <c r="S61" s="8">
        <v>1</v>
      </c>
      <c r="T61" s="12"/>
      <c r="U61" s="8"/>
      <c r="V61" s="2">
        <v>45658</v>
      </c>
      <c r="W61" s="2">
        <v>1</v>
      </c>
      <c r="X61" s="2"/>
      <c r="Y61" s="2">
        <v>45716</v>
      </c>
      <c r="Z61" s="2"/>
      <c r="AB61" s="2"/>
      <c r="AC61" s="2">
        <v>45688</v>
      </c>
      <c r="AD61" s="47">
        <f>IF(_tbl_odoo_datos2[[#This Row],[Finf2]]="",0,1)</f>
        <v>0</v>
      </c>
      <c r="AE61" s="47">
        <f>IF(_tbl_odoo_datos2[[#This Row],[FGer2]]="",0,1)</f>
        <v>1</v>
      </c>
      <c r="AF61" s="2">
        <f>IF(_tbl_odoo_datos2[[#This Row],[Finf2]]="",_tbl_odoo_datos2[[#This Row],[FGer2]],_tbl_odoo_datos2[[#This Row],[Finf2]])</f>
        <v>45688</v>
      </c>
    </row>
    <row r="62" spans="1:32" x14ac:dyDescent="0.25">
      <c r="A62" s="12" t="s">
        <v>446</v>
      </c>
      <c r="B62" s="12">
        <v>279</v>
      </c>
      <c r="C62" t="s">
        <v>198</v>
      </c>
      <c r="E62" s="8"/>
      <c r="F62" s="12">
        <v>29</v>
      </c>
      <c r="G62" s="8" t="s">
        <v>154</v>
      </c>
      <c r="H62" s="12">
        <v>3198</v>
      </c>
      <c r="I62" t="s">
        <v>53</v>
      </c>
      <c r="J62" t="s">
        <v>46</v>
      </c>
      <c r="N62" s="12"/>
      <c r="O62" s="8"/>
      <c r="P62">
        <v>1</v>
      </c>
      <c r="Q62" s="8">
        <v>1</v>
      </c>
      <c r="R62" s="12">
        <v>3</v>
      </c>
      <c r="S62" s="8">
        <v>3</v>
      </c>
      <c r="T62" s="12"/>
      <c r="U62" s="8"/>
      <c r="V62" s="2">
        <v>45658</v>
      </c>
      <c r="W62" s="2">
        <v>1</v>
      </c>
      <c r="X62" s="2"/>
      <c r="Y62" s="2">
        <v>45716</v>
      </c>
      <c r="Z62" s="2"/>
      <c r="AB62" s="2"/>
      <c r="AC62" s="2">
        <v>45688</v>
      </c>
      <c r="AD62" s="47">
        <f>IF(_tbl_odoo_datos2[[#This Row],[Finf2]]="",0,1)</f>
        <v>0</v>
      </c>
      <c r="AE62" s="47">
        <f>IF(_tbl_odoo_datos2[[#This Row],[FGer2]]="",0,1)</f>
        <v>1</v>
      </c>
      <c r="AF62" s="2">
        <f>IF(_tbl_odoo_datos2[[#This Row],[Finf2]]="",_tbl_odoo_datos2[[#This Row],[FGer2]],_tbl_odoo_datos2[[#This Row],[Finf2]])</f>
        <v>45688</v>
      </c>
    </row>
    <row r="63" spans="1:32" x14ac:dyDescent="0.25">
      <c r="A63" s="12" t="s">
        <v>446</v>
      </c>
      <c r="B63" s="12">
        <v>353</v>
      </c>
      <c r="C63" t="s">
        <v>199</v>
      </c>
      <c r="D63">
        <v>247795</v>
      </c>
      <c r="E63" s="8" t="s">
        <v>56</v>
      </c>
      <c r="F63" s="12">
        <v>28</v>
      </c>
      <c r="G63" s="8" t="s">
        <v>52</v>
      </c>
      <c r="H63" s="12">
        <v>3201</v>
      </c>
      <c r="I63" t="s">
        <v>183</v>
      </c>
      <c r="J63" t="s">
        <v>46</v>
      </c>
      <c r="N63" s="12"/>
      <c r="O63" s="8"/>
      <c r="P63">
        <v>1</v>
      </c>
      <c r="Q63" s="8">
        <v>1</v>
      </c>
      <c r="R63" s="12">
        <v>1</v>
      </c>
      <c r="S63" s="8">
        <v>1</v>
      </c>
      <c r="T63" s="12"/>
      <c r="U63" s="8"/>
      <c r="V63" s="2">
        <v>45658</v>
      </c>
      <c r="W63" s="2">
        <v>1</v>
      </c>
      <c r="X63" s="2"/>
      <c r="Y63" s="2">
        <v>45688</v>
      </c>
      <c r="Z63" s="2"/>
      <c r="AA63" t="s">
        <v>200</v>
      </c>
      <c r="AB63" s="2"/>
      <c r="AC63" s="2">
        <v>45657</v>
      </c>
      <c r="AD63" s="47">
        <f>IF(_tbl_odoo_datos2[[#This Row],[Finf2]]="",0,1)</f>
        <v>0</v>
      </c>
      <c r="AE63" s="47">
        <f>IF(_tbl_odoo_datos2[[#This Row],[FGer2]]="",0,1)</f>
        <v>1</v>
      </c>
      <c r="AF63" s="2">
        <f>IF(_tbl_odoo_datos2[[#This Row],[Finf2]]="",_tbl_odoo_datos2[[#This Row],[FGer2]],_tbl_odoo_datos2[[#This Row],[Finf2]])</f>
        <v>45657</v>
      </c>
    </row>
    <row r="64" spans="1:32" x14ac:dyDescent="0.25">
      <c r="A64" s="12" t="s">
        <v>446</v>
      </c>
      <c r="B64" s="12">
        <v>344</v>
      </c>
      <c r="C64" t="s">
        <v>201</v>
      </c>
      <c r="E64" s="8"/>
      <c r="F64" s="12">
        <v>30</v>
      </c>
      <c r="G64" s="8" t="s">
        <v>44</v>
      </c>
      <c r="H64" s="12">
        <v>3204</v>
      </c>
      <c r="I64" t="s">
        <v>196</v>
      </c>
      <c r="J64" t="s">
        <v>46</v>
      </c>
      <c r="N64" s="12"/>
      <c r="O64" s="8"/>
      <c r="P64">
        <v>1</v>
      </c>
      <c r="Q64" s="8">
        <v>1</v>
      </c>
      <c r="R64" s="12">
        <v>3</v>
      </c>
      <c r="S64" s="8">
        <v>3</v>
      </c>
      <c r="T64" s="12"/>
      <c r="U64" s="8"/>
      <c r="V64" s="2">
        <v>45658</v>
      </c>
      <c r="W64" s="2">
        <v>1</v>
      </c>
      <c r="X64" s="2"/>
      <c r="Y64" s="2">
        <v>45726</v>
      </c>
      <c r="Z64" s="2"/>
      <c r="AB64" s="2"/>
      <c r="AC64" s="2">
        <v>45716</v>
      </c>
      <c r="AD64" s="47">
        <f>IF(_tbl_odoo_datos2[[#This Row],[Finf2]]="",0,1)</f>
        <v>0</v>
      </c>
      <c r="AE64" s="47">
        <f>IF(_tbl_odoo_datos2[[#This Row],[FGer2]]="",0,1)</f>
        <v>1</v>
      </c>
      <c r="AF64" s="2">
        <f>IF(_tbl_odoo_datos2[[#This Row],[Finf2]]="",_tbl_odoo_datos2[[#This Row],[FGer2]],_tbl_odoo_datos2[[#This Row],[Finf2]])</f>
        <v>45716</v>
      </c>
    </row>
    <row r="65" spans="1:32" x14ac:dyDescent="0.25">
      <c r="A65" s="12" t="s">
        <v>446</v>
      </c>
      <c r="B65" s="12">
        <v>342</v>
      </c>
      <c r="C65" t="s">
        <v>202</v>
      </c>
      <c r="E65" s="8"/>
      <c r="F65" s="12">
        <v>29</v>
      </c>
      <c r="G65" s="8" t="s">
        <v>154</v>
      </c>
      <c r="H65" s="12">
        <v>3204</v>
      </c>
      <c r="I65" t="s">
        <v>196</v>
      </c>
      <c r="J65" t="s">
        <v>46</v>
      </c>
      <c r="N65" s="12"/>
      <c r="O65" s="8"/>
      <c r="P65">
        <v>1</v>
      </c>
      <c r="Q65" s="8">
        <v>1</v>
      </c>
      <c r="R65" s="12">
        <v>3</v>
      </c>
      <c r="S65" s="8">
        <v>3</v>
      </c>
      <c r="T65" s="12"/>
      <c r="U65" s="8"/>
      <c r="V65" s="2">
        <v>45658</v>
      </c>
      <c r="W65" s="2">
        <v>1</v>
      </c>
      <c r="X65" s="2"/>
      <c r="Y65" s="2">
        <v>45744</v>
      </c>
      <c r="Z65" s="2"/>
      <c r="AB65" s="2"/>
      <c r="AC65" s="2">
        <v>45716</v>
      </c>
      <c r="AD65" s="47">
        <f>IF(_tbl_odoo_datos2[[#This Row],[Finf2]]="",0,1)</f>
        <v>0</v>
      </c>
      <c r="AE65" s="47">
        <f>IF(_tbl_odoo_datos2[[#This Row],[FGer2]]="",0,1)</f>
        <v>1</v>
      </c>
      <c r="AF65" s="2">
        <f>IF(_tbl_odoo_datos2[[#This Row],[Finf2]]="",_tbl_odoo_datos2[[#This Row],[FGer2]],_tbl_odoo_datos2[[#This Row],[Finf2]])</f>
        <v>45716</v>
      </c>
    </row>
    <row r="66" spans="1:32" x14ac:dyDescent="0.25">
      <c r="A66" s="12" t="s">
        <v>446</v>
      </c>
      <c r="B66" s="12">
        <v>330</v>
      </c>
      <c r="C66" t="s">
        <v>203</v>
      </c>
      <c r="D66">
        <v>246933</v>
      </c>
      <c r="E66" s="8" t="s">
        <v>204</v>
      </c>
      <c r="F66" s="12">
        <v>28</v>
      </c>
      <c r="G66" s="8" t="s">
        <v>52</v>
      </c>
      <c r="H66" s="12">
        <v>2767</v>
      </c>
      <c r="I66" t="s">
        <v>118</v>
      </c>
      <c r="J66" t="s">
        <v>46</v>
      </c>
      <c r="N66" s="12"/>
      <c r="O66" s="8"/>
      <c r="P66">
        <v>1</v>
      </c>
      <c r="Q66" s="8">
        <v>1</v>
      </c>
      <c r="R66" s="12">
        <v>2</v>
      </c>
      <c r="S66" s="8">
        <v>2</v>
      </c>
      <c r="T66" s="12"/>
      <c r="U66" s="8"/>
      <c r="V66" s="2">
        <v>45658</v>
      </c>
      <c r="W66" s="2">
        <v>1</v>
      </c>
      <c r="X66" s="2"/>
      <c r="Y66" s="2">
        <v>45744</v>
      </c>
      <c r="Z66" s="2"/>
      <c r="AB66" s="2"/>
      <c r="AC66" s="2">
        <v>45716</v>
      </c>
      <c r="AD66" s="47">
        <f>IF(_tbl_odoo_datos2[[#This Row],[Finf2]]="",0,1)</f>
        <v>0</v>
      </c>
      <c r="AE66" s="47">
        <f>IF(_tbl_odoo_datos2[[#This Row],[FGer2]]="",0,1)</f>
        <v>1</v>
      </c>
      <c r="AF66" s="2">
        <f>IF(_tbl_odoo_datos2[[#This Row],[Finf2]]="",_tbl_odoo_datos2[[#This Row],[FGer2]],_tbl_odoo_datos2[[#This Row],[Finf2]])</f>
        <v>45716</v>
      </c>
    </row>
    <row r="67" spans="1:32" x14ac:dyDescent="0.25">
      <c r="A67" s="12" t="s">
        <v>446</v>
      </c>
      <c r="B67" s="12">
        <v>328</v>
      </c>
      <c r="C67" t="s">
        <v>430</v>
      </c>
      <c r="D67">
        <v>247722</v>
      </c>
      <c r="E67" s="8" t="s">
        <v>117</v>
      </c>
      <c r="F67" s="12">
        <v>21</v>
      </c>
      <c r="G67" s="8" t="s">
        <v>69</v>
      </c>
      <c r="H67" s="12">
        <v>195</v>
      </c>
      <c r="I67" t="s">
        <v>78</v>
      </c>
      <c r="J67" t="s">
        <v>46</v>
      </c>
      <c r="N67" s="12"/>
      <c r="O67" s="8"/>
      <c r="P67">
        <v>1</v>
      </c>
      <c r="Q67" s="8">
        <v>1</v>
      </c>
      <c r="R67" s="12">
        <v>2</v>
      </c>
      <c r="S67" s="8">
        <v>2</v>
      </c>
      <c r="T67" s="12"/>
      <c r="U67" s="8"/>
      <c r="V67" s="2">
        <v>45658</v>
      </c>
      <c r="W67" s="2">
        <v>1</v>
      </c>
      <c r="X67" s="2"/>
      <c r="Y67" s="2">
        <v>45688</v>
      </c>
      <c r="Z67" s="2"/>
      <c r="AB67" s="2"/>
      <c r="AC67" s="2">
        <v>45657</v>
      </c>
      <c r="AD67" s="47">
        <f>IF(_tbl_odoo_datos2[[#This Row],[Finf2]]="",0,1)</f>
        <v>0</v>
      </c>
      <c r="AE67" s="47">
        <f>IF(_tbl_odoo_datos2[[#This Row],[FGer2]]="",0,1)</f>
        <v>1</v>
      </c>
      <c r="AF67" s="2">
        <f>IF(_tbl_odoo_datos2[[#This Row],[Finf2]]="",_tbl_odoo_datos2[[#This Row],[FGer2]],_tbl_odoo_datos2[[#This Row],[Finf2]])</f>
        <v>45657</v>
      </c>
    </row>
    <row r="68" spans="1:32" x14ac:dyDescent="0.25">
      <c r="A68" s="12" t="s">
        <v>446</v>
      </c>
      <c r="B68" s="12">
        <v>0</v>
      </c>
      <c r="C68" t="s">
        <v>205</v>
      </c>
      <c r="D68">
        <v>247884</v>
      </c>
      <c r="E68" s="8" t="s">
        <v>206</v>
      </c>
      <c r="F68" s="12">
        <v>22</v>
      </c>
      <c r="G68" s="8" t="s">
        <v>77</v>
      </c>
      <c r="H68" s="12">
        <v>3204</v>
      </c>
      <c r="I68" t="s">
        <v>196</v>
      </c>
      <c r="J68" t="s">
        <v>46</v>
      </c>
      <c r="L68">
        <v>3</v>
      </c>
      <c r="M68" t="s">
        <v>170</v>
      </c>
      <c r="N68" s="12"/>
      <c r="O68" s="8"/>
      <c r="Q68" s="8"/>
      <c r="R68" s="12"/>
      <c r="S68" s="8"/>
      <c r="T68" s="12"/>
      <c r="U68" s="8"/>
      <c r="V68" s="2">
        <v>45701</v>
      </c>
      <c r="W68" s="2">
        <v>45701</v>
      </c>
      <c r="X68" s="2"/>
      <c r="Y68" s="2">
        <v>45701</v>
      </c>
      <c r="Z68" s="2">
        <v>45701</v>
      </c>
      <c r="AB68" s="2"/>
      <c r="AC68" s="2">
        <v>45688</v>
      </c>
      <c r="AD68" s="47">
        <f>IF(_tbl_odoo_datos2[[#This Row],[Finf2]]="",0,1)</f>
        <v>0</v>
      </c>
      <c r="AE68" s="47">
        <f>IF(_tbl_odoo_datos2[[#This Row],[FGer2]]="",0,1)</f>
        <v>1</v>
      </c>
      <c r="AF68" s="2">
        <f>IF(_tbl_odoo_datos2[[#This Row],[Finf2]]="",_tbl_odoo_datos2[[#This Row],[FGer2]],_tbl_odoo_datos2[[#This Row],[Finf2]])</f>
        <v>45688</v>
      </c>
    </row>
    <row r="69" spans="1:32" x14ac:dyDescent="0.25">
      <c r="A69" s="12" t="s">
        <v>446</v>
      </c>
      <c r="B69" s="12">
        <v>302</v>
      </c>
      <c r="C69" t="s">
        <v>207</v>
      </c>
      <c r="E69" s="8"/>
      <c r="F69" s="12">
        <v>29</v>
      </c>
      <c r="G69" s="8" t="s">
        <v>154</v>
      </c>
      <c r="H69" s="12">
        <v>3202</v>
      </c>
      <c r="I69" t="s">
        <v>165</v>
      </c>
      <c r="J69" t="s">
        <v>46</v>
      </c>
      <c r="N69" s="12"/>
      <c r="O69" s="8"/>
      <c r="P69">
        <v>3</v>
      </c>
      <c r="Q69" s="8">
        <v>3</v>
      </c>
      <c r="R69" s="12">
        <v>1</v>
      </c>
      <c r="S69" s="8">
        <v>1</v>
      </c>
      <c r="T69" s="12"/>
      <c r="U69" s="8"/>
      <c r="V69" s="2">
        <v>45658</v>
      </c>
      <c r="W69" s="2">
        <v>1</v>
      </c>
      <c r="X69" s="2"/>
      <c r="Y69" s="2">
        <v>45726</v>
      </c>
      <c r="Z69" s="2"/>
      <c r="AB69" s="2"/>
      <c r="AC69" s="2">
        <v>45716</v>
      </c>
      <c r="AD69" s="47">
        <f>IF(_tbl_odoo_datos2[[#This Row],[Finf2]]="",0,1)</f>
        <v>0</v>
      </c>
      <c r="AE69" s="47">
        <f>IF(_tbl_odoo_datos2[[#This Row],[FGer2]]="",0,1)</f>
        <v>1</v>
      </c>
      <c r="AF69" s="2">
        <f>IF(_tbl_odoo_datos2[[#This Row],[Finf2]]="",_tbl_odoo_datos2[[#This Row],[FGer2]],_tbl_odoo_datos2[[#This Row],[Finf2]])</f>
        <v>45716</v>
      </c>
    </row>
    <row r="70" spans="1:32" x14ac:dyDescent="0.25">
      <c r="A70" s="12" t="s">
        <v>446</v>
      </c>
      <c r="B70" s="12">
        <v>373</v>
      </c>
      <c r="C70" t="s">
        <v>208</v>
      </c>
      <c r="E70" s="8"/>
      <c r="F70" s="12">
        <v>21</v>
      </c>
      <c r="G70" s="8" t="s">
        <v>69</v>
      </c>
      <c r="H70" s="12">
        <v>195</v>
      </c>
      <c r="I70" t="s">
        <v>78</v>
      </c>
      <c r="J70" t="s">
        <v>46</v>
      </c>
      <c r="K70" t="b">
        <v>1</v>
      </c>
      <c r="N70" s="12"/>
      <c r="O70" s="8"/>
      <c r="Q70" s="8"/>
      <c r="R70" s="12">
        <v>1</v>
      </c>
      <c r="S70" s="8">
        <v>1</v>
      </c>
      <c r="T70" s="12"/>
      <c r="U70" s="8"/>
      <c r="V70" s="2">
        <v>45658</v>
      </c>
      <c r="W70" s="2">
        <v>1</v>
      </c>
      <c r="X70" s="2"/>
      <c r="Y70" s="2">
        <v>45675</v>
      </c>
      <c r="Z70" s="2"/>
      <c r="AB70" s="2"/>
      <c r="AC70" s="2">
        <v>45657</v>
      </c>
      <c r="AD70" s="47">
        <f>IF(_tbl_odoo_datos2[[#This Row],[Finf2]]="",0,1)</f>
        <v>0</v>
      </c>
      <c r="AE70" s="47">
        <f>IF(_tbl_odoo_datos2[[#This Row],[FGer2]]="",0,1)</f>
        <v>1</v>
      </c>
      <c r="AF70" s="2">
        <f>IF(_tbl_odoo_datos2[[#This Row],[Finf2]]="",_tbl_odoo_datos2[[#This Row],[FGer2]],_tbl_odoo_datos2[[#This Row],[Finf2]])</f>
        <v>45657</v>
      </c>
    </row>
    <row r="71" spans="1:32" x14ac:dyDescent="0.25">
      <c r="A71" s="12" t="s">
        <v>446</v>
      </c>
      <c r="B71" s="12">
        <v>0</v>
      </c>
      <c r="C71" t="s">
        <v>209</v>
      </c>
      <c r="D71">
        <v>247647</v>
      </c>
      <c r="E71" s="8" t="s">
        <v>210</v>
      </c>
      <c r="F71" s="12">
        <v>22</v>
      </c>
      <c r="G71" s="8" t="s">
        <v>77</v>
      </c>
      <c r="H71" s="12">
        <v>3233</v>
      </c>
      <c r="I71" t="s">
        <v>45</v>
      </c>
      <c r="J71" t="s">
        <v>46</v>
      </c>
      <c r="K71" t="b">
        <v>1</v>
      </c>
      <c r="L71">
        <v>3</v>
      </c>
      <c r="M71" t="s">
        <v>170</v>
      </c>
      <c r="N71" s="12">
        <v>2</v>
      </c>
      <c r="O71" s="8" t="s">
        <v>171</v>
      </c>
      <c r="P71">
        <v>1</v>
      </c>
      <c r="Q71" s="8">
        <v>1</v>
      </c>
      <c r="R71" s="12">
        <v>1</v>
      </c>
      <c r="S71" s="8">
        <v>1</v>
      </c>
      <c r="T71" s="12">
        <v>2</v>
      </c>
      <c r="U71" s="8" t="s">
        <v>185</v>
      </c>
      <c r="V71" s="2">
        <v>45698</v>
      </c>
      <c r="W71" s="2">
        <v>45699</v>
      </c>
      <c r="X71" s="2"/>
      <c r="Y71" s="2"/>
      <c r="Z71" s="2"/>
      <c r="AA71" t="s">
        <v>211</v>
      </c>
      <c r="AB71" s="2"/>
      <c r="AC71" s="2"/>
      <c r="AD71" s="47">
        <f>IF(_tbl_odoo_datos2[[#This Row],[Finf2]]="",0,1)</f>
        <v>0</v>
      </c>
      <c r="AE71" s="47">
        <f>IF(_tbl_odoo_datos2[[#This Row],[FGer2]]="",0,1)</f>
        <v>0</v>
      </c>
      <c r="AF71" s="2">
        <f>IF(_tbl_odoo_datos2[[#This Row],[Finf2]]="",_tbl_odoo_datos2[[#This Row],[FGer2]],_tbl_odoo_datos2[[#This Row],[Finf2]])</f>
        <v>0</v>
      </c>
    </row>
    <row r="72" spans="1:32" x14ac:dyDescent="0.25">
      <c r="A72" s="12" t="s">
        <v>446</v>
      </c>
      <c r="B72" s="12">
        <v>0</v>
      </c>
      <c r="C72" t="s">
        <v>212</v>
      </c>
      <c r="D72">
        <v>289030</v>
      </c>
      <c r="E72" s="8" t="s">
        <v>213</v>
      </c>
      <c r="F72" s="12">
        <v>29</v>
      </c>
      <c r="G72" s="8" t="s">
        <v>154</v>
      </c>
      <c r="H72" s="12">
        <v>3198</v>
      </c>
      <c r="I72" t="s">
        <v>53</v>
      </c>
      <c r="J72" t="s">
        <v>46</v>
      </c>
      <c r="K72" t="b">
        <v>1</v>
      </c>
      <c r="L72">
        <v>3</v>
      </c>
      <c r="M72" t="s">
        <v>170</v>
      </c>
      <c r="N72" s="12">
        <v>1</v>
      </c>
      <c r="O72" s="8" t="s">
        <v>176</v>
      </c>
      <c r="P72">
        <v>2</v>
      </c>
      <c r="Q72" s="8">
        <v>2</v>
      </c>
      <c r="R72" s="12">
        <v>1</v>
      </c>
      <c r="S72" s="8">
        <v>1</v>
      </c>
      <c r="T72" s="12">
        <v>1</v>
      </c>
      <c r="U72" s="8" t="s">
        <v>172</v>
      </c>
      <c r="V72" s="2">
        <v>45705</v>
      </c>
      <c r="W72" s="2">
        <v>45705</v>
      </c>
      <c r="X72" s="2"/>
      <c r="Y72" s="2"/>
      <c r="Z72" s="2"/>
      <c r="AB72" s="2"/>
      <c r="AC72" s="2"/>
      <c r="AD72" s="47">
        <f>IF(_tbl_odoo_datos2[[#This Row],[Finf2]]="",0,1)</f>
        <v>0</v>
      </c>
      <c r="AE72" s="47">
        <f>IF(_tbl_odoo_datos2[[#This Row],[FGer2]]="",0,1)</f>
        <v>0</v>
      </c>
      <c r="AF72" s="2">
        <f>IF(_tbl_odoo_datos2[[#This Row],[Finf2]]="",_tbl_odoo_datos2[[#This Row],[FGer2]],_tbl_odoo_datos2[[#This Row],[Finf2]])</f>
        <v>0</v>
      </c>
    </row>
    <row r="73" spans="1:32" x14ac:dyDescent="0.25">
      <c r="A73" s="12" t="s">
        <v>446</v>
      </c>
      <c r="B73" s="12">
        <v>277</v>
      </c>
      <c r="C73" t="s">
        <v>214</v>
      </c>
      <c r="D73">
        <v>247857</v>
      </c>
      <c r="E73" s="8" t="s">
        <v>62</v>
      </c>
      <c r="F73" s="12">
        <v>21</v>
      </c>
      <c r="G73" s="8" t="s">
        <v>69</v>
      </c>
      <c r="H73" s="12">
        <v>3198</v>
      </c>
      <c r="I73" t="s">
        <v>53</v>
      </c>
      <c r="J73" t="s">
        <v>46</v>
      </c>
      <c r="N73" s="12"/>
      <c r="O73" s="8"/>
      <c r="P73">
        <v>1</v>
      </c>
      <c r="Q73" s="8">
        <v>1</v>
      </c>
      <c r="R73" s="12">
        <v>2</v>
      </c>
      <c r="S73" s="8">
        <v>2</v>
      </c>
      <c r="T73" s="12"/>
      <c r="U73" s="8"/>
      <c r="V73" s="2">
        <v>45658</v>
      </c>
      <c r="W73" s="2">
        <v>1</v>
      </c>
      <c r="X73" s="2"/>
      <c r="Y73" s="2">
        <v>45688</v>
      </c>
      <c r="Z73" s="2"/>
      <c r="AA73" t="s">
        <v>215</v>
      </c>
      <c r="AB73" s="2"/>
      <c r="AC73" s="2">
        <v>45657</v>
      </c>
      <c r="AD73" s="47">
        <f>IF(_tbl_odoo_datos2[[#This Row],[Finf2]]="",0,1)</f>
        <v>0</v>
      </c>
      <c r="AE73" s="47">
        <f>IF(_tbl_odoo_datos2[[#This Row],[FGer2]]="",0,1)</f>
        <v>1</v>
      </c>
      <c r="AF73" s="2">
        <f>IF(_tbl_odoo_datos2[[#This Row],[Finf2]]="",_tbl_odoo_datos2[[#This Row],[FGer2]],_tbl_odoo_datos2[[#This Row],[Finf2]])</f>
        <v>45657</v>
      </c>
    </row>
    <row r="74" spans="1:32" x14ac:dyDescent="0.25">
      <c r="A74" s="12" t="s">
        <v>446</v>
      </c>
      <c r="B74" s="12">
        <v>0</v>
      </c>
      <c r="C74" t="s">
        <v>216</v>
      </c>
      <c r="E74" s="8"/>
      <c r="F74" s="12">
        <v>21</v>
      </c>
      <c r="G74" s="8" t="s">
        <v>69</v>
      </c>
      <c r="H74" s="12">
        <v>3198</v>
      </c>
      <c r="I74" t="s">
        <v>53</v>
      </c>
      <c r="J74" t="s">
        <v>46</v>
      </c>
      <c r="N74" s="12"/>
      <c r="O74" s="8"/>
      <c r="Q74" s="8"/>
      <c r="R74" s="12"/>
      <c r="S74" s="8"/>
      <c r="T74" s="12"/>
      <c r="U74" s="8"/>
      <c r="V74" s="2"/>
      <c r="W74" s="2"/>
      <c r="X74" s="2"/>
      <c r="Y74" s="2"/>
      <c r="Z74" s="2"/>
      <c r="AB74" s="2"/>
      <c r="AC74" s="2"/>
      <c r="AD74" s="47">
        <f>IF(_tbl_odoo_datos2[[#This Row],[Finf2]]="",0,1)</f>
        <v>0</v>
      </c>
      <c r="AE74" s="47">
        <f>IF(_tbl_odoo_datos2[[#This Row],[FGer2]]="",0,1)</f>
        <v>0</v>
      </c>
      <c r="AF74" s="2">
        <f>IF(_tbl_odoo_datos2[[#This Row],[Finf2]]="",_tbl_odoo_datos2[[#This Row],[FGer2]],_tbl_odoo_datos2[[#This Row],[Finf2]])</f>
        <v>0</v>
      </c>
    </row>
    <row r="75" spans="1:32" x14ac:dyDescent="0.25">
      <c r="A75" s="12" t="s">
        <v>446</v>
      </c>
      <c r="B75" s="12">
        <v>359</v>
      </c>
      <c r="C75" t="s">
        <v>217</v>
      </c>
      <c r="E75" s="8"/>
      <c r="F75" s="12">
        <v>21</v>
      </c>
      <c r="G75" s="8" t="s">
        <v>69</v>
      </c>
      <c r="H75" s="12">
        <v>3201</v>
      </c>
      <c r="I75" t="s">
        <v>183</v>
      </c>
      <c r="J75" t="s">
        <v>46</v>
      </c>
      <c r="K75" t="b">
        <v>1</v>
      </c>
      <c r="N75" s="12"/>
      <c r="O75" s="8"/>
      <c r="P75">
        <v>1</v>
      </c>
      <c r="Q75" s="8">
        <v>1</v>
      </c>
      <c r="R75" s="12">
        <v>1</v>
      </c>
      <c r="S75" s="8">
        <v>1</v>
      </c>
      <c r="T75" s="12"/>
      <c r="U75" s="8"/>
      <c r="V75" s="2">
        <v>45677</v>
      </c>
      <c r="W75" s="2">
        <v>1</v>
      </c>
      <c r="X75" s="2"/>
      <c r="Y75" s="2">
        <v>45688</v>
      </c>
      <c r="Z75" s="2"/>
      <c r="AB75" s="2"/>
      <c r="AC75" s="2">
        <v>45657</v>
      </c>
      <c r="AD75" s="47">
        <f>IF(_tbl_odoo_datos2[[#This Row],[Finf2]]="",0,1)</f>
        <v>0</v>
      </c>
      <c r="AE75" s="47">
        <f>IF(_tbl_odoo_datos2[[#This Row],[FGer2]]="",0,1)</f>
        <v>1</v>
      </c>
      <c r="AF75" s="2">
        <f>IF(_tbl_odoo_datos2[[#This Row],[Finf2]]="",_tbl_odoo_datos2[[#This Row],[FGer2]],_tbl_odoo_datos2[[#This Row],[Finf2]])</f>
        <v>45657</v>
      </c>
    </row>
    <row r="76" spans="1:32" x14ac:dyDescent="0.25">
      <c r="A76" s="12" t="s">
        <v>446</v>
      </c>
      <c r="B76" s="12">
        <v>319</v>
      </c>
      <c r="C76" t="s">
        <v>218</v>
      </c>
      <c r="D76">
        <v>247857</v>
      </c>
      <c r="E76" s="8" t="s">
        <v>62</v>
      </c>
      <c r="F76" s="12">
        <v>28</v>
      </c>
      <c r="G76" s="8" t="s">
        <v>52</v>
      </c>
      <c r="H76" s="12">
        <v>2767</v>
      </c>
      <c r="I76" t="s">
        <v>118</v>
      </c>
      <c r="J76" t="s">
        <v>46</v>
      </c>
      <c r="N76" s="12"/>
      <c r="O76" s="8"/>
      <c r="P76">
        <v>1</v>
      </c>
      <c r="Q76" s="8">
        <v>1</v>
      </c>
      <c r="R76" s="12">
        <v>1</v>
      </c>
      <c r="S76" s="8">
        <v>1</v>
      </c>
      <c r="T76" s="12"/>
      <c r="U76" s="8"/>
      <c r="V76" s="2">
        <v>45658</v>
      </c>
      <c r="W76" s="2">
        <v>1</v>
      </c>
      <c r="X76" s="2"/>
      <c r="Y76" s="2">
        <v>45775</v>
      </c>
      <c r="Z76" s="2"/>
      <c r="AA76" t="s">
        <v>219</v>
      </c>
      <c r="AB76" s="2"/>
      <c r="AC76" s="2">
        <v>45747</v>
      </c>
      <c r="AD76" s="47">
        <f>IF(_tbl_odoo_datos2[[#This Row],[Finf2]]="",0,1)</f>
        <v>0</v>
      </c>
      <c r="AE76" s="47">
        <f>IF(_tbl_odoo_datos2[[#This Row],[FGer2]]="",0,1)</f>
        <v>1</v>
      </c>
      <c r="AF76" s="2">
        <f>IF(_tbl_odoo_datos2[[#This Row],[Finf2]]="",_tbl_odoo_datos2[[#This Row],[FGer2]],_tbl_odoo_datos2[[#This Row],[Finf2]])</f>
        <v>45747</v>
      </c>
    </row>
    <row r="77" spans="1:32" x14ac:dyDescent="0.25">
      <c r="A77" s="12" t="s">
        <v>446</v>
      </c>
      <c r="B77" s="12">
        <v>0</v>
      </c>
      <c r="C77" t="s">
        <v>220</v>
      </c>
      <c r="E77" s="8"/>
      <c r="F77" s="12">
        <v>28</v>
      </c>
      <c r="G77" s="8" t="s">
        <v>52</v>
      </c>
      <c r="H77" s="12">
        <v>3203</v>
      </c>
      <c r="I77" t="s">
        <v>127</v>
      </c>
      <c r="J77" t="s">
        <v>46</v>
      </c>
      <c r="N77" s="12"/>
      <c r="O77" s="8"/>
      <c r="Q77" s="8"/>
      <c r="R77" s="12"/>
      <c r="S77" s="8"/>
      <c r="T77" s="12"/>
      <c r="U77" s="8"/>
      <c r="V77" s="2">
        <v>45691</v>
      </c>
      <c r="W77" s="2">
        <v>45691</v>
      </c>
      <c r="X77" s="2"/>
      <c r="Y77" s="2"/>
      <c r="Z77" s="2"/>
      <c r="AB77" s="2"/>
      <c r="AC77" s="2"/>
      <c r="AD77" s="47">
        <f>IF(_tbl_odoo_datos2[[#This Row],[Finf2]]="",0,1)</f>
        <v>0</v>
      </c>
      <c r="AE77" s="47">
        <f>IF(_tbl_odoo_datos2[[#This Row],[FGer2]]="",0,1)</f>
        <v>0</v>
      </c>
      <c r="AF77" s="2">
        <f>IF(_tbl_odoo_datos2[[#This Row],[Finf2]]="",_tbl_odoo_datos2[[#This Row],[FGer2]],_tbl_odoo_datos2[[#This Row],[Finf2]])</f>
        <v>0</v>
      </c>
    </row>
    <row r="78" spans="1:32" x14ac:dyDescent="0.25">
      <c r="A78" s="12" t="s">
        <v>446</v>
      </c>
      <c r="B78" s="12">
        <v>0</v>
      </c>
      <c r="C78" t="s">
        <v>221</v>
      </c>
      <c r="D78">
        <v>247417</v>
      </c>
      <c r="E78" s="8" t="s">
        <v>222</v>
      </c>
      <c r="F78" s="12">
        <v>21</v>
      </c>
      <c r="G78" s="8" t="s">
        <v>69</v>
      </c>
      <c r="H78" s="12">
        <v>3202</v>
      </c>
      <c r="I78" t="s">
        <v>165</v>
      </c>
      <c r="J78" t="s">
        <v>46</v>
      </c>
      <c r="L78">
        <v>4</v>
      </c>
      <c r="M78" t="s">
        <v>175</v>
      </c>
      <c r="N78" s="12">
        <v>1</v>
      </c>
      <c r="O78" s="8" t="s">
        <v>176</v>
      </c>
      <c r="P78">
        <v>1</v>
      </c>
      <c r="Q78" s="8">
        <v>1</v>
      </c>
      <c r="R78" s="12">
        <v>2</v>
      </c>
      <c r="S78" s="8">
        <v>2</v>
      </c>
      <c r="T78" s="12">
        <v>1</v>
      </c>
      <c r="U78" s="8" t="s">
        <v>172</v>
      </c>
      <c r="V78" s="2">
        <v>45692</v>
      </c>
      <c r="W78" s="2">
        <v>45692</v>
      </c>
      <c r="X78" s="2"/>
      <c r="Y78" s="2">
        <v>45693</v>
      </c>
      <c r="Z78" s="2">
        <v>45693</v>
      </c>
      <c r="AB78" s="2"/>
      <c r="AC78" s="2">
        <v>45688</v>
      </c>
      <c r="AD78" s="47">
        <f>IF(_tbl_odoo_datos2[[#This Row],[Finf2]]="",0,1)</f>
        <v>0</v>
      </c>
      <c r="AE78" s="47">
        <f>IF(_tbl_odoo_datos2[[#This Row],[FGer2]]="",0,1)</f>
        <v>1</v>
      </c>
      <c r="AF78" s="2">
        <f>IF(_tbl_odoo_datos2[[#This Row],[Finf2]]="",_tbl_odoo_datos2[[#This Row],[FGer2]],_tbl_odoo_datos2[[#This Row],[Finf2]])</f>
        <v>45688</v>
      </c>
    </row>
    <row r="79" spans="1:32" x14ac:dyDescent="0.25">
      <c r="A79" s="12" t="s">
        <v>446</v>
      </c>
      <c r="B79" s="12">
        <v>0</v>
      </c>
      <c r="C79" t="s">
        <v>223</v>
      </c>
      <c r="D79">
        <v>247804</v>
      </c>
      <c r="E79" s="8" t="s">
        <v>224</v>
      </c>
      <c r="F79" s="12">
        <v>22</v>
      </c>
      <c r="G79" s="8" t="s">
        <v>77</v>
      </c>
      <c r="H79" s="12">
        <v>3204</v>
      </c>
      <c r="I79" t="s">
        <v>196</v>
      </c>
      <c r="J79" t="s">
        <v>46</v>
      </c>
      <c r="N79" s="12"/>
      <c r="O79" s="8"/>
      <c r="Q79" s="8"/>
      <c r="R79" s="12"/>
      <c r="S79" s="8"/>
      <c r="T79" s="12"/>
      <c r="U79" s="8"/>
      <c r="V79" s="2">
        <v>45698</v>
      </c>
      <c r="W79" s="2">
        <v>45698</v>
      </c>
      <c r="X79" s="2"/>
      <c r="Y79" s="2">
        <v>45698</v>
      </c>
      <c r="Z79" s="2">
        <v>45698</v>
      </c>
      <c r="AB79" s="2"/>
      <c r="AC79" s="2">
        <v>45688</v>
      </c>
      <c r="AD79" s="47">
        <f>IF(_tbl_odoo_datos2[[#This Row],[Finf2]]="",0,1)</f>
        <v>0</v>
      </c>
      <c r="AE79" s="47">
        <f>IF(_tbl_odoo_datos2[[#This Row],[FGer2]]="",0,1)</f>
        <v>1</v>
      </c>
      <c r="AF79" s="2">
        <f>IF(_tbl_odoo_datos2[[#This Row],[Finf2]]="",_tbl_odoo_datos2[[#This Row],[FGer2]],_tbl_odoo_datos2[[#This Row],[Finf2]])</f>
        <v>45688</v>
      </c>
    </row>
    <row r="80" spans="1:32" x14ac:dyDescent="0.25">
      <c r="A80" s="12" t="s">
        <v>446</v>
      </c>
      <c r="B80" s="12">
        <v>0</v>
      </c>
      <c r="C80" t="s">
        <v>225</v>
      </c>
      <c r="D80">
        <v>247897</v>
      </c>
      <c r="E80" s="8" t="s">
        <v>226</v>
      </c>
      <c r="F80" s="12">
        <v>21</v>
      </c>
      <c r="G80" s="8" t="s">
        <v>69</v>
      </c>
      <c r="H80" s="12">
        <v>3202</v>
      </c>
      <c r="I80" t="s">
        <v>165</v>
      </c>
      <c r="J80" t="s">
        <v>46</v>
      </c>
      <c r="K80" t="b">
        <v>1</v>
      </c>
      <c r="L80">
        <v>4</v>
      </c>
      <c r="M80" t="s">
        <v>175</v>
      </c>
      <c r="N80" s="12">
        <v>1</v>
      </c>
      <c r="O80" s="8" t="s">
        <v>176</v>
      </c>
      <c r="P80">
        <v>2</v>
      </c>
      <c r="Q80" s="8">
        <v>2</v>
      </c>
      <c r="R80" s="12">
        <v>2</v>
      </c>
      <c r="S80" s="8">
        <v>2</v>
      </c>
      <c r="T80" s="12">
        <v>1</v>
      </c>
      <c r="U80" s="8" t="s">
        <v>172</v>
      </c>
      <c r="V80" s="2">
        <v>45701</v>
      </c>
      <c r="W80" s="2">
        <v>45701</v>
      </c>
      <c r="X80" s="2"/>
      <c r="Y80" s="2">
        <v>45701</v>
      </c>
      <c r="Z80" s="2">
        <v>45701</v>
      </c>
      <c r="AB80" s="2"/>
      <c r="AC80" s="2">
        <v>45688</v>
      </c>
      <c r="AD80" s="47">
        <f>IF(_tbl_odoo_datos2[[#This Row],[Finf2]]="",0,1)</f>
        <v>0</v>
      </c>
      <c r="AE80" s="47">
        <f>IF(_tbl_odoo_datos2[[#This Row],[FGer2]]="",0,1)</f>
        <v>1</v>
      </c>
      <c r="AF80" s="2">
        <f>IF(_tbl_odoo_datos2[[#This Row],[Finf2]]="",_tbl_odoo_datos2[[#This Row],[FGer2]],_tbl_odoo_datos2[[#This Row],[Finf2]])</f>
        <v>45688</v>
      </c>
    </row>
    <row r="81" spans="1:32" x14ac:dyDescent="0.25">
      <c r="A81" s="12" t="s">
        <v>446</v>
      </c>
      <c r="B81" s="12">
        <v>0</v>
      </c>
      <c r="C81" t="s">
        <v>227</v>
      </c>
      <c r="E81" s="8"/>
      <c r="F81" s="12">
        <v>21</v>
      </c>
      <c r="G81" s="8" t="s">
        <v>69</v>
      </c>
      <c r="H81" s="12">
        <v>3201</v>
      </c>
      <c r="I81" t="s">
        <v>183</v>
      </c>
      <c r="J81" t="s">
        <v>46</v>
      </c>
      <c r="L81">
        <v>4</v>
      </c>
      <c r="M81" t="s">
        <v>175</v>
      </c>
      <c r="N81" s="12">
        <v>1</v>
      </c>
      <c r="O81" s="8" t="s">
        <v>176</v>
      </c>
      <c r="P81">
        <v>2</v>
      </c>
      <c r="Q81" s="8">
        <v>2</v>
      </c>
      <c r="R81" s="12">
        <v>3</v>
      </c>
      <c r="S81" s="8">
        <v>3</v>
      </c>
      <c r="T81" s="12">
        <v>2</v>
      </c>
      <c r="U81" s="8" t="s">
        <v>185</v>
      </c>
      <c r="V81" s="2">
        <v>45658</v>
      </c>
      <c r="W81" s="2">
        <v>45658</v>
      </c>
      <c r="X81" s="2"/>
      <c r="Y81" s="2">
        <v>45688</v>
      </c>
      <c r="Z81" s="2">
        <v>45688</v>
      </c>
      <c r="AB81" s="2"/>
      <c r="AC81" s="2">
        <v>45657</v>
      </c>
      <c r="AD81" s="47">
        <f>IF(_tbl_odoo_datos2[[#This Row],[Finf2]]="",0,1)</f>
        <v>0</v>
      </c>
      <c r="AE81" s="47">
        <f>IF(_tbl_odoo_datos2[[#This Row],[FGer2]]="",0,1)</f>
        <v>1</v>
      </c>
      <c r="AF81" s="2">
        <f>IF(_tbl_odoo_datos2[[#This Row],[Finf2]]="",_tbl_odoo_datos2[[#This Row],[FGer2]],_tbl_odoo_datos2[[#This Row],[Finf2]])</f>
        <v>45657</v>
      </c>
    </row>
    <row r="82" spans="1:32" x14ac:dyDescent="0.25">
      <c r="A82" s="12" t="s">
        <v>446</v>
      </c>
      <c r="B82" s="12">
        <v>0</v>
      </c>
      <c r="C82" t="s">
        <v>228</v>
      </c>
      <c r="E82" s="8"/>
      <c r="F82" s="12">
        <v>22</v>
      </c>
      <c r="G82" s="8" t="s">
        <v>77</v>
      </c>
      <c r="H82" s="12">
        <v>3201</v>
      </c>
      <c r="I82" t="s">
        <v>183</v>
      </c>
      <c r="J82" t="s">
        <v>46</v>
      </c>
      <c r="L82">
        <v>4</v>
      </c>
      <c r="M82" t="s">
        <v>175</v>
      </c>
      <c r="N82" s="12">
        <v>1</v>
      </c>
      <c r="O82" s="8" t="s">
        <v>176</v>
      </c>
      <c r="P82">
        <v>2</v>
      </c>
      <c r="Q82" s="8">
        <v>2</v>
      </c>
      <c r="R82" s="12">
        <v>3</v>
      </c>
      <c r="S82" s="8">
        <v>3</v>
      </c>
      <c r="T82" s="12">
        <v>1</v>
      </c>
      <c r="U82" s="8" t="s">
        <v>172</v>
      </c>
      <c r="V82" s="2">
        <v>45689</v>
      </c>
      <c r="W82" s="2">
        <v>45689</v>
      </c>
      <c r="X82" s="2"/>
      <c r="Y82" s="2">
        <v>45716</v>
      </c>
      <c r="Z82" s="2"/>
      <c r="AB82" s="2"/>
      <c r="AC82" s="2">
        <v>45688</v>
      </c>
      <c r="AD82" s="47">
        <f>IF(_tbl_odoo_datos2[[#This Row],[Finf2]]="",0,1)</f>
        <v>0</v>
      </c>
      <c r="AE82" s="47">
        <f>IF(_tbl_odoo_datos2[[#This Row],[FGer2]]="",0,1)</f>
        <v>1</v>
      </c>
      <c r="AF82" s="2">
        <f>IF(_tbl_odoo_datos2[[#This Row],[Finf2]]="",_tbl_odoo_datos2[[#This Row],[FGer2]],_tbl_odoo_datos2[[#This Row],[Finf2]])</f>
        <v>45688</v>
      </c>
    </row>
    <row r="83" spans="1:32" x14ac:dyDescent="0.25">
      <c r="A83" s="12" t="s">
        <v>446</v>
      </c>
      <c r="B83" s="12">
        <v>0</v>
      </c>
      <c r="C83" t="s">
        <v>229</v>
      </c>
      <c r="D83">
        <v>246832</v>
      </c>
      <c r="E83" s="8" t="s">
        <v>230</v>
      </c>
      <c r="F83" s="12">
        <v>22</v>
      </c>
      <c r="G83" s="8" t="s">
        <v>77</v>
      </c>
      <c r="H83" s="12">
        <v>3204</v>
      </c>
      <c r="I83" t="s">
        <v>196</v>
      </c>
      <c r="J83" t="s">
        <v>46</v>
      </c>
      <c r="L83">
        <v>4</v>
      </c>
      <c r="M83" t="s">
        <v>175</v>
      </c>
      <c r="N83" s="12"/>
      <c r="O83" s="8"/>
      <c r="Q83" s="8"/>
      <c r="R83" s="12"/>
      <c r="S83" s="8"/>
      <c r="T83" s="12"/>
      <c r="U83" s="8"/>
      <c r="V83" s="2">
        <v>45700</v>
      </c>
      <c r="W83" s="2">
        <v>45700</v>
      </c>
      <c r="X83" s="2"/>
      <c r="Y83" s="2">
        <v>45700</v>
      </c>
      <c r="Z83" s="2">
        <v>45700</v>
      </c>
      <c r="AB83" s="2"/>
      <c r="AC83" s="2">
        <v>45688</v>
      </c>
      <c r="AD83" s="47">
        <f>IF(_tbl_odoo_datos2[[#This Row],[Finf2]]="",0,1)</f>
        <v>0</v>
      </c>
      <c r="AE83" s="47">
        <f>IF(_tbl_odoo_datos2[[#This Row],[FGer2]]="",0,1)</f>
        <v>1</v>
      </c>
      <c r="AF83" s="2">
        <f>IF(_tbl_odoo_datos2[[#This Row],[Finf2]]="",_tbl_odoo_datos2[[#This Row],[FGer2]],_tbl_odoo_datos2[[#This Row],[Finf2]])</f>
        <v>45688</v>
      </c>
    </row>
    <row r="84" spans="1:32" x14ac:dyDescent="0.25">
      <c r="A84" s="12" t="s">
        <v>446</v>
      </c>
      <c r="B84" s="12">
        <v>0</v>
      </c>
      <c r="C84" t="s">
        <v>231</v>
      </c>
      <c r="E84" s="8"/>
      <c r="F84" s="12">
        <v>30</v>
      </c>
      <c r="G84" s="8" t="s">
        <v>44</v>
      </c>
      <c r="H84" s="12">
        <v>195</v>
      </c>
      <c r="I84" t="s">
        <v>78</v>
      </c>
      <c r="J84" t="s">
        <v>46</v>
      </c>
      <c r="N84" s="12"/>
      <c r="O84" s="8"/>
      <c r="Q84" s="8"/>
      <c r="R84" s="12"/>
      <c r="S84" s="8"/>
      <c r="T84" s="12"/>
      <c r="U84" s="8"/>
      <c r="V84" s="2"/>
      <c r="W84" s="2"/>
      <c r="X84" s="2"/>
      <c r="Y84" s="2"/>
      <c r="Z84" s="2"/>
      <c r="AB84" s="2"/>
      <c r="AC84" s="2"/>
      <c r="AD84" s="47">
        <f>IF(_tbl_odoo_datos2[[#This Row],[Finf2]]="",0,1)</f>
        <v>0</v>
      </c>
      <c r="AE84" s="47">
        <f>IF(_tbl_odoo_datos2[[#This Row],[FGer2]]="",0,1)</f>
        <v>0</v>
      </c>
      <c r="AF84" s="2">
        <f>IF(_tbl_odoo_datos2[[#This Row],[Finf2]]="",_tbl_odoo_datos2[[#This Row],[FGer2]],_tbl_odoo_datos2[[#This Row],[Finf2]])</f>
        <v>0</v>
      </c>
    </row>
    <row r="85" spans="1:32" x14ac:dyDescent="0.25">
      <c r="A85" s="12" t="s">
        <v>446</v>
      </c>
      <c r="B85" s="12">
        <v>354</v>
      </c>
      <c r="C85" t="s">
        <v>232</v>
      </c>
      <c r="D85">
        <v>247791</v>
      </c>
      <c r="E85" s="8" t="s">
        <v>182</v>
      </c>
      <c r="F85" s="12">
        <v>27</v>
      </c>
      <c r="G85" s="8" t="s">
        <v>178</v>
      </c>
      <c r="H85" s="12">
        <v>3201</v>
      </c>
      <c r="I85" t="s">
        <v>183</v>
      </c>
      <c r="J85" t="s">
        <v>46</v>
      </c>
      <c r="N85" s="12"/>
      <c r="O85" s="8"/>
      <c r="P85">
        <v>1</v>
      </c>
      <c r="Q85" s="8">
        <v>1</v>
      </c>
      <c r="R85" s="12">
        <v>1</v>
      </c>
      <c r="S85" s="8">
        <v>1</v>
      </c>
      <c r="T85" s="12"/>
      <c r="U85" s="8"/>
      <c r="V85" s="2">
        <v>45658</v>
      </c>
      <c r="W85" s="2">
        <v>1</v>
      </c>
      <c r="X85" s="2"/>
      <c r="Y85" s="2">
        <v>45747</v>
      </c>
      <c r="Z85" s="2"/>
      <c r="AB85" s="2"/>
      <c r="AC85" s="2">
        <v>45716</v>
      </c>
      <c r="AD85" s="47">
        <f>IF(_tbl_odoo_datos2[[#This Row],[Finf2]]="",0,1)</f>
        <v>0</v>
      </c>
      <c r="AE85" s="47">
        <f>IF(_tbl_odoo_datos2[[#This Row],[FGer2]]="",0,1)</f>
        <v>1</v>
      </c>
      <c r="AF85" s="2">
        <f>IF(_tbl_odoo_datos2[[#This Row],[Finf2]]="",_tbl_odoo_datos2[[#This Row],[FGer2]],_tbl_odoo_datos2[[#This Row],[Finf2]])</f>
        <v>45716</v>
      </c>
    </row>
    <row r="86" spans="1:32" x14ac:dyDescent="0.25">
      <c r="A86" s="12" t="s">
        <v>446</v>
      </c>
      <c r="B86" s="12">
        <v>297</v>
      </c>
      <c r="C86" t="s">
        <v>233</v>
      </c>
      <c r="D86">
        <v>289006</v>
      </c>
      <c r="E86" s="8" t="s">
        <v>76</v>
      </c>
      <c r="F86" s="12">
        <v>30</v>
      </c>
      <c r="G86" s="8" t="s">
        <v>44</v>
      </c>
      <c r="H86" s="12">
        <v>195</v>
      </c>
      <c r="I86" t="s">
        <v>78</v>
      </c>
      <c r="J86" t="s">
        <v>46</v>
      </c>
      <c r="N86" s="12"/>
      <c r="O86" s="8"/>
      <c r="P86">
        <v>1</v>
      </c>
      <c r="Q86" s="8">
        <v>1</v>
      </c>
      <c r="R86" s="12">
        <v>1</v>
      </c>
      <c r="S86" s="8">
        <v>1</v>
      </c>
      <c r="T86" s="12"/>
      <c r="U86" s="8"/>
      <c r="V86" s="2">
        <v>45658</v>
      </c>
      <c r="W86" s="2">
        <v>1</v>
      </c>
      <c r="X86" s="2"/>
      <c r="Y86" s="2">
        <v>45702</v>
      </c>
      <c r="Z86" s="2"/>
      <c r="AB86" s="2"/>
      <c r="AC86" s="2">
        <v>45688</v>
      </c>
      <c r="AD86" s="47">
        <f>IF(_tbl_odoo_datos2[[#This Row],[Finf2]]="",0,1)</f>
        <v>0</v>
      </c>
      <c r="AE86" s="47">
        <f>IF(_tbl_odoo_datos2[[#This Row],[FGer2]]="",0,1)</f>
        <v>1</v>
      </c>
      <c r="AF86" s="2">
        <f>IF(_tbl_odoo_datos2[[#This Row],[Finf2]]="",_tbl_odoo_datos2[[#This Row],[FGer2]],_tbl_odoo_datos2[[#This Row],[Finf2]])</f>
        <v>45688</v>
      </c>
    </row>
    <row r="87" spans="1:32" x14ac:dyDescent="0.25">
      <c r="A87" s="12" t="s">
        <v>446</v>
      </c>
      <c r="B87" s="12">
        <v>0</v>
      </c>
      <c r="C87" t="s">
        <v>234</v>
      </c>
      <c r="D87">
        <v>247857</v>
      </c>
      <c r="E87" s="8" t="s">
        <v>62</v>
      </c>
      <c r="F87" s="12">
        <v>22</v>
      </c>
      <c r="G87" s="8" t="s">
        <v>77</v>
      </c>
      <c r="H87" s="12">
        <v>195</v>
      </c>
      <c r="I87" t="s">
        <v>78</v>
      </c>
      <c r="J87" t="s">
        <v>46</v>
      </c>
      <c r="K87" t="b">
        <v>1</v>
      </c>
      <c r="L87">
        <v>2</v>
      </c>
      <c r="M87" t="s">
        <v>184</v>
      </c>
      <c r="N87" s="12">
        <v>2</v>
      </c>
      <c r="O87" s="8" t="s">
        <v>171</v>
      </c>
      <c r="P87">
        <v>2</v>
      </c>
      <c r="Q87" s="8">
        <v>2</v>
      </c>
      <c r="R87" s="12">
        <v>2</v>
      </c>
      <c r="S87" s="8">
        <v>2</v>
      </c>
      <c r="T87" s="12">
        <v>2</v>
      </c>
      <c r="U87" s="8" t="s">
        <v>185</v>
      </c>
      <c r="V87" s="2">
        <v>45689</v>
      </c>
      <c r="W87" s="2">
        <v>45689</v>
      </c>
      <c r="X87" s="2"/>
      <c r="Y87" s="2">
        <v>45702</v>
      </c>
      <c r="Z87" s="2"/>
      <c r="AA87" t="s">
        <v>235</v>
      </c>
      <c r="AB87" s="2"/>
      <c r="AC87" s="2">
        <v>45688</v>
      </c>
      <c r="AD87" s="47">
        <f>IF(_tbl_odoo_datos2[[#This Row],[Finf2]]="",0,1)</f>
        <v>0</v>
      </c>
      <c r="AE87" s="47">
        <f>IF(_tbl_odoo_datos2[[#This Row],[FGer2]]="",0,1)</f>
        <v>1</v>
      </c>
      <c r="AF87" s="2">
        <f>IF(_tbl_odoo_datos2[[#This Row],[Finf2]]="",_tbl_odoo_datos2[[#This Row],[FGer2]],_tbl_odoo_datos2[[#This Row],[Finf2]])</f>
        <v>45688</v>
      </c>
    </row>
    <row r="88" spans="1:32" x14ac:dyDescent="0.25">
      <c r="A88" s="12" t="s">
        <v>446</v>
      </c>
      <c r="B88" s="12">
        <v>299</v>
      </c>
      <c r="C88" t="s">
        <v>236</v>
      </c>
      <c r="E88" s="8"/>
      <c r="F88" s="12">
        <v>22</v>
      </c>
      <c r="G88" s="8" t="s">
        <v>77</v>
      </c>
      <c r="H88" s="12">
        <v>3202</v>
      </c>
      <c r="I88" t="s">
        <v>165</v>
      </c>
      <c r="J88" t="s">
        <v>46</v>
      </c>
      <c r="N88" s="12"/>
      <c r="O88" s="8"/>
      <c r="P88">
        <v>1</v>
      </c>
      <c r="Q88" s="8">
        <v>1</v>
      </c>
      <c r="R88" s="12">
        <v>1</v>
      </c>
      <c r="S88" s="8">
        <v>1</v>
      </c>
      <c r="T88" s="12"/>
      <c r="U88" s="8"/>
      <c r="V88" s="2">
        <v>45658</v>
      </c>
      <c r="W88" s="2">
        <v>1</v>
      </c>
      <c r="X88" s="2"/>
      <c r="Y88" s="2">
        <v>45702</v>
      </c>
      <c r="Z88" s="2"/>
      <c r="AB88" s="2"/>
      <c r="AC88" s="2">
        <v>45688</v>
      </c>
      <c r="AD88" s="47">
        <f>IF(_tbl_odoo_datos2[[#This Row],[Finf2]]="",0,1)</f>
        <v>0</v>
      </c>
      <c r="AE88" s="47">
        <f>IF(_tbl_odoo_datos2[[#This Row],[FGer2]]="",0,1)</f>
        <v>1</v>
      </c>
      <c r="AF88" s="2">
        <f>IF(_tbl_odoo_datos2[[#This Row],[Finf2]]="",_tbl_odoo_datos2[[#This Row],[FGer2]],_tbl_odoo_datos2[[#This Row],[Finf2]])</f>
        <v>45688</v>
      </c>
    </row>
    <row r="89" spans="1:32" x14ac:dyDescent="0.25">
      <c r="A89" s="12" t="s">
        <v>446</v>
      </c>
      <c r="B89" s="12">
        <v>370</v>
      </c>
      <c r="C89" t="s">
        <v>237</v>
      </c>
      <c r="D89">
        <v>247614</v>
      </c>
      <c r="E89" s="8" t="s">
        <v>238</v>
      </c>
      <c r="F89" s="12">
        <v>21</v>
      </c>
      <c r="G89" s="8" t="s">
        <v>69</v>
      </c>
      <c r="H89" s="12">
        <v>195</v>
      </c>
      <c r="I89" t="s">
        <v>78</v>
      </c>
      <c r="J89" t="s">
        <v>46</v>
      </c>
      <c r="K89" t="b">
        <v>1</v>
      </c>
      <c r="N89" s="12"/>
      <c r="O89" s="8"/>
      <c r="Q89" s="8"/>
      <c r="R89" s="12">
        <v>2</v>
      </c>
      <c r="S89" s="8">
        <v>2</v>
      </c>
      <c r="T89" s="12"/>
      <c r="U89" s="8"/>
      <c r="V89" s="2">
        <v>45678</v>
      </c>
      <c r="W89" s="2">
        <v>1</v>
      </c>
      <c r="X89" s="2"/>
      <c r="Y89" s="2">
        <v>45688</v>
      </c>
      <c r="Z89" s="2">
        <v>45695</v>
      </c>
      <c r="AB89" s="2"/>
      <c r="AC89" s="2">
        <v>45657</v>
      </c>
      <c r="AD89" s="47">
        <f>IF(_tbl_odoo_datos2[[#This Row],[Finf2]]="",0,1)</f>
        <v>0</v>
      </c>
      <c r="AE89" s="47">
        <f>IF(_tbl_odoo_datos2[[#This Row],[FGer2]]="",0,1)</f>
        <v>1</v>
      </c>
      <c r="AF89" s="2">
        <f>IF(_tbl_odoo_datos2[[#This Row],[Finf2]]="",_tbl_odoo_datos2[[#This Row],[FGer2]],_tbl_odoo_datos2[[#This Row],[Finf2]])</f>
        <v>45657</v>
      </c>
    </row>
    <row r="90" spans="1:32" x14ac:dyDescent="0.25">
      <c r="A90" s="12" t="s">
        <v>446</v>
      </c>
      <c r="B90" s="12">
        <v>303</v>
      </c>
      <c r="C90" t="s">
        <v>239</v>
      </c>
      <c r="D90">
        <v>247614</v>
      </c>
      <c r="E90" s="8" t="s">
        <v>238</v>
      </c>
      <c r="F90" s="12">
        <v>30</v>
      </c>
      <c r="G90" s="8" t="s">
        <v>44</v>
      </c>
      <c r="H90" s="12">
        <v>195</v>
      </c>
      <c r="I90" t="s">
        <v>78</v>
      </c>
      <c r="J90" t="s">
        <v>46</v>
      </c>
      <c r="N90" s="12"/>
      <c r="O90" s="8"/>
      <c r="P90">
        <v>1</v>
      </c>
      <c r="Q90" s="8">
        <v>1</v>
      </c>
      <c r="R90" s="12">
        <v>1</v>
      </c>
      <c r="S90" s="8">
        <v>1</v>
      </c>
      <c r="T90" s="12"/>
      <c r="U90" s="8"/>
      <c r="V90" s="2">
        <v>45658</v>
      </c>
      <c r="W90" s="2">
        <v>1</v>
      </c>
      <c r="X90" s="2"/>
      <c r="Y90" s="2">
        <v>45775</v>
      </c>
      <c r="Z90" s="2"/>
      <c r="AB90" s="2"/>
      <c r="AC90" s="2">
        <v>45747</v>
      </c>
      <c r="AD90" s="47">
        <f>IF(_tbl_odoo_datos2[[#This Row],[Finf2]]="",0,1)</f>
        <v>0</v>
      </c>
      <c r="AE90" s="47">
        <f>IF(_tbl_odoo_datos2[[#This Row],[FGer2]]="",0,1)</f>
        <v>1</v>
      </c>
      <c r="AF90" s="2">
        <f>IF(_tbl_odoo_datos2[[#This Row],[Finf2]]="",_tbl_odoo_datos2[[#This Row],[FGer2]],_tbl_odoo_datos2[[#This Row],[Finf2]])</f>
        <v>45747</v>
      </c>
    </row>
    <row r="91" spans="1:32" x14ac:dyDescent="0.25">
      <c r="A91" s="12" t="s">
        <v>446</v>
      </c>
      <c r="B91" s="12">
        <v>327</v>
      </c>
      <c r="C91" t="s">
        <v>240</v>
      </c>
      <c r="D91">
        <v>247795</v>
      </c>
      <c r="E91" s="8" t="s">
        <v>56</v>
      </c>
      <c r="F91" s="12">
        <v>22</v>
      </c>
      <c r="G91" s="8" t="s">
        <v>77</v>
      </c>
      <c r="H91" s="12">
        <v>3201</v>
      </c>
      <c r="I91" t="s">
        <v>183</v>
      </c>
      <c r="J91" t="s">
        <v>46</v>
      </c>
      <c r="N91" s="12"/>
      <c r="O91" s="8"/>
      <c r="P91">
        <v>1</v>
      </c>
      <c r="Q91" s="8">
        <v>1</v>
      </c>
      <c r="R91" s="12">
        <v>1</v>
      </c>
      <c r="S91" s="8">
        <v>1</v>
      </c>
      <c r="T91" s="12"/>
      <c r="U91" s="8"/>
      <c r="V91" s="2">
        <v>45658</v>
      </c>
      <c r="W91" s="2">
        <v>1</v>
      </c>
      <c r="X91" s="2"/>
      <c r="Y91" s="2">
        <v>45702</v>
      </c>
      <c r="Z91" s="2"/>
      <c r="AA91" t="s">
        <v>241</v>
      </c>
      <c r="AB91" s="2"/>
      <c r="AC91" s="2">
        <v>45688</v>
      </c>
      <c r="AD91" s="47">
        <f>IF(_tbl_odoo_datos2[[#This Row],[Finf2]]="",0,1)</f>
        <v>0</v>
      </c>
      <c r="AE91" s="47">
        <f>IF(_tbl_odoo_datos2[[#This Row],[FGer2]]="",0,1)</f>
        <v>1</v>
      </c>
      <c r="AF91" s="2">
        <f>IF(_tbl_odoo_datos2[[#This Row],[Finf2]]="",_tbl_odoo_datos2[[#This Row],[FGer2]],_tbl_odoo_datos2[[#This Row],[Finf2]])</f>
        <v>45688</v>
      </c>
    </row>
    <row r="92" spans="1:32" x14ac:dyDescent="0.25">
      <c r="A92" s="12" t="s">
        <v>446</v>
      </c>
      <c r="B92" s="12">
        <v>361</v>
      </c>
      <c r="C92" t="s">
        <v>242</v>
      </c>
      <c r="D92">
        <v>247556</v>
      </c>
      <c r="E92" s="8" t="s">
        <v>59</v>
      </c>
      <c r="F92" s="12">
        <v>27</v>
      </c>
      <c r="G92" s="8" t="s">
        <v>178</v>
      </c>
      <c r="H92" s="12">
        <v>3201</v>
      </c>
      <c r="I92" t="s">
        <v>183</v>
      </c>
      <c r="J92" t="s">
        <v>46</v>
      </c>
      <c r="N92" s="12"/>
      <c r="O92" s="8"/>
      <c r="P92">
        <v>1</v>
      </c>
      <c r="Q92" s="8">
        <v>1</v>
      </c>
      <c r="R92" s="12">
        <v>1</v>
      </c>
      <c r="S92" s="8">
        <v>1</v>
      </c>
      <c r="T92" s="12"/>
      <c r="U92" s="8"/>
      <c r="V92" s="2">
        <v>45687</v>
      </c>
      <c r="W92" s="2">
        <v>1</v>
      </c>
      <c r="X92" s="2"/>
      <c r="Y92" s="2">
        <v>45777</v>
      </c>
      <c r="Z92" s="2"/>
      <c r="AA92" t="s">
        <v>243</v>
      </c>
      <c r="AB92" s="2"/>
      <c r="AC92" s="2">
        <v>45747</v>
      </c>
      <c r="AD92" s="47">
        <f>IF(_tbl_odoo_datos2[[#This Row],[Finf2]]="",0,1)</f>
        <v>0</v>
      </c>
      <c r="AE92" s="47">
        <f>IF(_tbl_odoo_datos2[[#This Row],[FGer2]]="",0,1)</f>
        <v>1</v>
      </c>
      <c r="AF92" s="2">
        <f>IF(_tbl_odoo_datos2[[#This Row],[Finf2]]="",_tbl_odoo_datos2[[#This Row],[FGer2]],_tbl_odoo_datos2[[#This Row],[Finf2]])</f>
        <v>45747</v>
      </c>
    </row>
    <row r="93" spans="1:32" x14ac:dyDescent="0.25">
      <c r="A93" s="12" t="s">
        <v>446</v>
      </c>
      <c r="B93" s="12">
        <v>352</v>
      </c>
      <c r="C93" t="s">
        <v>244</v>
      </c>
      <c r="E93" s="8"/>
      <c r="F93" s="12">
        <v>21</v>
      </c>
      <c r="G93" s="8" t="s">
        <v>69</v>
      </c>
      <c r="H93" s="12">
        <v>3201</v>
      </c>
      <c r="I93" t="s">
        <v>183</v>
      </c>
      <c r="J93" t="s">
        <v>46</v>
      </c>
      <c r="N93" s="12"/>
      <c r="O93" s="8"/>
      <c r="P93">
        <v>1</v>
      </c>
      <c r="Q93" s="8">
        <v>1</v>
      </c>
      <c r="R93" s="12">
        <v>1</v>
      </c>
      <c r="S93" s="8">
        <v>1</v>
      </c>
      <c r="T93" s="12"/>
      <c r="U93" s="8"/>
      <c r="V93" s="2">
        <v>45658</v>
      </c>
      <c r="W93" s="2">
        <v>1</v>
      </c>
      <c r="X93" s="2"/>
      <c r="Y93" s="2">
        <v>45688</v>
      </c>
      <c r="Z93" s="2"/>
      <c r="AB93" s="2"/>
      <c r="AC93" s="2">
        <v>45657</v>
      </c>
      <c r="AD93" s="47">
        <f>IF(_tbl_odoo_datos2[[#This Row],[Finf2]]="",0,1)</f>
        <v>0</v>
      </c>
      <c r="AE93" s="47">
        <f>IF(_tbl_odoo_datos2[[#This Row],[FGer2]]="",0,1)</f>
        <v>1</v>
      </c>
      <c r="AF93" s="2">
        <f>IF(_tbl_odoo_datos2[[#This Row],[Finf2]]="",_tbl_odoo_datos2[[#This Row],[FGer2]],_tbl_odoo_datos2[[#This Row],[Finf2]])</f>
        <v>45657</v>
      </c>
    </row>
    <row r="94" spans="1:32" x14ac:dyDescent="0.25">
      <c r="A94" s="12" t="s">
        <v>446</v>
      </c>
      <c r="B94" s="12">
        <v>338</v>
      </c>
      <c r="C94" t="s">
        <v>245</v>
      </c>
      <c r="D94">
        <v>247857</v>
      </c>
      <c r="E94" s="8" t="s">
        <v>62</v>
      </c>
      <c r="F94" s="12">
        <v>21</v>
      </c>
      <c r="G94" s="8" t="s">
        <v>69</v>
      </c>
      <c r="H94" s="12">
        <v>3204</v>
      </c>
      <c r="I94" t="s">
        <v>196</v>
      </c>
      <c r="J94" t="s">
        <v>46</v>
      </c>
      <c r="N94" s="12"/>
      <c r="O94" s="8"/>
      <c r="P94">
        <v>1</v>
      </c>
      <c r="Q94" s="8">
        <v>1</v>
      </c>
      <c r="R94" s="12">
        <v>1</v>
      </c>
      <c r="S94" s="8">
        <v>1</v>
      </c>
      <c r="T94" s="12"/>
      <c r="U94" s="8"/>
      <c r="V94" s="2">
        <v>45658</v>
      </c>
      <c r="W94" s="2">
        <v>1</v>
      </c>
      <c r="X94" s="2"/>
      <c r="Y94" s="2">
        <v>45688</v>
      </c>
      <c r="Z94" s="2"/>
      <c r="AB94" s="2"/>
      <c r="AC94" s="2">
        <v>45657</v>
      </c>
      <c r="AD94" s="47">
        <f>IF(_tbl_odoo_datos2[[#This Row],[Finf2]]="",0,1)</f>
        <v>0</v>
      </c>
      <c r="AE94" s="47">
        <f>IF(_tbl_odoo_datos2[[#This Row],[FGer2]]="",0,1)</f>
        <v>1</v>
      </c>
      <c r="AF94" s="2">
        <f>IF(_tbl_odoo_datos2[[#This Row],[Finf2]]="",_tbl_odoo_datos2[[#This Row],[FGer2]],_tbl_odoo_datos2[[#This Row],[Finf2]])</f>
        <v>45657</v>
      </c>
    </row>
    <row r="95" spans="1:32" x14ac:dyDescent="0.25">
      <c r="A95" s="12" t="s">
        <v>446</v>
      </c>
      <c r="B95" s="12">
        <v>369</v>
      </c>
      <c r="C95" t="s">
        <v>246</v>
      </c>
      <c r="D95">
        <v>289006</v>
      </c>
      <c r="E95" s="8" t="s">
        <v>76</v>
      </c>
      <c r="F95" s="12">
        <v>21</v>
      </c>
      <c r="G95" s="8" t="s">
        <v>69</v>
      </c>
      <c r="H95" s="12">
        <v>3200</v>
      </c>
      <c r="I95" t="s">
        <v>179</v>
      </c>
      <c r="J95" t="s">
        <v>46</v>
      </c>
      <c r="N95" s="12"/>
      <c r="O95" s="8"/>
      <c r="P95">
        <v>2</v>
      </c>
      <c r="Q95" s="8">
        <v>2</v>
      </c>
      <c r="R95" s="12">
        <v>2</v>
      </c>
      <c r="S95" s="8">
        <v>2</v>
      </c>
      <c r="T95" s="12"/>
      <c r="U95" s="8"/>
      <c r="V95" s="2">
        <v>45685</v>
      </c>
      <c r="W95" s="2">
        <v>1</v>
      </c>
      <c r="X95" s="2"/>
      <c r="Y95" s="2">
        <v>45700</v>
      </c>
      <c r="Z95" s="2"/>
      <c r="AA95" t="s">
        <v>247</v>
      </c>
      <c r="AB95" s="2"/>
      <c r="AC95" s="2">
        <v>45688</v>
      </c>
      <c r="AD95" s="47">
        <f>IF(_tbl_odoo_datos2[[#This Row],[Finf2]]="",0,1)</f>
        <v>0</v>
      </c>
      <c r="AE95" s="47">
        <f>IF(_tbl_odoo_datos2[[#This Row],[FGer2]]="",0,1)</f>
        <v>1</v>
      </c>
      <c r="AF95" s="2">
        <f>IF(_tbl_odoo_datos2[[#This Row],[Finf2]]="",_tbl_odoo_datos2[[#This Row],[FGer2]],_tbl_odoo_datos2[[#This Row],[Finf2]])</f>
        <v>45688</v>
      </c>
    </row>
    <row r="96" spans="1:32" x14ac:dyDescent="0.25">
      <c r="A96" s="12" t="s">
        <v>446</v>
      </c>
      <c r="B96" s="12">
        <v>0</v>
      </c>
      <c r="C96" t="s">
        <v>248</v>
      </c>
      <c r="D96">
        <v>247791</v>
      </c>
      <c r="E96" s="8" t="s">
        <v>182</v>
      </c>
      <c r="F96" s="12">
        <v>28</v>
      </c>
      <c r="G96" s="8" t="s">
        <v>52</v>
      </c>
      <c r="H96" s="12">
        <v>3201</v>
      </c>
      <c r="I96" t="s">
        <v>183</v>
      </c>
      <c r="J96" t="s">
        <v>46</v>
      </c>
      <c r="L96">
        <v>2</v>
      </c>
      <c r="M96" t="s">
        <v>184</v>
      </c>
      <c r="N96" s="12">
        <v>2</v>
      </c>
      <c r="O96" s="8" t="s">
        <v>171</v>
      </c>
      <c r="P96">
        <v>2</v>
      </c>
      <c r="Q96" s="8">
        <v>2</v>
      </c>
      <c r="R96" s="12">
        <v>2</v>
      </c>
      <c r="S96" s="8">
        <v>2</v>
      </c>
      <c r="T96" s="12">
        <v>1</v>
      </c>
      <c r="U96" s="8" t="s">
        <v>172</v>
      </c>
      <c r="V96" s="2">
        <v>45705</v>
      </c>
      <c r="W96" s="2"/>
      <c r="X96" s="2"/>
      <c r="Y96" s="2"/>
      <c r="Z96" s="2"/>
      <c r="AB96" s="2"/>
      <c r="AC96" s="2"/>
      <c r="AD96" s="47">
        <f>IF(_tbl_odoo_datos2[[#This Row],[Finf2]]="",0,1)</f>
        <v>0</v>
      </c>
      <c r="AE96" s="47">
        <f>IF(_tbl_odoo_datos2[[#This Row],[FGer2]]="",0,1)</f>
        <v>0</v>
      </c>
      <c r="AF96" s="2">
        <f>IF(_tbl_odoo_datos2[[#This Row],[Finf2]]="",_tbl_odoo_datos2[[#This Row],[FGer2]],_tbl_odoo_datos2[[#This Row],[Finf2]])</f>
        <v>0</v>
      </c>
    </row>
    <row r="97" spans="1:32" x14ac:dyDescent="0.25">
      <c r="A97" s="12" t="s">
        <v>446</v>
      </c>
      <c r="B97" s="12">
        <v>325</v>
      </c>
      <c r="C97" t="s">
        <v>249</v>
      </c>
      <c r="E97" s="8"/>
      <c r="F97" s="12">
        <v>22</v>
      </c>
      <c r="G97" s="8" t="s">
        <v>77</v>
      </c>
      <c r="H97" s="12">
        <v>2767</v>
      </c>
      <c r="I97" t="s">
        <v>118</v>
      </c>
      <c r="J97" t="s">
        <v>46</v>
      </c>
      <c r="K97" t="b">
        <v>1</v>
      </c>
      <c r="N97" s="12"/>
      <c r="O97" s="8"/>
      <c r="P97">
        <v>1</v>
      </c>
      <c r="Q97" s="8">
        <v>1</v>
      </c>
      <c r="R97" s="12">
        <v>1</v>
      </c>
      <c r="S97" s="8">
        <v>1</v>
      </c>
      <c r="T97" s="12"/>
      <c r="U97" s="8"/>
      <c r="V97" s="2">
        <v>45658</v>
      </c>
      <c r="W97" s="2">
        <v>1</v>
      </c>
      <c r="X97" s="2"/>
      <c r="Y97" s="2">
        <v>45757</v>
      </c>
      <c r="Z97" s="2"/>
      <c r="AA97" t="s">
        <v>250</v>
      </c>
      <c r="AB97" s="2"/>
      <c r="AC97" s="2">
        <v>45747</v>
      </c>
      <c r="AD97" s="47">
        <f>IF(_tbl_odoo_datos2[[#This Row],[Finf2]]="",0,1)</f>
        <v>0</v>
      </c>
      <c r="AE97" s="47">
        <f>IF(_tbl_odoo_datos2[[#This Row],[FGer2]]="",0,1)</f>
        <v>1</v>
      </c>
      <c r="AF97" s="2">
        <f>IF(_tbl_odoo_datos2[[#This Row],[Finf2]]="",_tbl_odoo_datos2[[#This Row],[FGer2]],_tbl_odoo_datos2[[#This Row],[Finf2]])</f>
        <v>45747</v>
      </c>
    </row>
    <row r="98" spans="1:32" x14ac:dyDescent="0.25">
      <c r="A98" s="12" t="s">
        <v>446</v>
      </c>
      <c r="B98" s="12">
        <v>0</v>
      </c>
      <c r="C98" t="s">
        <v>251</v>
      </c>
      <c r="D98">
        <v>289006</v>
      </c>
      <c r="E98" s="8" t="s">
        <v>76</v>
      </c>
      <c r="F98" s="12">
        <v>22</v>
      </c>
      <c r="G98" s="8" t="s">
        <v>77</v>
      </c>
      <c r="H98" s="12">
        <v>3204</v>
      </c>
      <c r="I98" t="s">
        <v>196</v>
      </c>
      <c r="J98" t="s">
        <v>46</v>
      </c>
      <c r="N98" s="12"/>
      <c r="O98" s="8"/>
      <c r="Q98" s="8"/>
      <c r="R98" s="12"/>
      <c r="S98" s="8"/>
      <c r="T98" s="12"/>
      <c r="U98" s="8"/>
      <c r="V98" s="2">
        <v>45700</v>
      </c>
      <c r="W98" s="2">
        <v>45700</v>
      </c>
      <c r="X98" s="2"/>
      <c r="Y98" s="2">
        <v>45700</v>
      </c>
      <c r="Z98" s="2">
        <v>45700</v>
      </c>
      <c r="AB98" s="2"/>
      <c r="AC98" s="2">
        <v>45688</v>
      </c>
      <c r="AD98" s="47">
        <f>IF(_tbl_odoo_datos2[[#This Row],[Finf2]]="",0,1)</f>
        <v>0</v>
      </c>
      <c r="AE98" s="47">
        <f>IF(_tbl_odoo_datos2[[#This Row],[FGer2]]="",0,1)</f>
        <v>1</v>
      </c>
      <c r="AF98" s="2">
        <f>IF(_tbl_odoo_datos2[[#This Row],[Finf2]]="",_tbl_odoo_datos2[[#This Row],[FGer2]],_tbl_odoo_datos2[[#This Row],[Finf2]])</f>
        <v>45688</v>
      </c>
    </row>
    <row r="99" spans="1:32" x14ac:dyDescent="0.25">
      <c r="A99" s="12" t="s">
        <v>446</v>
      </c>
      <c r="B99" s="12">
        <v>335</v>
      </c>
      <c r="C99" t="s">
        <v>252</v>
      </c>
      <c r="D99">
        <v>247417</v>
      </c>
      <c r="E99" s="8" t="s">
        <v>222</v>
      </c>
      <c r="F99" s="12">
        <v>21</v>
      </c>
      <c r="G99" s="8" t="s">
        <v>69</v>
      </c>
      <c r="H99" s="12">
        <v>3204</v>
      </c>
      <c r="I99" t="s">
        <v>196</v>
      </c>
      <c r="J99" t="s">
        <v>46</v>
      </c>
      <c r="N99" s="12"/>
      <c r="O99" s="8"/>
      <c r="P99">
        <v>1</v>
      </c>
      <c r="Q99" s="8">
        <v>1</v>
      </c>
      <c r="R99" s="12">
        <v>1</v>
      </c>
      <c r="S99" s="8">
        <v>1</v>
      </c>
      <c r="T99" s="12"/>
      <c r="U99" s="8"/>
      <c r="V99" s="2">
        <v>45658</v>
      </c>
      <c r="W99" s="2">
        <v>1</v>
      </c>
      <c r="X99" s="2"/>
      <c r="Y99" s="2">
        <v>45688</v>
      </c>
      <c r="Z99" s="2"/>
      <c r="AA99" t="s">
        <v>253</v>
      </c>
      <c r="AB99" s="2"/>
      <c r="AC99" s="2">
        <v>45657</v>
      </c>
      <c r="AD99" s="47">
        <f>IF(_tbl_odoo_datos2[[#This Row],[Finf2]]="",0,1)</f>
        <v>0</v>
      </c>
      <c r="AE99" s="47">
        <f>IF(_tbl_odoo_datos2[[#This Row],[FGer2]]="",0,1)</f>
        <v>1</v>
      </c>
      <c r="AF99" s="2">
        <f>IF(_tbl_odoo_datos2[[#This Row],[Finf2]]="",_tbl_odoo_datos2[[#This Row],[FGer2]],_tbl_odoo_datos2[[#This Row],[Finf2]])</f>
        <v>45657</v>
      </c>
    </row>
    <row r="100" spans="1:32" x14ac:dyDescent="0.25">
      <c r="A100" s="12" t="s">
        <v>446</v>
      </c>
      <c r="B100" s="12">
        <v>366</v>
      </c>
      <c r="C100" t="s">
        <v>254</v>
      </c>
      <c r="E100" s="8"/>
      <c r="F100" s="12">
        <v>22</v>
      </c>
      <c r="G100" s="8" t="s">
        <v>77</v>
      </c>
      <c r="H100" s="12">
        <v>195</v>
      </c>
      <c r="I100" t="s">
        <v>78</v>
      </c>
      <c r="J100" t="s">
        <v>46</v>
      </c>
      <c r="K100" t="b">
        <v>1</v>
      </c>
      <c r="N100" s="12"/>
      <c r="O100" s="8"/>
      <c r="Q100" s="8"/>
      <c r="R100" s="12">
        <v>1</v>
      </c>
      <c r="S100" s="8">
        <v>1</v>
      </c>
      <c r="T100" s="12"/>
      <c r="U100" s="8"/>
      <c r="V100" s="2">
        <v>45658</v>
      </c>
      <c r="W100" s="2">
        <v>1</v>
      </c>
      <c r="X100" s="2"/>
      <c r="Y100" s="2">
        <v>45688</v>
      </c>
      <c r="Z100" s="2"/>
      <c r="AB100" s="2"/>
      <c r="AC100" s="2">
        <v>45657</v>
      </c>
      <c r="AD100" s="47">
        <f>IF(_tbl_odoo_datos2[[#This Row],[Finf2]]="",0,1)</f>
        <v>0</v>
      </c>
      <c r="AE100" s="47">
        <f>IF(_tbl_odoo_datos2[[#This Row],[FGer2]]="",0,1)</f>
        <v>1</v>
      </c>
      <c r="AF100" s="2">
        <f>IF(_tbl_odoo_datos2[[#This Row],[Finf2]]="",_tbl_odoo_datos2[[#This Row],[FGer2]],_tbl_odoo_datos2[[#This Row],[Finf2]])</f>
        <v>45657</v>
      </c>
    </row>
    <row r="101" spans="1:32" x14ac:dyDescent="0.25">
      <c r="A101" s="12" t="s">
        <v>446</v>
      </c>
      <c r="B101" s="12">
        <v>333</v>
      </c>
      <c r="C101" t="s">
        <v>255</v>
      </c>
      <c r="E101" s="8"/>
      <c r="F101" s="12">
        <v>21</v>
      </c>
      <c r="G101" s="8" t="s">
        <v>69</v>
      </c>
      <c r="H101" s="12">
        <v>3203</v>
      </c>
      <c r="I101" t="s">
        <v>127</v>
      </c>
      <c r="J101" t="s">
        <v>46</v>
      </c>
      <c r="N101" s="12"/>
      <c r="O101" s="8"/>
      <c r="P101">
        <v>1</v>
      </c>
      <c r="Q101" s="8">
        <v>1</v>
      </c>
      <c r="R101" s="12">
        <v>2</v>
      </c>
      <c r="S101" s="8">
        <v>2</v>
      </c>
      <c r="T101" s="12"/>
      <c r="U101" s="8"/>
      <c r="V101" s="2">
        <v>45658</v>
      </c>
      <c r="W101" s="2">
        <v>1</v>
      </c>
      <c r="X101" s="2"/>
      <c r="Y101" s="2">
        <v>45688</v>
      </c>
      <c r="Z101" s="2"/>
      <c r="AB101" s="2"/>
      <c r="AC101" s="2">
        <v>45657</v>
      </c>
      <c r="AD101" s="47">
        <f>IF(_tbl_odoo_datos2[[#This Row],[Finf2]]="",0,1)</f>
        <v>0</v>
      </c>
      <c r="AE101" s="47">
        <f>IF(_tbl_odoo_datos2[[#This Row],[FGer2]]="",0,1)</f>
        <v>1</v>
      </c>
      <c r="AF101" s="2">
        <f>IF(_tbl_odoo_datos2[[#This Row],[Finf2]]="",_tbl_odoo_datos2[[#This Row],[FGer2]],_tbl_odoo_datos2[[#This Row],[Finf2]])</f>
        <v>45657</v>
      </c>
    </row>
    <row r="102" spans="1:32" x14ac:dyDescent="0.25">
      <c r="A102" s="12" t="s">
        <v>446</v>
      </c>
      <c r="B102" s="12">
        <v>276</v>
      </c>
      <c r="C102" t="s">
        <v>256</v>
      </c>
      <c r="D102">
        <v>247888</v>
      </c>
      <c r="E102" s="8" t="s">
        <v>157</v>
      </c>
      <c r="F102" s="12">
        <v>30</v>
      </c>
      <c r="G102" s="8" t="s">
        <v>44</v>
      </c>
      <c r="H102" s="12">
        <v>3198</v>
      </c>
      <c r="I102" t="s">
        <v>53</v>
      </c>
      <c r="J102" t="s">
        <v>46</v>
      </c>
      <c r="N102" s="12"/>
      <c r="O102" s="8"/>
      <c r="P102">
        <v>1</v>
      </c>
      <c r="Q102" s="8">
        <v>1</v>
      </c>
      <c r="R102" s="12">
        <v>1</v>
      </c>
      <c r="S102" s="8">
        <v>1</v>
      </c>
      <c r="T102" s="12"/>
      <c r="U102" s="8"/>
      <c r="V102" s="2">
        <v>45658</v>
      </c>
      <c r="W102" s="2">
        <v>1</v>
      </c>
      <c r="X102" s="2"/>
      <c r="Y102" s="2">
        <v>45960</v>
      </c>
      <c r="Z102" s="2"/>
      <c r="AA102" t="s">
        <v>257</v>
      </c>
      <c r="AB102" s="2"/>
      <c r="AC102" s="2">
        <v>45930</v>
      </c>
      <c r="AD102" s="47">
        <f>IF(_tbl_odoo_datos2[[#This Row],[Finf2]]="",0,1)</f>
        <v>0</v>
      </c>
      <c r="AE102" s="47">
        <f>IF(_tbl_odoo_datos2[[#This Row],[FGer2]]="",0,1)</f>
        <v>1</v>
      </c>
      <c r="AF102" s="2">
        <f>IF(_tbl_odoo_datos2[[#This Row],[Finf2]]="",_tbl_odoo_datos2[[#This Row],[FGer2]],_tbl_odoo_datos2[[#This Row],[Finf2]])</f>
        <v>45930</v>
      </c>
    </row>
    <row r="103" spans="1:32" x14ac:dyDescent="0.25">
      <c r="A103" s="12" t="s">
        <v>446</v>
      </c>
      <c r="B103" s="12">
        <v>332</v>
      </c>
      <c r="C103" t="s">
        <v>258</v>
      </c>
      <c r="D103">
        <v>247722</v>
      </c>
      <c r="E103" s="8" t="s">
        <v>117</v>
      </c>
      <c r="F103" s="12">
        <v>30</v>
      </c>
      <c r="G103" s="8" t="s">
        <v>44</v>
      </c>
      <c r="H103" s="12">
        <v>195</v>
      </c>
      <c r="I103" t="s">
        <v>78</v>
      </c>
      <c r="J103" t="s">
        <v>46</v>
      </c>
      <c r="N103" s="12"/>
      <c r="O103" s="8"/>
      <c r="P103">
        <v>1</v>
      </c>
      <c r="Q103" s="8">
        <v>1</v>
      </c>
      <c r="R103" s="12">
        <v>2</v>
      </c>
      <c r="S103" s="8">
        <v>2</v>
      </c>
      <c r="T103" s="12"/>
      <c r="U103" s="8"/>
      <c r="V103" s="2">
        <v>45658</v>
      </c>
      <c r="W103" s="2">
        <v>1</v>
      </c>
      <c r="X103" s="2"/>
      <c r="Y103" s="2">
        <v>45726</v>
      </c>
      <c r="Z103" s="2"/>
      <c r="AA103" t="s">
        <v>259</v>
      </c>
      <c r="AB103" s="2"/>
      <c r="AC103" s="2">
        <v>45716</v>
      </c>
      <c r="AD103" s="47">
        <f>IF(_tbl_odoo_datos2[[#This Row],[Finf2]]="",0,1)</f>
        <v>0</v>
      </c>
      <c r="AE103" s="47">
        <f>IF(_tbl_odoo_datos2[[#This Row],[FGer2]]="",0,1)</f>
        <v>1</v>
      </c>
      <c r="AF103" s="2">
        <f>IF(_tbl_odoo_datos2[[#This Row],[Finf2]]="",_tbl_odoo_datos2[[#This Row],[FGer2]],_tbl_odoo_datos2[[#This Row],[Finf2]])</f>
        <v>45716</v>
      </c>
    </row>
    <row r="104" spans="1:32" x14ac:dyDescent="0.25">
      <c r="A104" s="12" t="s">
        <v>446</v>
      </c>
      <c r="B104" s="12">
        <v>292</v>
      </c>
      <c r="C104" t="s">
        <v>260</v>
      </c>
      <c r="E104" s="8"/>
      <c r="F104" s="12">
        <v>21</v>
      </c>
      <c r="G104" s="8" t="s">
        <v>69</v>
      </c>
      <c r="H104" s="12">
        <v>195</v>
      </c>
      <c r="I104" t="s">
        <v>78</v>
      </c>
      <c r="J104" t="s">
        <v>46</v>
      </c>
      <c r="N104" s="12"/>
      <c r="O104" s="8"/>
      <c r="P104">
        <v>1</v>
      </c>
      <c r="Q104" s="8">
        <v>1</v>
      </c>
      <c r="R104" s="12">
        <v>2</v>
      </c>
      <c r="S104" s="8">
        <v>2</v>
      </c>
      <c r="T104" s="12"/>
      <c r="U104" s="8"/>
      <c r="V104" s="2">
        <v>45658</v>
      </c>
      <c r="W104" s="2">
        <v>1</v>
      </c>
      <c r="X104" s="2"/>
      <c r="Y104" s="2">
        <v>45688</v>
      </c>
      <c r="Z104" s="2"/>
      <c r="AB104" s="2"/>
      <c r="AC104" s="2">
        <v>45657</v>
      </c>
      <c r="AD104" s="47">
        <f>IF(_tbl_odoo_datos2[[#This Row],[Finf2]]="",0,1)</f>
        <v>0</v>
      </c>
      <c r="AE104" s="47">
        <f>IF(_tbl_odoo_datos2[[#This Row],[FGer2]]="",0,1)</f>
        <v>1</v>
      </c>
      <c r="AF104" s="2">
        <f>IF(_tbl_odoo_datos2[[#This Row],[Finf2]]="",_tbl_odoo_datos2[[#This Row],[FGer2]],_tbl_odoo_datos2[[#This Row],[Finf2]])</f>
        <v>45657</v>
      </c>
    </row>
    <row r="105" spans="1:32" x14ac:dyDescent="0.25">
      <c r="A105" s="12" t="s">
        <v>446</v>
      </c>
      <c r="B105" s="12">
        <v>0</v>
      </c>
      <c r="C105" t="s">
        <v>261</v>
      </c>
      <c r="D105">
        <v>289036</v>
      </c>
      <c r="E105" s="8" t="s">
        <v>262</v>
      </c>
      <c r="F105" s="12">
        <v>22</v>
      </c>
      <c r="G105" s="8" t="s">
        <v>77</v>
      </c>
      <c r="H105" s="12">
        <v>3204</v>
      </c>
      <c r="I105" t="s">
        <v>196</v>
      </c>
      <c r="J105" t="s">
        <v>46</v>
      </c>
      <c r="L105">
        <v>4</v>
      </c>
      <c r="M105" t="s">
        <v>175</v>
      </c>
      <c r="N105" s="12">
        <v>1</v>
      </c>
      <c r="O105" s="8" t="s">
        <v>176</v>
      </c>
      <c r="P105">
        <v>2</v>
      </c>
      <c r="Q105" s="8">
        <v>2</v>
      </c>
      <c r="R105" s="12">
        <v>2</v>
      </c>
      <c r="S105" s="8">
        <v>2</v>
      </c>
      <c r="T105" s="12">
        <v>1</v>
      </c>
      <c r="U105" s="8" t="s">
        <v>172</v>
      </c>
      <c r="V105" s="2">
        <v>45699</v>
      </c>
      <c r="W105" s="2">
        <v>45699</v>
      </c>
      <c r="X105" s="2"/>
      <c r="Y105" s="2">
        <v>45699</v>
      </c>
      <c r="Z105" s="2">
        <v>45699</v>
      </c>
      <c r="AB105" s="2"/>
      <c r="AC105" s="2">
        <v>45688</v>
      </c>
      <c r="AD105" s="47">
        <f>IF(_tbl_odoo_datos2[[#This Row],[Finf2]]="",0,1)</f>
        <v>0</v>
      </c>
      <c r="AE105" s="47">
        <f>IF(_tbl_odoo_datos2[[#This Row],[FGer2]]="",0,1)</f>
        <v>1</v>
      </c>
      <c r="AF105" s="2">
        <f>IF(_tbl_odoo_datos2[[#This Row],[Finf2]]="",_tbl_odoo_datos2[[#This Row],[FGer2]],_tbl_odoo_datos2[[#This Row],[Finf2]])</f>
        <v>45688</v>
      </c>
    </row>
    <row r="106" spans="1:32" x14ac:dyDescent="0.25">
      <c r="A106" s="12" t="s">
        <v>446</v>
      </c>
      <c r="B106" s="12">
        <v>0</v>
      </c>
      <c r="C106" t="s">
        <v>263</v>
      </c>
      <c r="E106" s="8"/>
      <c r="F106" s="12">
        <v>22</v>
      </c>
      <c r="G106" s="8" t="s">
        <v>77</v>
      </c>
      <c r="H106" s="12">
        <v>2767</v>
      </c>
      <c r="I106" t="s">
        <v>118</v>
      </c>
      <c r="J106" t="s">
        <v>46</v>
      </c>
      <c r="N106" s="12"/>
      <c r="O106" s="8"/>
      <c r="Q106" s="8"/>
      <c r="R106" s="12"/>
      <c r="S106" s="8"/>
      <c r="T106" s="12"/>
      <c r="U106" s="8"/>
      <c r="V106" s="2">
        <v>45694</v>
      </c>
      <c r="W106" s="2"/>
      <c r="X106" s="2"/>
      <c r="Y106" s="2">
        <v>45716</v>
      </c>
      <c r="Z106" s="2"/>
      <c r="AA106" t="s">
        <v>264</v>
      </c>
      <c r="AB106" s="2"/>
      <c r="AC106" s="2">
        <v>45688</v>
      </c>
      <c r="AD106" s="47">
        <f>IF(_tbl_odoo_datos2[[#This Row],[Finf2]]="",0,1)</f>
        <v>0</v>
      </c>
      <c r="AE106" s="47">
        <f>IF(_tbl_odoo_datos2[[#This Row],[FGer2]]="",0,1)</f>
        <v>1</v>
      </c>
      <c r="AF106" s="2">
        <f>IF(_tbl_odoo_datos2[[#This Row],[Finf2]]="",_tbl_odoo_datos2[[#This Row],[FGer2]],_tbl_odoo_datos2[[#This Row],[Finf2]])</f>
        <v>45688</v>
      </c>
    </row>
    <row r="107" spans="1:32" x14ac:dyDescent="0.25">
      <c r="A107" s="12" t="s">
        <v>446</v>
      </c>
      <c r="B107" s="12">
        <v>374</v>
      </c>
      <c r="C107" t="s">
        <v>265</v>
      </c>
      <c r="D107">
        <v>247807</v>
      </c>
      <c r="E107" s="8" t="s">
        <v>98</v>
      </c>
      <c r="F107" s="12">
        <v>22</v>
      </c>
      <c r="G107" s="8" t="s">
        <v>77</v>
      </c>
      <c r="H107" s="12">
        <v>3201</v>
      </c>
      <c r="I107" t="s">
        <v>183</v>
      </c>
      <c r="J107" t="s">
        <v>46</v>
      </c>
      <c r="N107" s="12"/>
      <c r="O107" s="8"/>
      <c r="P107">
        <v>3</v>
      </c>
      <c r="Q107" s="8">
        <v>3</v>
      </c>
      <c r="R107" s="12">
        <v>2</v>
      </c>
      <c r="S107" s="8">
        <v>2</v>
      </c>
      <c r="T107" s="12"/>
      <c r="U107" s="8"/>
      <c r="V107" s="2">
        <v>45688</v>
      </c>
      <c r="W107" s="2">
        <v>1</v>
      </c>
      <c r="X107" s="2"/>
      <c r="Y107" s="2">
        <v>45716</v>
      </c>
      <c r="Z107" s="2"/>
      <c r="AA107" t="s">
        <v>266</v>
      </c>
      <c r="AB107" s="2"/>
      <c r="AC107" s="2">
        <v>45688</v>
      </c>
      <c r="AD107" s="47">
        <f>IF(_tbl_odoo_datos2[[#This Row],[Finf2]]="",0,1)</f>
        <v>0</v>
      </c>
      <c r="AE107" s="47">
        <f>IF(_tbl_odoo_datos2[[#This Row],[FGer2]]="",0,1)</f>
        <v>1</v>
      </c>
      <c r="AF107" s="2">
        <f>IF(_tbl_odoo_datos2[[#This Row],[Finf2]]="",_tbl_odoo_datos2[[#This Row],[FGer2]],_tbl_odoo_datos2[[#This Row],[Finf2]])</f>
        <v>45688</v>
      </c>
    </row>
    <row r="108" spans="1:32" x14ac:dyDescent="0.25">
      <c r="A108" s="12" t="s">
        <v>446</v>
      </c>
      <c r="B108" s="12">
        <v>317</v>
      </c>
      <c r="C108" t="s">
        <v>189</v>
      </c>
      <c r="E108" s="8"/>
      <c r="F108" s="12">
        <v>22</v>
      </c>
      <c r="G108" s="8" t="s">
        <v>77</v>
      </c>
      <c r="H108" s="12">
        <v>2767</v>
      </c>
      <c r="I108" t="s">
        <v>118</v>
      </c>
      <c r="J108" t="s">
        <v>46</v>
      </c>
      <c r="N108" s="12"/>
      <c r="O108" s="8"/>
      <c r="P108">
        <v>1</v>
      </c>
      <c r="Q108" s="8">
        <v>1</v>
      </c>
      <c r="R108" s="12">
        <v>1</v>
      </c>
      <c r="S108" s="8">
        <v>1</v>
      </c>
      <c r="T108" s="12"/>
      <c r="U108" s="8"/>
      <c r="V108" s="2">
        <v>45658</v>
      </c>
      <c r="W108" s="2">
        <v>1</v>
      </c>
      <c r="X108" s="2"/>
      <c r="Y108" s="2">
        <v>45702</v>
      </c>
      <c r="Z108" s="2"/>
      <c r="AA108" t="s">
        <v>267</v>
      </c>
      <c r="AB108" s="2"/>
      <c r="AC108" s="2">
        <v>45688</v>
      </c>
      <c r="AD108" s="47">
        <f>IF(_tbl_odoo_datos2[[#This Row],[Finf2]]="",0,1)</f>
        <v>0</v>
      </c>
      <c r="AE108" s="47">
        <f>IF(_tbl_odoo_datos2[[#This Row],[FGer2]]="",0,1)</f>
        <v>1</v>
      </c>
      <c r="AF108" s="2">
        <f>IF(_tbl_odoo_datos2[[#This Row],[Finf2]]="",_tbl_odoo_datos2[[#This Row],[FGer2]],_tbl_odoo_datos2[[#This Row],[Finf2]])</f>
        <v>45688</v>
      </c>
    </row>
    <row r="109" spans="1:32" x14ac:dyDescent="0.25">
      <c r="A109" s="12" t="s">
        <v>446</v>
      </c>
      <c r="B109" s="12">
        <v>334</v>
      </c>
      <c r="C109" t="s">
        <v>268</v>
      </c>
      <c r="E109" s="8"/>
      <c r="F109" s="12">
        <v>21</v>
      </c>
      <c r="G109" s="8" t="s">
        <v>69</v>
      </c>
      <c r="H109" s="12">
        <v>3203</v>
      </c>
      <c r="I109" t="s">
        <v>127</v>
      </c>
      <c r="J109" t="s">
        <v>46</v>
      </c>
      <c r="K109" t="b">
        <v>1</v>
      </c>
      <c r="N109" s="12"/>
      <c r="O109" s="8"/>
      <c r="P109">
        <v>1</v>
      </c>
      <c r="Q109" s="8">
        <v>1</v>
      </c>
      <c r="R109" s="12">
        <v>3</v>
      </c>
      <c r="S109" s="8">
        <v>3</v>
      </c>
      <c r="T109" s="12"/>
      <c r="U109" s="8"/>
      <c r="V109" s="2">
        <v>45658</v>
      </c>
      <c r="W109" s="2">
        <v>1</v>
      </c>
      <c r="X109" s="2"/>
      <c r="Y109" s="2">
        <v>45747</v>
      </c>
      <c r="Z109" s="2"/>
      <c r="AB109" s="2"/>
      <c r="AC109" s="2">
        <v>45716</v>
      </c>
      <c r="AD109" s="47">
        <f>IF(_tbl_odoo_datos2[[#This Row],[Finf2]]="",0,1)</f>
        <v>0</v>
      </c>
      <c r="AE109" s="47">
        <f>IF(_tbl_odoo_datos2[[#This Row],[FGer2]]="",0,1)</f>
        <v>1</v>
      </c>
      <c r="AF109" s="2">
        <f>IF(_tbl_odoo_datos2[[#This Row],[Finf2]]="",_tbl_odoo_datos2[[#This Row],[FGer2]],_tbl_odoo_datos2[[#This Row],[Finf2]])</f>
        <v>45716</v>
      </c>
    </row>
    <row r="110" spans="1:32" x14ac:dyDescent="0.25">
      <c r="A110" s="12" t="s">
        <v>446</v>
      </c>
      <c r="B110" s="12">
        <v>0</v>
      </c>
      <c r="C110" t="s">
        <v>269</v>
      </c>
      <c r="D110">
        <v>247417</v>
      </c>
      <c r="E110" s="8" t="s">
        <v>222</v>
      </c>
      <c r="F110" s="12">
        <v>22</v>
      </c>
      <c r="G110" s="8" t="s">
        <v>77</v>
      </c>
      <c r="H110" s="12">
        <v>3204</v>
      </c>
      <c r="I110" t="s">
        <v>196</v>
      </c>
      <c r="J110" t="s">
        <v>46</v>
      </c>
      <c r="L110">
        <v>4</v>
      </c>
      <c r="M110" t="s">
        <v>175</v>
      </c>
      <c r="N110" s="12"/>
      <c r="O110" s="8"/>
      <c r="Q110" s="8"/>
      <c r="R110" s="12"/>
      <c r="S110" s="8"/>
      <c r="T110" s="12"/>
      <c r="U110" s="8"/>
      <c r="V110" s="2">
        <v>45700</v>
      </c>
      <c r="W110" s="2">
        <v>45700</v>
      </c>
      <c r="X110" s="2"/>
      <c r="Y110" s="2">
        <v>45700</v>
      </c>
      <c r="Z110" s="2">
        <v>45700</v>
      </c>
      <c r="AB110" s="2"/>
      <c r="AC110" s="2">
        <v>45688</v>
      </c>
      <c r="AD110" s="47">
        <f>IF(_tbl_odoo_datos2[[#This Row],[Finf2]]="",0,1)</f>
        <v>0</v>
      </c>
      <c r="AE110" s="47">
        <f>IF(_tbl_odoo_datos2[[#This Row],[FGer2]]="",0,1)</f>
        <v>1</v>
      </c>
      <c r="AF110" s="2">
        <f>IF(_tbl_odoo_datos2[[#This Row],[Finf2]]="",_tbl_odoo_datos2[[#This Row],[FGer2]],_tbl_odoo_datos2[[#This Row],[Finf2]])</f>
        <v>45688</v>
      </c>
    </row>
    <row r="111" spans="1:32" x14ac:dyDescent="0.25">
      <c r="A111" s="12" t="s">
        <v>446</v>
      </c>
      <c r="B111" s="12">
        <v>295</v>
      </c>
      <c r="C111" t="s">
        <v>270</v>
      </c>
      <c r="D111">
        <v>293171</v>
      </c>
      <c r="E111" s="8" t="s">
        <v>91</v>
      </c>
      <c r="F111" s="12">
        <v>21</v>
      </c>
      <c r="G111" s="8" t="s">
        <v>69</v>
      </c>
      <c r="H111" s="12">
        <v>195</v>
      </c>
      <c r="I111" t="s">
        <v>78</v>
      </c>
      <c r="J111" t="s">
        <v>46</v>
      </c>
      <c r="K111" t="b">
        <v>1</v>
      </c>
      <c r="N111" s="12"/>
      <c r="O111" s="8"/>
      <c r="P111">
        <v>1</v>
      </c>
      <c r="Q111" s="8">
        <v>1</v>
      </c>
      <c r="R111" s="12">
        <v>1</v>
      </c>
      <c r="S111" s="8">
        <v>1</v>
      </c>
      <c r="T111" s="12"/>
      <c r="U111" s="8"/>
      <c r="V111" s="2">
        <v>45658</v>
      </c>
      <c r="W111" s="2">
        <v>1</v>
      </c>
      <c r="X111" s="2"/>
      <c r="Y111" s="2">
        <v>45702</v>
      </c>
      <c r="Z111" s="2">
        <v>45700</v>
      </c>
      <c r="AA111" t="s">
        <v>271</v>
      </c>
      <c r="AB111" s="2"/>
      <c r="AC111" s="2">
        <v>45688</v>
      </c>
      <c r="AD111" s="47">
        <f>IF(_tbl_odoo_datos2[[#This Row],[Finf2]]="",0,1)</f>
        <v>0</v>
      </c>
      <c r="AE111" s="47">
        <f>IF(_tbl_odoo_datos2[[#This Row],[FGer2]]="",0,1)</f>
        <v>1</v>
      </c>
      <c r="AF111" s="2">
        <f>IF(_tbl_odoo_datos2[[#This Row],[Finf2]]="",_tbl_odoo_datos2[[#This Row],[FGer2]],_tbl_odoo_datos2[[#This Row],[Finf2]])</f>
        <v>45688</v>
      </c>
    </row>
    <row r="112" spans="1:32" x14ac:dyDescent="0.25">
      <c r="A112" s="12" t="s">
        <v>446</v>
      </c>
      <c r="B112" s="12">
        <v>308</v>
      </c>
      <c r="C112" t="s">
        <v>272</v>
      </c>
      <c r="D112">
        <v>247795</v>
      </c>
      <c r="E112" s="8" t="s">
        <v>56</v>
      </c>
      <c r="F112" s="12">
        <v>30</v>
      </c>
      <c r="G112" s="8" t="s">
        <v>44</v>
      </c>
      <c r="H112" s="12">
        <v>3200</v>
      </c>
      <c r="I112" t="s">
        <v>179</v>
      </c>
      <c r="J112" t="s">
        <v>46</v>
      </c>
      <c r="N112" s="12"/>
      <c r="O112" s="8"/>
      <c r="P112">
        <v>1</v>
      </c>
      <c r="Q112" s="8">
        <v>1</v>
      </c>
      <c r="R112" s="12">
        <v>3</v>
      </c>
      <c r="S112" s="8">
        <v>3</v>
      </c>
      <c r="T112" s="12"/>
      <c r="U112" s="8"/>
      <c r="V112" s="2">
        <v>45658</v>
      </c>
      <c r="W112" s="2">
        <v>1</v>
      </c>
      <c r="X112" s="2"/>
      <c r="Y112" s="2">
        <v>45726</v>
      </c>
      <c r="Z112" s="2"/>
      <c r="AA112" t="s">
        <v>273</v>
      </c>
      <c r="AB112" s="2"/>
      <c r="AC112" s="2">
        <v>45716</v>
      </c>
      <c r="AD112" s="47">
        <f>IF(_tbl_odoo_datos2[[#This Row],[Finf2]]="",0,1)</f>
        <v>0</v>
      </c>
      <c r="AE112" s="47">
        <f>IF(_tbl_odoo_datos2[[#This Row],[FGer2]]="",0,1)</f>
        <v>1</v>
      </c>
      <c r="AF112" s="2">
        <f>IF(_tbl_odoo_datos2[[#This Row],[Finf2]]="",_tbl_odoo_datos2[[#This Row],[FGer2]],_tbl_odoo_datos2[[#This Row],[Finf2]])</f>
        <v>45716</v>
      </c>
    </row>
    <row r="113" spans="1:32" x14ac:dyDescent="0.25">
      <c r="A113" s="12" t="s">
        <v>446</v>
      </c>
      <c r="B113" s="12">
        <v>290</v>
      </c>
      <c r="C113" t="s">
        <v>274</v>
      </c>
      <c r="D113">
        <v>247828</v>
      </c>
      <c r="E113" s="8" t="s">
        <v>43</v>
      </c>
      <c r="F113" s="12">
        <v>21</v>
      </c>
      <c r="G113" s="8" t="s">
        <v>69</v>
      </c>
      <c r="H113" s="12">
        <v>195</v>
      </c>
      <c r="I113" t="s">
        <v>78</v>
      </c>
      <c r="J113" t="s">
        <v>46</v>
      </c>
      <c r="N113" s="12"/>
      <c r="O113" s="8"/>
      <c r="P113">
        <v>1</v>
      </c>
      <c r="Q113" s="8">
        <v>1</v>
      </c>
      <c r="R113" s="12">
        <v>1</v>
      </c>
      <c r="S113" s="8">
        <v>1</v>
      </c>
      <c r="T113" s="12"/>
      <c r="U113" s="8"/>
      <c r="V113" s="2">
        <v>45658</v>
      </c>
      <c r="W113" s="2">
        <v>1</v>
      </c>
      <c r="X113" s="2"/>
      <c r="Y113" s="2">
        <v>45688</v>
      </c>
      <c r="Z113" s="2"/>
      <c r="AA113" t="s">
        <v>275</v>
      </c>
      <c r="AB113" s="2"/>
      <c r="AC113" s="2">
        <v>45657</v>
      </c>
      <c r="AD113" s="47">
        <f>IF(_tbl_odoo_datos2[[#This Row],[Finf2]]="",0,1)</f>
        <v>0</v>
      </c>
      <c r="AE113" s="47">
        <f>IF(_tbl_odoo_datos2[[#This Row],[FGer2]]="",0,1)</f>
        <v>1</v>
      </c>
      <c r="AF113" s="2">
        <f>IF(_tbl_odoo_datos2[[#This Row],[Finf2]]="",_tbl_odoo_datos2[[#This Row],[FGer2]],_tbl_odoo_datos2[[#This Row],[Finf2]])</f>
        <v>45657</v>
      </c>
    </row>
    <row r="114" spans="1:32" x14ac:dyDescent="0.25">
      <c r="A114" s="12" t="s">
        <v>446</v>
      </c>
      <c r="B114" s="12">
        <v>339</v>
      </c>
      <c r="C114" t="s">
        <v>276</v>
      </c>
      <c r="E114" s="8"/>
      <c r="F114" s="12">
        <v>28</v>
      </c>
      <c r="G114" s="8" t="s">
        <v>52</v>
      </c>
      <c r="H114" s="12">
        <v>3203</v>
      </c>
      <c r="I114" t="s">
        <v>127</v>
      </c>
      <c r="J114" t="s">
        <v>46</v>
      </c>
      <c r="N114" s="12"/>
      <c r="O114" s="8"/>
      <c r="P114">
        <v>1</v>
      </c>
      <c r="Q114" s="8">
        <v>1</v>
      </c>
      <c r="R114" s="12">
        <v>2</v>
      </c>
      <c r="S114" s="8">
        <v>2</v>
      </c>
      <c r="T114" s="12"/>
      <c r="U114" s="8"/>
      <c r="V114" s="2">
        <v>45658</v>
      </c>
      <c r="W114" s="2">
        <v>1</v>
      </c>
      <c r="X114" s="2"/>
      <c r="Y114" s="2">
        <v>45716</v>
      </c>
      <c r="Z114" s="2"/>
      <c r="AB114" s="2"/>
      <c r="AC114" s="2">
        <v>45688</v>
      </c>
      <c r="AD114" s="47">
        <f>IF(_tbl_odoo_datos2[[#This Row],[Finf2]]="",0,1)</f>
        <v>0</v>
      </c>
      <c r="AE114" s="47">
        <f>IF(_tbl_odoo_datos2[[#This Row],[FGer2]]="",0,1)</f>
        <v>1</v>
      </c>
      <c r="AF114" s="2">
        <f>IF(_tbl_odoo_datos2[[#This Row],[Finf2]]="",_tbl_odoo_datos2[[#This Row],[FGer2]],_tbl_odoo_datos2[[#This Row],[Finf2]])</f>
        <v>45688</v>
      </c>
    </row>
    <row r="115" spans="1:32" x14ac:dyDescent="0.25">
      <c r="A115" s="12" t="s">
        <v>446</v>
      </c>
      <c r="B115" s="12">
        <v>307</v>
      </c>
      <c r="C115" t="s">
        <v>277</v>
      </c>
      <c r="D115">
        <v>247722</v>
      </c>
      <c r="E115" s="8" t="s">
        <v>117</v>
      </c>
      <c r="F115" s="12">
        <v>30</v>
      </c>
      <c r="G115" s="8" t="s">
        <v>44</v>
      </c>
      <c r="H115" s="12">
        <v>3202</v>
      </c>
      <c r="I115" t="s">
        <v>165</v>
      </c>
      <c r="J115" t="s">
        <v>46</v>
      </c>
      <c r="K115" t="b">
        <v>1</v>
      </c>
      <c r="N115" s="12"/>
      <c r="O115" s="8"/>
      <c r="P115">
        <v>1</v>
      </c>
      <c r="Q115" s="8">
        <v>1</v>
      </c>
      <c r="R115" s="12">
        <v>2</v>
      </c>
      <c r="S115" s="8">
        <v>2</v>
      </c>
      <c r="T115" s="12"/>
      <c r="U115" s="8"/>
      <c r="V115" s="2">
        <v>45658</v>
      </c>
      <c r="W115" s="2">
        <v>1</v>
      </c>
      <c r="X115" s="2"/>
      <c r="Y115" s="2">
        <v>45775</v>
      </c>
      <c r="Z115" s="2"/>
      <c r="AA115" t="s">
        <v>278</v>
      </c>
      <c r="AB115" s="2"/>
      <c r="AC115" s="2">
        <v>45747</v>
      </c>
      <c r="AD115" s="47">
        <f>IF(_tbl_odoo_datos2[[#This Row],[Finf2]]="",0,1)</f>
        <v>0</v>
      </c>
      <c r="AE115" s="47">
        <f>IF(_tbl_odoo_datos2[[#This Row],[FGer2]]="",0,1)</f>
        <v>1</v>
      </c>
      <c r="AF115" s="2">
        <f>IF(_tbl_odoo_datos2[[#This Row],[Finf2]]="",_tbl_odoo_datos2[[#This Row],[FGer2]],_tbl_odoo_datos2[[#This Row],[Finf2]])</f>
        <v>45747</v>
      </c>
    </row>
    <row r="116" spans="1:32" x14ac:dyDescent="0.25">
      <c r="A116" s="12" t="s">
        <v>446</v>
      </c>
      <c r="B116" s="12">
        <v>336</v>
      </c>
      <c r="C116" t="s">
        <v>279</v>
      </c>
      <c r="E116" s="8"/>
      <c r="F116" s="12">
        <v>30</v>
      </c>
      <c r="G116" s="8" t="s">
        <v>44</v>
      </c>
      <c r="H116" s="12">
        <v>3203</v>
      </c>
      <c r="I116" t="s">
        <v>127</v>
      </c>
      <c r="J116" t="s">
        <v>46</v>
      </c>
      <c r="N116" s="12"/>
      <c r="O116" s="8"/>
      <c r="P116">
        <v>3</v>
      </c>
      <c r="Q116" s="8">
        <v>3</v>
      </c>
      <c r="R116" s="12">
        <v>2</v>
      </c>
      <c r="S116" s="8">
        <v>2</v>
      </c>
      <c r="T116" s="12"/>
      <c r="U116" s="8"/>
      <c r="V116" s="2">
        <v>45658</v>
      </c>
      <c r="W116" s="2">
        <v>1</v>
      </c>
      <c r="X116" s="2"/>
      <c r="Y116" s="2">
        <v>45716</v>
      </c>
      <c r="Z116" s="2"/>
      <c r="AB116" s="2"/>
      <c r="AC116" s="2">
        <v>45688</v>
      </c>
      <c r="AD116" s="47">
        <f>IF(_tbl_odoo_datos2[[#This Row],[Finf2]]="",0,1)</f>
        <v>0</v>
      </c>
      <c r="AE116" s="47">
        <f>IF(_tbl_odoo_datos2[[#This Row],[FGer2]]="",0,1)</f>
        <v>1</v>
      </c>
      <c r="AF116" s="2">
        <f>IF(_tbl_odoo_datos2[[#This Row],[Finf2]]="",_tbl_odoo_datos2[[#This Row],[FGer2]],_tbl_odoo_datos2[[#This Row],[Finf2]])</f>
        <v>45688</v>
      </c>
    </row>
    <row r="117" spans="1:32" x14ac:dyDescent="0.25">
      <c r="A117" s="12" t="s">
        <v>446</v>
      </c>
      <c r="B117" s="12">
        <v>371</v>
      </c>
      <c r="C117" t="s">
        <v>280</v>
      </c>
      <c r="E117" s="8"/>
      <c r="F117" s="12">
        <v>21</v>
      </c>
      <c r="G117" s="8" t="s">
        <v>69</v>
      </c>
      <c r="H117" s="12">
        <v>195</v>
      </c>
      <c r="I117" t="s">
        <v>78</v>
      </c>
      <c r="J117" t="s">
        <v>46</v>
      </c>
      <c r="K117" t="b">
        <v>1</v>
      </c>
      <c r="N117" s="12"/>
      <c r="O117" s="8"/>
      <c r="Q117" s="8"/>
      <c r="R117" s="12">
        <v>1</v>
      </c>
      <c r="S117" s="8">
        <v>1</v>
      </c>
      <c r="T117" s="12"/>
      <c r="U117" s="8"/>
      <c r="V117" s="2">
        <v>45663</v>
      </c>
      <c r="W117" s="2">
        <v>1</v>
      </c>
      <c r="X117" s="2"/>
      <c r="Y117" s="2">
        <v>45688</v>
      </c>
      <c r="Z117" s="2"/>
      <c r="AB117" s="2"/>
      <c r="AC117" s="2">
        <v>45657</v>
      </c>
      <c r="AD117" s="47">
        <f>IF(_tbl_odoo_datos2[[#This Row],[Finf2]]="",0,1)</f>
        <v>0</v>
      </c>
      <c r="AE117" s="47">
        <f>IF(_tbl_odoo_datos2[[#This Row],[FGer2]]="",0,1)</f>
        <v>1</v>
      </c>
      <c r="AF117" s="2">
        <f>IF(_tbl_odoo_datos2[[#This Row],[Finf2]]="",_tbl_odoo_datos2[[#This Row],[FGer2]],_tbl_odoo_datos2[[#This Row],[Finf2]])</f>
        <v>45657</v>
      </c>
    </row>
    <row r="118" spans="1:32" x14ac:dyDescent="0.25">
      <c r="A118" s="12" t="s">
        <v>445</v>
      </c>
      <c r="B118" s="12">
        <v>275</v>
      </c>
      <c r="C118" s="47" t="s">
        <v>42</v>
      </c>
      <c r="D118" s="47">
        <v>247828</v>
      </c>
      <c r="E118" s="49" t="s">
        <v>43</v>
      </c>
      <c r="F118" s="12">
        <v>30</v>
      </c>
      <c r="G118" s="49" t="s">
        <v>44</v>
      </c>
      <c r="H118" s="12">
        <v>3233</v>
      </c>
      <c r="I118" s="47" t="s">
        <v>45</v>
      </c>
      <c r="J118" t="s">
        <v>46</v>
      </c>
      <c r="K118" s="47"/>
      <c r="L118" s="47"/>
      <c r="M118" s="47"/>
      <c r="N118" s="12"/>
      <c r="O118" s="49"/>
      <c r="P118" s="47">
        <v>1</v>
      </c>
      <c r="Q118" s="49">
        <v>1</v>
      </c>
      <c r="R118" s="12">
        <v>1</v>
      </c>
      <c r="S118" s="49">
        <v>1</v>
      </c>
      <c r="T118" s="12"/>
      <c r="U118" s="49"/>
      <c r="V118" s="2"/>
      <c r="W118" s="2"/>
      <c r="X118" s="2">
        <v>45688</v>
      </c>
      <c r="Y118" s="2"/>
      <c r="Z118" s="2"/>
      <c r="AA118" s="47" t="s">
        <v>47</v>
      </c>
      <c r="AB118" s="2">
        <v>45657</v>
      </c>
      <c r="AC118" s="2"/>
      <c r="AD118" s="47">
        <f>IF(_tbl_odoo_datos2[[#This Row],[Finf2]]="",0,1)</f>
        <v>1</v>
      </c>
      <c r="AE118" s="47">
        <f>IF(_tbl_odoo_datos2[[#This Row],[FGer2]]="",0,1)</f>
        <v>0</v>
      </c>
      <c r="AF118" s="2">
        <f>IF(_tbl_odoo_datos2[[#This Row],[Finf2]]="",_tbl_odoo_datos2[[#This Row],[FGer2]],_tbl_odoo_datos2[[#This Row],[Finf2]])</f>
        <v>45657</v>
      </c>
    </row>
    <row r="119" spans="1:32" x14ac:dyDescent="0.25">
      <c r="A119" s="12" t="s">
        <v>445</v>
      </c>
      <c r="B119" s="12">
        <v>278</v>
      </c>
      <c r="C119" s="47" t="s">
        <v>48</v>
      </c>
      <c r="D119" s="47">
        <v>247828</v>
      </c>
      <c r="E119" s="49" t="s">
        <v>43</v>
      </c>
      <c r="F119" s="12">
        <v>30</v>
      </c>
      <c r="G119" s="49" t="s">
        <v>44</v>
      </c>
      <c r="H119" s="12">
        <v>3233</v>
      </c>
      <c r="I119" s="47" t="s">
        <v>45</v>
      </c>
      <c r="J119" t="s">
        <v>46</v>
      </c>
      <c r="K119" s="47" t="b">
        <v>1</v>
      </c>
      <c r="L119" s="47"/>
      <c r="M119" s="47"/>
      <c r="N119" s="12"/>
      <c r="O119" s="49"/>
      <c r="P119" s="47">
        <v>1</v>
      </c>
      <c r="Q119" s="49">
        <v>1</v>
      </c>
      <c r="R119" s="12">
        <v>3</v>
      </c>
      <c r="S119" s="49">
        <v>3</v>
      </c>
      <c r="T119" s="12"/>
      <c r="U119" s="49"/>
      <c r="V119" s="2"/>
      <c r="W119" s="2"/>
      <c r="X119" s="2">
        <v>45685</v>
      </c>
      <c r="Y119" s="2"/>
      <c r="Z119" s="2"/>
      <c r="AA119" s="47" t="s">
        <v>49</v>
      </c>
      <c r="AB119" s="2">
        <v>45657</v>
      </c>
      <c r="AC119" s="2"/>
      <c r="AD119" s="47">
        <f>IF(_tbl_odoo_datos2[[#This Row],[Finf2]]="",0,1)</f>
        <v>1</v>
      </c>
      <c r="AE119" s="47">
        <f>IF(_tbl_odoo_datos2[[#This Row],[FGer2]]="",0,1)</f>
        <v>0</v>
      </c>
      <c r="AF119" s="2">
        <f>IF(_tbl_odoo_datos2[[#This Row],[Finf2]]="",_tbl_odoo_datos2[[#This Row],[FGer2]],_tbl_odoo_datos2[[#This Row],[Finf2]])</f>
        <v>45657</v>
      </c>
    </row>
    <row r="120" spans="1:32" x14ac:dyDescent="0.25">
      <c r="A120" s="12" t="s">
        <v>445</v>
      </c>
      <c r="B120" s="12">
        <v>280</v>
      </c>
      <c r="C120" s="47" t="s">
        <v>50</v>
      </c>
      <c r="D120" s="47">
        <v>247541</v>
      </c>
      <c r="E120" s="49" t="s">
        <v>51</v>
      </c>
      <c r="F120" s="12">
        <v>28</v>
      </c>
      <c r="G120" s="49" t="s">
        <v>52</v>
      </c>
      <c r="H120" s="12">
        <v>3198</v>
      </c>
      <c r="I120" s="47" t="s">
        <v>53</v>
      </c>
      <c r="J120" t="s">
        <v>46</v>
      </c>
      <c r="K120" s="47"/>
      <c r="L120" s="47"/>
      <c r="M120" s="47"/>
      <c r="N120" s="12"/>
      <c r="O120" s="49"/>
      <c r="P120" s="47">
        <v>3</v>
      </c>
      <c r="Q120" s="49">
        <v>3</v>
      </c>
      <c r="R120" s="12">
        <v>3</v>
      </c>
      <c r="S120" s="49">
        <v>3</v>
      </c>
      <c r="T120" s="12"/>
      <c r="U120" s="49"/>
      <c r="V120" s="2"/>
      <c r="W120" s="2"/>
      <c r="X120" s="2">
        <v>45744</v>
      </c>
      <c r="Y120" s="2"/>
      <c r="Z120" s="2"/>
      <c r="AA120" s="47" t="s">
        <v>54</v>
      </c>
      <c r="AB120" s="2">
        <v>45716</v>
      </c>
      <c r="AC120" s="2"/>
      <c r="AD120" s="47">
        <f>IF(_tbl_odoo_datos2[[#This Row],[Finf2]]="",0,1)</f>
        <v>1</v>
      </c>
      <c r="AE120" s="47">
        <f>IF(_tbl_odoo_datos2[[#This Row],[FGer2]]="",0,1)</f>
        <v>0</v>
      </c>
      <c r="AF120" s="2">
        <f>IF(_tbl_odoo_datos2[[#This Row],[Finf2]]="",_tbl_odoo_datos2[[#This Row],[FGer2]],_tbl_odoo_datos2[[#This Row],[Finf2]])</f>
        <v>45716</v>
      </c>
    </row>
    <row r="121" spans="1:32" x14ac:dyDescent="0.25">
      <c r="A121" s="12" t="s">
        <v>445</v>
      </c>
      <c r="B121" s="12">
        <v>281</v>
      </c>
      <c r="C121" s="47" t="s">
        <v>55</v>
      </c>
      <c r="D121" s="47">
        <v>247795</v>
      </c>
      <c r="E121" s="49" t="s">
        <v>56</v>
      </c>
      <c r="F121" s="12">
        <v>28</v>
      </c>
      <c r="G121" s="49" t="s">
        <v>52</v>
      </c>
      <c r="H121" s="12">
        <v>3233</v>
      </c>
      <c r="I121" s="47" t="s">
        <v>45</v>
      </c>
      <c r="J121" t="s">
        <v>46</v>
      </c>
      <c r="K121" s="47"/>
      <c r="L121" s="47"/>
      <c r="M121" s="47"/>
      <c r="N121" s="12"/>
      <c r="O121" s="49"/>
      <c r="P121" s="47">
        <v>1</v>
      </c>
      <c r="Q121" s="49">
        <v>1</v>
      </c>
      <c r="R121" s="12">
        <v>1</v>
      </c>
      <c r="S121" s="49">
        <v>1</v>
      </c>
      <c r="T121" s="12"/>
      <c r="U121" s="49"/>
      <c r="V121" s="2"/>
      <c r="W121" s="2"/>
      <c r="X121" s="2">
        <v>45744</v>
      </c>
      <c r="Y121" s="2"/>
      <c r="Z121" s="2"/>
      <c r="AA121" s="47" t="s">
        <v>57</v>
      </c>
      <c r="AB121" s="2">
        <v>45716</v>
      </c>
      <c r="AC121" s="2"/>
      <c r="AD121" s="47">
        <f>IF(_tbl_odoo_datos2[[#This Row],[Finf2]]="",0,1)</f>
        <v>1</v>
      </c>
      <c r="AE121" s="47">
        <f>IF(_tbl_odoo_datos2[[#This Row],[FGer2]]="",0,1)</f>
        <v>0</v>
      </c>
      <c r="AF121" s="2">
        <f>IF(_tbl_odoo_datos2[[#This Row],[Finf2]]="",_tbl_odoo_datos2[[#This Row],[FGer2]],_tbl_odoo_datos2[[#This Row],[Finf2]])</f>
        <v>45716</v>
      </c>
    </row>
    <row r="122" spans="1:32" x14ac:dyDescent="0.25">
      <c r="A122" s="12" t="s">
        <v>445</v>
      </c>
      <c r="B122" s="12">
        <v>282</v>
      </c>
      <c r="C122" s="47" t="s">
        <v>58</v>
      </c>
      <c r="D122" s="47">
        <v>247556</v>
      </c>
      <c r="E122" s="49" t="s">
        <v>59</v>
      </c>
      <c r="F122" s="12">
        <v>28</v>
      </c>
      <c r="G122" s="49" t="s">
        <v>52</v>
      </c>
      <c r="H122" s="12">
        <v>3233</v>
      </c>
      <c r="I122" s="47" t="s">
        <v>45</v>
      </c>
      <c r="J122" t="s">
        <v>46</v>
      </c>
      <c r="K122" s="47"/>
      <c r="L122" s="47"/>
      <c r="M122" s="47"/>
      <c r="N122" s="12"/>
      <c r="O122" s="49"/>
      <c r="P122" s="47">
        <v>1</v>
      </c>
      <c r="Q122" s="49">
        <v>1</v>
      </c>
      <c r="R122" s="12">
        <v>3</v>
      </c>
      <c r="S122" s="49">
        <v>3</v>
      </c>
      <c r="T122" s="12"/>
      <c r="U122" s="49"/>
      <c r="V122" s="2"/>
      <c r="W122" s="2"/>
      <c r="X122" s="2">
        <v>45716</v>
      </c>
      <c r="Y122" s="2"/>
      <c r="Z122" s="2"/>
      <c r="AA122" s="47" t="s">
        <v>60</v>
      </c>
      <c r="AB122" s="2">
        <v>45688</v>
      </c>
      <c r="AC122" s="2"/>
      <c r="AD122" s="47">
        <f>IF(_tbl_odoo_datos2[[#This Row],[Finf2]]="",0,1)</f>
        <v>1</v>
      </c>
      <c r="AE122" s="47">
        <f>IF(_tbl_odoo_datos2[[#This Row],[FGer2]]="",0,1)</f>
        <v>0</v>
      </c>
      <c r="AF122" s="2">
        <f>IF(_tbl_odoo_datos2[[#This Row],[Finf2]]="",_tbl_odoo_datos2[[#This Row],[FGer2]],_tbl_odoo_datos2[[#This Row],[Finf2]])</f>
        <v>45688</v>
      </c>
    </row>
    <row r="123" spans="1:32" x14ac:dyDescent="0.25">
      <c r="A123" s="12" t="s">
        <v>445</v>
      </c>
      <c r="B123" s="12">
        <v>283</v>
      </c>
      <c r="C123" s="47" t="s">
        <v>61</v>
      </c>
      <c r="D123" s="47">
        <v>247857</v>
      </c>
      <c r="E123" s="49" t="s">
        <v>62</v>
      </c>
      <c r="F123" s="12">
        <v>28</v>
      </c>
      <c r="G123" s="49" t="s">
        <v>52</v>
      </c>
      <c r="H123" s="12"/>
      <c r="I123" s="47"/>
      <c r="J123" t="s">
        <v>46</v>
      </c>
      <c r="K123" s="47"/>
      <c r="L123" s="47"/>
      <c r="M123" s="47"/>
      <c r="N123" s="12"/>
      <c r="O123" s="49"/>
      <c r="P123" s="47">
        <v>1</v>
      </c>
      <c r="Q123" s="49">
        <v>1</v>
      </c>
      <c r="R123" s="12">
        <v>2</v>
      </c>
      <c r="S123" s="49">
        <v>2</v>
      </c>
      <c r="T123" s="12"/>
      <c r="U123" s="49"/>
      <c r="V123" s="2"/>
      <c r="W123" s="2"/>
      <c r="X123" s="2">
        <v>45688</v>
      </c>
      <c r="Y123" s="2"/>
      <c r="Z123" s="2"/>
      <c r="AA123" s="47" t="s">
        <v>63</v>
      </c>
      <c r="AB123" s="2">
        <v>45657</v>
      </c>
      <c r="AC123" s="2"/>
      <c r="AD123" s="47">
        <f>IF(_tbl_odoo_datos2[[#This Row],[Finf2]]="",0,1)</f>
        <v>1</v>
      </c>
      <c r="AE123" s="47">
        <f>IF(_tbl_odoo_datos2[[#This Row],[FGer2]]="",0,1)</f>
        <v>0</v>
      </c>
      <c r="AF123" s="2">
        <f>IF(_tbl_odoo_datos2[[#This Row],[Finf2]]="",_tbl_odoo_datos2[[#This Row],[FGer2]],_tbl_odoo_datos2[[#This Row],[Finf2]])</f>
        <v>45657</v>
      </c>
    </row>
    <row r="124" spans="1:32" x14ac:dyDescent="0.25">
      <c r="A124" s="12" t="s">
        <v>445</v>
      </c>
      <c r="B124" s="12">
        <v>284</v>
      </c>
      <c r="C124" s="47" t="s">
        <v>64</v>
      </c>
      <c r="D124" s="47">
        <v>247885</v>
      </c>
      <c r="E124" s="49" t="s">
        <v>65</v>
      </c>
      <c r="F124" s="12">
        <v>28</v>
      </c>
      <c r="G124" s="49" t="s">
        <v>52</v>
      </c>
      <c r="H124" s="12">
        <v>3233</v>
      </c>
      <c r="I124" s="47" t="s">
        <v>45</v>
      </c>
      <c r="J124" t="s">
        <v>46</v>
      </c>
      <c r="K124" s="47"/>
      <c r="L124" s="47"/>
      <c r="M124" s="47"/>
      <c r="N124" s="12"/>
      <c r="O124" s="49"/>
      <c r="P124" s="47">
        <v>1</v>
      </c>
      <c r="Q124" s="49">
        <v>1</v>
      </c>
      <c r="R124" s="12">
        <v>1</v>
      </c>
      <c r="S124" s="49">
        <v>1</v>
      </c>
      <c r="T124" s="12"/>
      <c r="U124" s="49"/>
      <c r="V124" s="2"/>
      <c r="W124" s="2"/>
      <c r="X124" s="2">
        <v>45777</v>
      </c>
      <c r="Y124" s="2"/>
      <c r="Z124" s="2"/>
      <c r="AA124" s="47" t="s">
        <v>66</v>
      </c>
      <c r="AB124" s="2">
        <v>45747</v>
      </c>
      <c r="AC124" s="2"/>
      <c r="AD124" s="47">
        <f>IF(_tbl_odoo_datos2[[#This Row],[Finf2]]="",0,1)</f>
        <v>1</v>
      </c>
      <c r="AE124" s="47">
        <f>IF(_tbl_odoo_datos2[[#This Row],[FGer2]]="",0,1)</f>
        <v>0</v>
      </c>
      <c r="AF124" s="2">
        <f>IF(_tbl_odoo_datos2[[#This Row],[Finf2]]="",_tbl_odoo_datos2[[#This Row],[FGer2]],_tbl_odoo_datos2[[#This Row],[Finf2]])</f>
        <v>45747</v>
      </c>
    </row>
    <row r="125" spans="1:32" x14ac:dyDescent="0.25">
      <c r="A125" s="12" t="s">
        <v>445</v>
      </c>
      <c r="B125" s="12">
        <v>285</v>
      </c>
      <c r="C125" s="47" t="s">
        <v>67</v>
      </c>
      <c r="D125" s="47">
        <v>247277</v>
      </c>
      <c r="E125" s="49" t="s">
        <v>68</v>
      </c>
      <c r="F125" s="12">
        <v>21</v>
      </c>
      <c r="G125" s="49" t="s">
        <v>69</v>
      </c>
      <c r="H125" s="12">
        <v>3233</v>
      </c>
      <c r="I125" s="47" t="s">
        <v>45</v>
      </c>
      <c r="J125" t="s">
        <v>46</v>
      </c>
      <c r="K125" s="47"/>
      <c r="L125" s="47"/>
      <c r="M125" s="47"/>
      <c r="N125" s="12"/>
      <c r="O125" s="49"/>
      <c r="P125" s="47">
        <v>1</v>
      </c>
      <c r="Q125" s="49">
        <v>1</v>
      </c>
      <c r="R125" s="12">
        <v>1</v>
      </c>
      <c r="S125" s="49">
        <v>1</v>
      </c>
      <c r="T125" s="12"/>
      <c r="U125" s="49"/>
      <c r="V125" s="2"/>
      <c r="W125" s="2"/>
      <c r="X125" s="2">
        <v>45688</v>
      </c>
      <c r="Y125" s="2"/>
      <c r="Z125" s="2"/>
      <c r="AA125" s="47" t="s">
        <v>70</v>
      </c>
      <c r="AB125" s="2">
        <v>45657</v>
      </c>
      <c r="AC125" s="2"/>
      <c r="AD125" s="47">
        <f>IF(_tbl_odoo_datos2[[#This Row],[Finf2]]="",0,1)</f>
        <v>1</v>
      </c>
      <c r="AE125" s="47">
        <f>IF(_tbl_odoo_datos2[[#This Row],[FGer2]]="",0,1)</f>
        <v>0</v>
      </c>
      <c r="AF125" s="2">
        <f>IF(_tbl_odoo_datos2[[#This Row],[Finf2]]="",_tbl_odoo_datos2[[#This Row],[FGer2]],_tbl_odoo_datos2[[#This Row],[Finf2]])</f>
        <v>45657</v>
      </c>
    </row>
    <row r="126" spans="1:32" x14ac:dyDescent="0.25">
      <c r="A126" s="12" t="s">
        <v>445</v>
      </c>
      <c r="B126" s="12">
        <v>286</v>
      </c>
      <c r="C126" s="47" t="s">
        <v>71</v>
      </c>
      <c r="D126" s="47">
        <v>247795</v>
      </c>
      <c r="E126" s="49" t="s">
        <v>56</v>
      </c>
      <c r="F126" s="12">
        <v>28</v>
      </c>
      <c r="G126" s="49" t="s">
        <v>52</v>
      </c>
      <c r="H126" s="12"/>
      <c r="I126" s="47"/>
      <c r="J126" t="s">
        <v>46</v>
      </c>
      <c r="K126" s="47"/>
      <c r="L126" s="47"/>
      <c r="M126" s="47"/>
      <c r="N126" s="12"/>
      <c r="O126" s="49"/>
      <c r="P126" s="47">
        <v>2</v>
      </c>
      <c r="Q126" s="49">
        <v>2</v>
      </c>
      <c r="R126" s="12">
        <v>2</v>
      </c>
      <c r="S126" s="49">
        <v>2</v>
      </c>
      <c r="T126" s="12"/>
      <c r="U126" s="49"/>
      <c r="V126" s="2"/>
      <c r="W126" s="2"/>
      <c r="X126" s="2">
        <v>45716</v>
      </c>
      <c r="Y126" s="2"/>
      <c r="Z126" s="2"/>
      <c r="AA126" s="47" t="s">
        <v>72</v>
      </c>
      <c r="AB126" s="2">
        <v>45688</v>
      </c>
      <c r="AC126" s="2"/>
      <c r="AD126" s="47">
        <f>IF(_tbl_odoo_datos2[[#This Row],[Finf2]]="",0,1)</f>
        <v>1</v>
      </c>
      <c r="AE126" s="47">
        <f>IF(_tbl_odoo_datos2[[#This Row],[FGer2]]="",0,1)</f>
        <v>0</v>
      </c>
      <c r="AF126" s="2">
        <f>IF(_tbl_odoo_datos2[[#This Row],[Finf2]]="",_tbl_odoo_datos2[[#This Row],[FGer2]],_tbl_odoo_datos2[[#This Row],[Finf2]])</f>
        <v>45688</v>
      </c>
    </row>
    <row r="127" spans="1:32" x14ac:dyDescent="0.25">
      <c r="A127" s="12" t="s">
        <v>445</v>
      </c>
      <c r="B127" s="12">
        <v>287</v>
      </c>
      <c r="C127" s="47" t="s">
        <v>73</v>
      </c>
      <c r="D127" s="47">
        <v>289004</v>
      </c>
      <c r="E127" s="49" t="s">
        <v>59</v>
      </c>
      <c r="F127" s="12">
        <v>28</v>
      </c>
      <c r="G127" s="49" t="s">
        <v>52</v>
      </c>
      <c r="H127" s="12"/>
      <c r="I127" s="47"/>
      <c r="J127" t="s">
        <v>46</v>
      </c>
      <c r="K127" s="47"/>
      <c r="L127" s="47"/>
      <c r="M127" s="47"/>
      <c r="N127" s="12"/>
      <c r="O127" s="49"/>
      <c r="P127" s="47">
        <v>2</v>
      </c>
      <c r="Q127" s="49">
        <v>2</v>
      </c>
      <c r="R127" s="12">
        <v>2</v>
      </c>
      <c r="S127" s="49">
        <v>2</v>
      </c>
      <c r="T127" s="12"/>
      <c r="U127" s="49"/>
      <c r="V127" s="2"/>
      <c r="W127" s="2"/>
      <c r="X127" s="2">
        <v>45716</v>
      </c>
      <c r="Y127" s="2"/>
      <c r="Z127" s="2"/>
      <c r="AA127" s="47" t="s">
        <v>74</v>
      </c>
      <c r="AB127" s="2">
        <v>45688</v>
      </c>
      <c r="AC127" s="2"/>
      <c r="AD127" s="47">
        <f>IF(_tbl_odoo_datos2[[#This Row],[Finf2]]="",0,1)</f>
        <v>1</v>
      </c>
      <c r="AE127" s="47">
        <f>IF(_tbl_odoo_datos2[[#This Row],[FGer2]]="",0,1)</f>
        <v>0</v>
      </c>
      <c r="AF127" s="2">
        <f>IF(_tbl_odoo_datos2[[#This Row],[Finf2]]="",_tbl_odoo_datos2[[#This Row],[FGer2]],_tbl_odoo_datos2[[#This Row],[Finf2]])</f>
        <v>45688</v>
      </c>
    </row>
    <row r="128" spans="1:32" x14ac:dyDescent="0.25">
      <c r="A128" s="12" t="s">
        <v>445</v>
      </c>
      <c r="B128" s="12">
        <v>288</v>
      </c>
      <c r="C128" s="47" t="s">
        <v>75</v>
      </c>
      <c r="D128" s="47">
        <v>289006</v>
      </c>
      <c r="E128" s="49" t="s">
        <v>76</v>
      </c>
      <c r="F128" s="12">
        <v>22</v>
      </c>
      <c r="G128" s="49" t="s">
        <v>77</v>
      </c>
      <c r="H128" s="12">
        <v>195</v>
      </c>
      <c r="I128" s="47" t="s">
        <v>78</v>
      </c>
      <c r="J128" t="s">
        <v>46</v>
      </c>
      <c r="K128" s="47" t="b">
        <v>1</v>
      </c>
      <c r="L128" s="47"/>
      <c r="M128" s="47"/>
      <c r="N128" s="12"/>
      <c r="O128" s="49"/>
      <c r="P128" s="47">
        <v>1</v>
      </c>
      <c r="Q128" s="49">
        <v>1</v>
      </c>
      <c r="R128" s="12">
        <v>1</v>
      </c>
      <c r="S128" s="49">
        <v>1</v>
      </c>
      <c r="T128" s="12"/>
      <c r="U128" s="49"/>
      <c r="V128" s="2"/>
      <c r="W128" s="2"/>
      <c r="X128" s="2">
        <v>45688</v>
      </c>
      <c r="Y128" s="2"/>
      <c r="Z128" s="2"/>
      <c r="AA128" s="47" t="s">
        <v>79</v>
      </c>
      <c r="AB128" s="2">
        <v>45657</v>
      </c>
      <c r="AC128" s="2"/>
      <c r="AD128" s="47">
        <f>IF(_tbl_odoo_datos2[[#This Row],[Finf2]]="",0,1)</f>
        <v>1</v>
      </c>
      <c r="AE128" s="47">
        <f>IF(_tbl_odoo_datos2[[#This Row],[FGer2]]="",0,1)</f>
        <v>0</v>
      </c>
      <c r="AF128" s="2">
        <f>IF(_tbl_odoo_datos2[[#This Row],[Finf2]]="",_tbl_odoo_datos2[[#This Row],[FGer2]],_tbl_odoo_datos2[[#This Row],[Finf2]])</f>
        <v>45657</v>
      </c>
    </row>
    <row r="129" spans="1:32" x14ac:dyDescent="0.25">
      <c r="A129" s="12" t="s">
        <v>445</v>
      </c>
      <c r="B129" s="12">
        <v>289</v>
      </c>
      <c r="C129" s="47" t="s">
        <v>80</v>
      </c>
      <c r="D129" s="47">
        <v>247729</v>
      </c>
      <c r="E129" s="49" t="s">
        <v>81</v>
      </c>
      <c r="F129" s="12">
        <v>28</v>
      </c>
      <c r="G129" s="49" t="s">
        <v>52</v>
      </c>
      <c r="H129" s="12"/>
      <c r="I129" s="47"/>
      <c r="J129" t="s">
        <v>46</v>
      </c>
      <c r="K129" s="47"/>
      <c r="L129" s="47"/>
      <c r="M129" s="47"/>
      <c r="N129" s="12"/>
      <c r="O129" s="49"/>
      <c r="P129" s="47">
        <v>3</v>
      </c>
      <c r="Q129" s="49">
        <v>3</v>
      </c>
      <c r="R129" s="12">
        <v>3</v>
      </c>
      <c r="S129" s="49">
        <v>3</v>
      </c>
      <c r="T129" s="12"/>
      <c r="U129" s="49"/>
      <c r="V129" s="2"/>
      <c r="W129" s="2"/>
      <c r="X129" s="2">
        <v>45744</v>
      </c>
      <c r="Y129" s="2"/>
      <c r="Z129" s="2"/>
      <c r="AA129" s="47" t="s">
        <v>82</v>
      </c>
      <c r="AB129" s="2">
        <v>45716</v>
      </c>
      <c r="AC129" s="2"/>
      <c r="AD129" s="47">
        <f>IF(_tbl_odoo_datos2[[#This Row],[Finf2]]="",0,1)</f>
        <v>1</v>
      </c>
      <c r="AE129" s="47">
        <f>IF(_tbl_odoo_datos2[[#This Row],[FGer2]]="",0,1)</f>
        <v>0</v>
      </c>
      <c r="AF129" s="2">
        <f>IF(_tbl_odoo_datos2[[#This Row],[Finf2]]="",_tbl_odoo_datos2[[#This Row],[FGer2]],_tbl_odoo_datos2[[#This Row],[Finf2]])</f>
        <v>45716</v>
      </c>
    </row>
    <row r="130" spans="1:32" x14ac:dyDescent="0.25">
      <c r="A130" s="12" t="s">
        <v>445</v>
      </c>
      <c r="B130" s="12">
        <v>291</v>
      </c>
      <c r="C130" s="47" t="s">
        <v>83</v>
      </c>
      <c r="D130" s="47">
        <v>247393</v>
      </c>
      <c r="E130" s="49" t="s">
        <v>84</v>
      </c>
      <c r="F130" s="12">
        <v>28</v>
      </c>
      <c r="G130" s="49" t="s">
        <v>52</v>
      </c>
      <c r="H130" s="12"/>
      <c r="I130" s="47"/>
      <c r="J130" t="s">
        <v>46</v>
      </c>
      <c r="K130" s="47"/>
      <c r="L130" s="47"/>
      <c r="M130" s="47"/>
      <c r="N130" s="12"/>
      <c r="O130" s="49"/>
      <c r="P130" s="47">
        <v>3</v>
      </c>
      <c r="Q130" s="49">
        <v>3</v>
      </c>
      <c r="R130" s="12">
        <v>3</v>
      </c>
      <c r="S130" s="49">
        <v>3</v>
      </c>
      <c r="T130" s="12"/>
      <c r="U130" s="49"/>
      <c r="V130" s="2"/>
      <c r="W130" s="2"/>
      <c r="X130" s="2">
        <v>45761</v>
      </c>
      <c r="Y130" s="2"/>
      <c r="Z130" s="2"/>
      <c r="AA130" s="47" t="s">
        <v>85</v>
      </c>
      <c r="AB130" s="2">
        <v>45747</v>
      </c>
      <c r="AC130" s="2"/>
      <c r="AD130" s="47">
        <f>IF(_tbl_odoo_datos2[[#This Row],[Finf2]]="",0,1)</f>
        <v>1</v>
      </c>
      <c r="AE130" s="47">
        <f>IF(_tbl_odoo_datos2[[#This Row],[FGer2]]="",0,1)</f>
        <v>0</v>
      </c>
      <c r="AF130" s="2">
        <f>IF(_tbl_odoo_datos2[[#This Row],[Finf2]]="",_tbl_odoo_datos2[[#This Row],[FGer2]],_tbl_odoo_datos2[[#This Row],[Finf2]])</f>
        <v>45747</v>
      </c>
    </row>
    <row r="131" spans="1:32" x14ac:dyDescent="0.25">
      <c r="A131" s="12" t="s">
        <v>445</v>
      </c>
      <c r="B131" s="12">
        <v>293</v>
      </c>
      <c r="C131" s="47" t="s">
        <v>86</v>
      </c>
      <c r="D131" s="47">
        <v>247795</v>
      </c>
      <c r="E131" s="49" t="s">
        <v>56</v>
      </c>
      <c r="F131" s="12">
        <v>28</v>
      </c>
      <c r="G131" s="49" t="s">
        <v>52</v>
      </c>
      <c r="H131" s="12"/>
      <c r="I131" s="47"/>
      <c r="J131" t="s">
        <v>46</v>
      </c>
      <c r="K131" s="47"/>
      <c r="L131" s="47"/>
      <c r="M131" s="47"/>
      <c r="N131" s="12"/>
      <c r="O131" s="49"/>
      <c r="P131" s="47">
        <v>2</v>
      </c>
      <c r="Q131" s="49">
        <v>2</v>
      </c>
      <c r="R131" s="12">
        <v>2</v>
      </c>
      <c r="S131" s="49">
        <v>2</v>
      </c>
      <c r="T131" s="12"/>
      <c r="U131" s="49"/>
      <c r="V131" s="2"/>
      <c r="W131" s="2"/>
      <c r="X131" s="2">
        <v>45744</v>
      </c>
      <c r="Y131" s="2"/>
      <c r="Z131" s="2"/>
      <c r="AA131" s="47" t="s">
        <v>87</v>
      </c>
      <c r="AB131" s="2">
        <v>45716</v>
      </c>
      <c r="AC131" s="2"/>
      <c r="AD131" s="47">
        <f>IF(_tbl_odoo_datos2[[#This Row],[Finf2]]="",0,1)</f>
        <v>1</v>
      </c>
      <c r="AE131" s="47">
        <f>IF(_tbl_odoo_datos2[[#This Row],[FGer2]]="",0,1)</f>
        <v>0</v>
      </c>
      <c r="AF131" s="2">
        <f>IF(_tbl_odoo_datos2[[#This Row],[Finf2]]="",_tbl_odoo_datos2[[#This Row],[FGer2]],_tbl_odoo_datos2[[#This Row],[Finf2]])</f>
        <v>45716</v>
      </c>
    </row>
    <row r="132" spans="1:32" x14ac:dyDescent="0.25">
      <c r="A132" s="12" t="s">
        <v>445</v>
      </c>
      <c r="B132" s="12">
        <v>294</v>
      </c>
      <c r="C132" s="47" t="s">
        <v>88</v>
      </c>
      <c r="D132" s="47">
        <v>247795</v>
      </c>
      <c r="E132" s="49" t="s">
        <v>56</v>
      </c>
      <c r="F132" s="12">
        <v>28</v>
      </c>
      <c r="G132" s="49" t="s">
        <v>52</v>
      </c>
      <c r="H132" s="12"/>
      <c r="I132" s="47"/>
      <c r="J132" t="s">
        <v>46</v>
      </c>
      <c r="K132" s="47"/>
      <c r="L132" s="47"/>
      <c r="M132" s="47"/>
      <c r="N132" s="12"/>
      <c r="O132" s="49"/>
      <c r="P132" s="47">
        <v>1</v>
      </c>
      <c r="Q132" s="49">
        <v>1</v>
      </c>
      <c r="R132" s="12">
        <v>2</v>
      </c>
      <c r="S132" s="49">
        <v>2</v>
      </c>
      <c r="T132" s="12"/>
      <c r="U132" s="49"/>
      <c r="V132" s="2"/>
      <c r="W132" s="2"/>
      <c r="X132" s="2">
        <v>45761</v>
      </c>
      <c r="Y132" s="2"/>
      <c r="Z132" s="2"/>
      <c r="AA132" s="47" t="s">
        <v>89</v>
      </c>
      <c r="AB132" s="2">
        <v>45747</v>
      </c>
      <c r="AC132" s="2"/>
      <c r="AD132" s="47">
        <f>IF(_tbl_odoo_datos2[[#This Row],[Finf2]]="",0,1)</f>
        <v>1</v>
      </c>
      <c r="AE132" s="47">
        <f>IF(_tbl_odoo_datos2[[#This Row],[FGer2]]="",0,1)</f>
        <v>0</v>
      </c>
      <c r="AF132" s="2">
        <f>IF(_tbl_odoo_datos2[[#This Row],[Finf2]]="",_tbl_odoo_datos2[[#This Row],[FGer2]],_tbl_odoo_datos2[[#This Row],[Finf2]])</f>
        <v>45747</v>
      </c>
    </row>
    <row r="133" spans="1:32" x14ac:dyDescent="0.25">
      <c r="A133" s="12" t="s">
        <v>445</v>
      </c>
      <c r="B133" s="12">
        <v>300</v>
      </c>
      <c r="C133" s="47" t="s">
        <v>90</v>
      </c>
      <c r="D133" s="47">
        <v>293171</v>
      </c>
      <c r="E133" s="49" t="s">
        <v>91</v>
      </c>
      <c r="F133" s="12">
        <v>21</v>
      </c>
      <c r="G133" s="49" t="s">
        <v>69</v>
      </c>
      <c r="H133" s="12">
        <v>195</v>
      </c>
      <c r="I133" s="47" t="s">
        <v>78</v>
      </c>
      <c r="J133" t="s">
        <v>46</v>
      </c>
      <c r="K133" s="47" t="b">
        <v>1</v>
      </c>
      <c r="L133" s="47"/>
      <c r="M133" s="47"/>
      <c r="N133" s="12"/>
      <c r="O133" s="49"/>
      <c r="P133" s="47">
        <v>1</v>
      </c>
      <c r="Q133" s="49">
        <v>1</v>
      </c>
      <c r="R133" s="12">
        <v>2</v>
      </c>
      <c r="S133" s="49">
        <v>2</v>
      </c>
      <c r="T133" s="12"/>
      <c r="U133" s="49"/>
      <c r="V133" s="2"/>
      <c r="W133" s="2"/>
      <c r="X133" s="2">
        <v>45726</v>
      </c>
      <c r="Y133" s="2"/>
      <c r="Z133" s="2"/>
      <c r="AA133" s="47" t="s">
        <v>92</v>
      </c>
      <c r="AB133" s="2">
        <v>45716</v>
      </c>
      <c r="AC133" s="2"/>
      <c r="AD133" s="47">
        <f>IF(_tbl_odoo_datos2[[#This Row],[Finf2]]="",0,1)</f>
        <v>1</v>
      </c>
      <c r="AE133" s="47">
        <f>IF(_tbl_odoo_datos2[[#This Row],[FGer2]]="",0,1)</f>
        <v>0</v>
      </c>
      <c r="AF133" s="2">
        <f>IF(_tbl_odoo_datos2[[#This Row],[Finf2]]="",_tbl_odoo_datos2[[#This Row],[FGer2]],_tbl_odoo_datos2[[#This Row],[Finf2]])</f>
        <v>45716</v>
      </c>
    </row>
    <row r="134" spans="1:32" x14ac:dyDescent="0.25">
      <c r="A134" s="12" t="s">
        <v>445</v>
      </c>
      <c r="B134" s="12">
        <v>305</v>
      </c>
      <c r="C134" s="47" t="s">
        <v>93</v>
      </c>
      <c r="D134" s="47">
        <v>247795</v>
      </c>
      <c r="E134" s="49" t="s">
        <v>56</v>
      </c>
      <c r="F134" s="12">
        <v>28</v>
      </c>
      <c r="G134" s="49" t="s">
        <v>52</v>
      </c>
      <c r="H134" s="12">
        <v>195</v>
      </c>
      <c r="I134" s="47" t="s">
        <v>78</v>
      </c>
      <c r="J134" t="s">
        <v>46</v>
      </c>
      <c r="K134" s="47"/>
      <c r="L134" s="47"/>
      <c r="M134" s="47"/>
      <c r="N134" s="12"/>
      <c r="O134" s="49"/>
      <c r="P134" s="47">
        <v>1</v>
      </c>
      <c r="Q134" s="49">
        <v>1</v>
      </c>
      <c r="R134" s="12">
        <v>1</v>
      </c>
      <c r="S134" s="49">
        <v>1</v>
      </c>
      <c r="T134" s="12"/>
      <c r="U134" s="49"/>
      <c r="V134" s="2"/>
      <c r="W134" s="2"/>
      <c r="X134" s="2">
        <v>45726</v>
      </c>
      <c r="Y134" s="2"/>
      <c r="Z134" s="2"/>
      <c r="AA134" s="47" t="s">
        <v>94</v>
      </c>
      <c r="AB134" s="2">
        <v>45716</v>
      </c>
      <c r="AC134" s="2"/>
      <c r="AD134" s="47">
        <f>IF(_tbl_odoo_datos2[[#This Row],[Finf2]]="",0,1)</f>
        <v>1</v>
      </c>
      <c r="AE134" s="47">
        <f>IF(_tbl_odoo_datos2[[#This Row],[FGer2]]="",0,1)</f>
        <v>0</v>
      </c>
      <c r="AF134" s="2">
        <f>IF(_tbl_odoo_datos2[[#This Row],[Finf2]]="",_tbl_odoo_datos2[[#This Row],[FGer2]],_tbl_odoo_datos2[[#This Row],[Finf2]])</f>
        <v>45716</v>
      </c>
    </row>
    <row r="135" spans="1:32" x14ac:dyDescent="0.25">
      <c r="A135" s="12" t="s">
        <v>445</v>
      </c>
      <c r="B135" s="12">
        <v>309</v>
      </c>
      <c r="C135" s="47" t="s">
        <v>95</v>
      </c>
      <c r="D135" s="47">
        <v>247795</v>
      </c>
      <c r="E135" s="49" t="s">
        <v>56</v>
      </c>
      <c r="F135" s="12">
        <v>21</v>
      </c>
      <c r="G135" s="49" t="s">
        <v>69</v>
      </c>
      <c r="H135" s="12"/>
      <c r="I135" s="47"/>
      <c r="J135" t="s">
        <v>46</v>
      </c>
      <c r="K135" s="47"/>
      <c r="L135" s="47"/>
      <c r="M135" s="47"/>
      <c r="N135" s="12"/>
      <c r="O135" s="49"/>
      <c r="P135" s="47">
        <v>1</v>
      </c>
      <c r="Q135" s="49">
        <v>1</v>
      </c>
      <c r="R135" s="12">
        <v>1</v>
      </c>
      <c r="S135" s="49">
        <v>1</v>
      </c>
      <c r="T135" s="12"/>
      <c r="U135" s="49"/>
      <c r="V135" s="2"/>
      <c r="W135" s="2"/>
      <c r="X135" s="2">
        <v>45688</v>
      </c>
      <c r="Y135" s="2"/>
      <c r="Z135" s="2"/>
      <c r="AA135" s="47" t="s">
        <v>96</v>
      </c>
      <c r="AB135" s="2">
        <v>45657</v>
      </c>
      <c r="AC135" s="2"/>
      <c r="AD135" s="47">
        <f>IF(_tbl_odoo_datos2[[#This Row],[Finf2]]="",0,1)</f>
        <v>1</v>
      </c>
      <c r="AE135" s="47">
        <f>IF(_tbl_odoo_datos2[[#This Row],[FGer2]]="",0,1)</f>
        <v>0</v>
      </c>
      <c r="AF135" s="2">
        <f>IF(_tbl_odoo_datos2[[#This Row],[Finf2]]="",_tbl_odoo_datos2[[#This Row],[FGer2]],_tbl_odoo_datos2[[#This Row],[Finf2]])</f>
        <v>45657</v>
      </c>
    </row>
    <row r="136" spans="1:32" x14ac:dyDescent="0.25">
      <c r="A136" s="12" t="s">
        <v>445</v>
      </c>
      <c r="B136" s="12">
        <v>312</v>
      </c>
      <c r="C136" s="47" t="s">
        <v>97</v>
      </c>
      <c r="D136" s="47">
        <v>247807</v>
      </c>
      <c r="E136" s="49" t="s">
        <v>98</v>
      </c>
      <c r="F136" s="12">
        <v>28</v>
      </c>
      <c r="G136" s="49" t="s">
        <v>52</v>
      </c>
      <c r="H136" s="12"/>
      <c r="I136" s="47"/>
      <c r="J136" t="s">
        <v>46</v>
      </c>
      <c r="K136" s="47" t="b">
        <v>1</v>
      </c>
      <c r="L136" s="47"/>
      <c r="M136" s="47"/>
      <c r="N136" s="12"/>
      <c r="O136" s="49"/>
      <c r="P136" s="47">
        <v>2</v>
      </c>
      <c r="Q136" s="49">
        <v>2</v>
      </c>
      <c r="R136" s="12">
        <v>2</v>
      </c>
      <c r="S136" s="49">
        <v>2</v>
      </c>
      <c r="T136" s="12"/>
      <c r="U136" s="49"/>
      <c r="V136" s="2"/>
      <c r="W136" s="2"/>
      <c r="X136" s="2">
        <v>45688</v>
      </c>
      <c r="Y136" s="2"/>
      <c r="Z136" s="2"/>
      <c r="AA136" s="47" t="s">
        <v>99</v>
      </c>
      <c r="AB136" s="2">
        <v>45657</v>
      </c>
      <c r="AC136" s="2"/>
      <c r="AD136" s="47">
        <f>IF(_tbl_odoo_datos2[[#This Row],[Finf2]]="",0,1)</f>
        <v>1</v>
      </c>
      <c r="AE136" s="47">
        <f>IF(_tbl_odoo_datos2[[#This Row],[FGer2]]="",0,1)</f>
        <v>0</v>
      </c>
      <c r="AF136" s="2">
        <f>IF(_tbl_odoo_datos2[[#This Row],[Finf2]]="",_tbl_odoo_datos2[[#This Row],[FGer2]],_tbl_odoo_datos2[[#This Row],[Finf2]])</f>
        <v>45657</v>
      </c>
    </row>
    <row r="137" spans="1:32" x14ac:dyDescent="0.25">
      <c r="A137" s="12" t="s">
        <v>445</v>
      </c>
      <c r="B137" s="12">
        <v>313</v>
      </c>
      <c r="C137" s="47" t="s">
        <v>428</v>
      </c>
      <c r="D137" s="47"/>
      <c r="E137" s="49"/>
      <c r="F137" s="12">
        <v>28</v>
      </c>
      <c r="G137" s="49" t="s">
        <v>52</v>
      </c>
      <c r="H137" s="12">
        <v>3199</v>
      </c>
      <c r="I137" s="47" t="s">
        <v>104</v>
      </c>
      <c r="J137" t="s">
        <v>46</v>
      </c>
      <c r="K137" s="47"/>
      <c r="L137" s="47"/>
      <c r="M137" s="47"/>
      <c r="N137" s="12"/>
      <c r="O137" s="49"/>
      <c r="P137" s="47">
        <v>1</v>
      </c>
      <c r="Q137" s="49">
        <v>1</v>
      </c>
      <c r="R137" s="12">
        <v>1</v>
      </c>
      <c r="S137" s="49">
        <v>1</v>
      </c>
      <c r="T137" s="12"/>
      <c r="U137" s="49"/>
      <c r="V137" s="2"/>
      <c r="W137" s="2"/>
      <c r="X137" s="2">
        <v>45709</v>
      </c>
      <c r="Y137" s="2"/>
      <c r="Z137" s="2"/>
      <c r="AA137" s="47"/>
      <c r="AB137" s="2">
        <v>45688</v>
      </c>
      <c r="AC137" s="2"/>
      <c r="AD137" s="47">
        <f>IF(_tbl_odoo_datos2[[#This Row],[Finf2]]="",0,1)</f>
        <v>1</v>
      </c>
      <c r="AE137" s="47">
        <f>IF(_tbl_odoo_datos2[[#This Row],[FGer2]]="",0,1)</f>
        <v>0</v>
      </c>
      <c r="AF137" s="2">
        <f>IF(_tbl_odoo_datos2[[#This Row],[Finf2]]="",_tbl_odoo_datos2[[#This Row],[FGer2]],_tbl_odoo_datos2[[#This Row],[Finf2]])</f>
        <v>45688</v>
      </c>
    </row>
    <row r="138" spans="1:32" x14ac:dyDescent="0.25">
      <c r="A138" s="12" t="s">
        <v>445</v>
      </c>
      <c r="B138" s="12">
        <v>314</v>
      </c>
      <c r="C138" s="47" t="s">
        <v>100</v>
      </c>
      <c r="D138" s="47">
        <v>247857</v>
      </c>
      <c r="E138" s="49" t="s">
        <v>62</v>
      </c>
      <c r="F138" s="12">
        <v>28</v>
      </c>
      <c r="G138" s="49" t="s">
        <v>52</v>
      </c>
      <c r="H138" s="12"/>
      <c r="I138" s="47"/>
      <c r="J138" t="s">
        <v>46</v>
      </c>
      <c r="K138" s="47"/>
      <c r="L138" s="47"/>
      <c r="M138" s="47"/>
      <c r="N138" s="12"/>
      <c r="O138" s="49"/>
      <c r="P138" s="47">
        <v>2</v>
      </c>
      <c r="Q138" s="49">
        <v>2</v>
      </c>
      <c r="R138" s="12">
        <v>2</v>
      </c>
      <c r="S138" s="49">
        <v>2</v>
      </c>
      <c r="T138" s="12"/>
      <c r="U138" s="49"/>
      <c r="V138" s="2"/>
      <c r="W138" s="2"/>
      <c r="X138" s="2">
        <v>45702</v>
      </c>
      <c r="Y138" s="2"/>
      <c r="Z138" s="2"/>
      <c r="AA138" s="47" t="s">
        <v>101</v>
      </c>
      <c r="AB138" s="2">
        <v>45688</v>
      </c>
      <c r="AC138" s="2"/>
      <c r="AD138" s="47">
        <f>IF(_tbl_odoo_datos2[[#This Row],[Finf2]]="",0,1)</f>
        <v>1</v>
      </c>
      <c r="AE138" s="47">
        <f>IF(_tbl_odoo_datos2[[#This Row],[FGer2]]="",0,1)</f>
        <v>0</v>
      </c>
      <c r="AF138" s="2">
        <f>IF(_tbl_odoo_datos2[[#This Row],[Finf2]]="",_tbl_odoo_datos2[[#This Row],[FGer2]],_tbl_odoo_datos2[[#This Row],[Finf2]])</f>
        <v>45688</v>
      </c>
    </row>
    <row r="139" spans="1:32" x14ac:dyDescent="0.25">
      <c r="A139" s="12" t="s">
        <v>445</v>
      </c>
      <c r="B139" s="12">
        <v>315</v>
      </c>
      <c r="C139" s="47" t="s">
        <v>102</v>
      </c>
      <c r="D139" s="47">
        <v>247651</v>
      </c>
      <c r="E139" s="49" t="s">
        <v>103</v>
      </c>
      <c r="F139" s="12">
        <v>21</v>
      </c>
      <c r="G139" s="49" t="s">
        <v>69</v>
      </c>
      <c r="H139" s="12">
        <v>3199</v>
      </c>
      <c r="I139" s="47" t="s">
        <v>104</v>
      </c>
      <c r="J139" t="s">
        <v>46</v>
      </c>
      <c r="K139" s="47"/>
      <c r="L139" s="47"/>
      <c r="M139" s="47"/>
      <c r="N139" s="12"/>
      <c r="O139" s="49"/>
      <c r="P139" s="47">
        <v>1</v>
      </c>
      <c r="Q139" s="49">
        <v>1</v>
      </c>
      <c r="R139" s="12">
        <v>3</v>
      </c>
      <c r="S139" s="49">
        <v>3</v>
      </c>
      <c r="T139" s="12"/>
      <c r="U139" s="49"/>
      <c r="V139" s="2"/>
      <c r="W139" s="2"/>
      <c r="X139" s="2">
        <v>45716</v>
      </c>
      <c r="Y139" s="2"/>
      <c r="Z139" s="2"/>
      <c r="AA139" s="47" t="s">
        <v>105</v>
      </c>
      <c r="AB139" s="2">
        <v>45688</v>
      </c>
      <c r="AC139" s="2"/>
      <c r="AD139" s="47">
        <f>IF(_tbl_odoo_datos2[[#This Row],[Finf2]]="",0,1)</f>
        <v>1</v>
      </c>
      <c r="AE139" s="47">
        <f>IF(_tbl_odoo_datos2[[#This Row],[FGer2]]="",0,1)</f>
        <v>0</v>
      </c>
      <c r="AF139" s="2">
        <f>IF(_tbl_odoo_datos2[[#This Row],[Finf2]]="",_tbl_odoo_datos2[[#This Row],[FGer2]],_tbl_odoo_datos2[[#This Row],[Finf2]])</f>
        <v>45688</v>
      </c>
    </row>
    <row r="140" spans="1:32" x14ac:dyDescent="0.25">
      <c r="A140" s="12" t="s">
        <v>445</v>
      </c>
      <c r="B140" s="12">
        <v>316</v>
      </c>
      <c r="C140" s="47" t="s">
        <v>106</v>
      </c>
      <c r="D140" s="47">
        <v>247770</v>
      </c>
      <c r="E140" s="49" t="s">
        <v>107</v>
      </c>
      <c r="F140" s="12">
        <v>28</v>
      </c>
      <c r="G140" s="49" t="s">
        <v>52</v>
      </c>
      <c r="H140" s="12"/>
      <c r="I140" s="47"/>
      <c r="J140" t="s">
        <v>46</v>
      </c>
      <c r="K140" s="47"/>
      <c r="L140" s="47"/>
      <c r="M140" s="47"/>
      <c r="N140" s="12"/>
      <c r="O140" s="49"/>
      <c r="P140" s="47">
        <v>2</v>
      </c>
      <c r="Q140" s="49">
        <v>2</v>
      </c>
      <c r="R140" s="12">
        <v>2</v>
      </c>
      <c r="S140" s="49">
        <v>2</v>
      </c>
      <c r="T140" s="12"/>
      <c r="U140" s="49"/>
      <c r="V140" s="2"/>
      <c r="W140" s="2"/>
      <c r="X140" s="2">
        <v>45702</v>
      </c>
      <c r="Y140" s="2"/>
      <c r="Z140" s="2"/>
      <c r="AA140" s="47" t="s">
        <v>108</v>
      </c>
      <c r="AB140" s="2">
        <v>45688</v>
      </c>
      <c r="AC140" s="2"/>
      <c r="AD140" s="47">
        <f>IF(_tbl_odoo_datos2[[#This Row],[Finf2]]="",0,1)</f>
        <v>1</v>
      </c>
      <c r="AE140" s="47">
        <f>IF(_tbl_odoo_datos2[[#This Row],[FGer2]]="",0,1)</f>
        <v>0</v>
      </c>
      <c r="AF140" s="2">
        <f>IF(_tbl_odoo_datos2[[#This Row],[Finf2]]="",_tbl_odoo_datos2[[#This Row],[FGer2]],_tbl_odoo_datos2[[#This Row],[Finf2]])</f>
        <v>45688</v>
      </c>
    </row>
    <row r="141" spans="1:32" x14ac:dyDescent="0.25">
      <c r="A141" s="12" t="s">
        <v>445</v>
      </c>
      <c r="B141" s="12">
        <v>318</v>
      </c>
      <c r="C141" s="47" t="s">
        <v>109</v>
      </c>
      <c r="D141" s="47">
        <v>247068</v>
      </c>
      <c r="E141" s="49" t="s">
        <v>110</v>
      </c>
      <c r="F141" s="12">
        <v>28</v>
      </c>
      <c r="G141" s="49" t="s">
        <v>52</v>
      </c>
      <c r="H141" s="12"/>
      <c r="I141" s="47"/>
      <c r="J141" t="s">
        <v>46</v>
      </c>
      <c r="K141" s="47"/>
      <c r="L141" s="47"/>
      <c r="M141" s="47"/>
      <c r="N141" s="12"/>
      <c r="O141" s="49"/>
      <c r="P141" s="47">
        <v>2</v>
      </c>
      <c r="Q141" s="49">
        <v>2</v>
      </c>
      <c r="R141" s="12">
        <v>2</v>
      </c>
      <c r="S141" s="49">
        <v>2</v>
      </c>
      <c r="T141" s="12"/>
      <c r="U141" s="49"/>
      <c r="V141" s="2"/>
      <c r="W141" s="2"/>
      <c r="X141" s="2">
        <v>45712</v>
      </c>
      <c r="Y141" s="2"/>
      <c r="Z141" s="2"/>
      <c r="AA141" s="47" t="s">
        <v>111</v>
      </c>
      <c r="AB141" s="2">
        <v>45688</v>
      </c>
      <c r="AC141" s="2"/>
      <c r="AD141" s="47">
        <f>IF(_tbl_odoo_datos2[[#This Row],[Finf2]]="",0,1)</f>
        <v>1</v>
      </c>
      <c r="AE141" s="47">
        <f>IF(_tbl_odoo_datos2[[#This Row],[FGer2]]="",0,1)</f>
        <v>0</v>
      </c>
      <c r="AF141" s="2">
        <f>IF(_tbl_odoo_datos2[[#This Row],[Finf2]]="",_tbl_odoo_datos2[[#This Row],[FGer2]],_tbl_odoo_datos2[[#This Row],[Finf2]])</f>
        <v>45688</v>
      </c>
    </row>
    <row r="142" spans="1:32" x14ac:dyDescent="0.25">
      <c r="A142" s="12" t="s">
        <v>445</v>
      </c>
      <c r="B142" s="12">
        <v>320</v>
      </c>
      <c r="C142" s="47" t="s">
        <v>112</v>
      </c>
      <c r="D142" s="47">
        <v>247556</v>
      </c>
      <c r="E142" s="49" t="s">
        <v>59</v>
      </c>
      <c r="F142" s="12">
        <v>28</v>
      </c>
      <c r="G142" s="49" t="s">
        <v>52</v>
      </c>
      <c r="H142" s="12"/>
      <c r="I142" s="47"/>
      <c r="J142" t="s">
        <v>46</v>
      </c>
      <c r="K142" s="47"/>
      <c r="L142" s="47"/>
      <c r="M142" s="47"/>
      <c r="N142" s="12"/>
      <c r="O142" s="49"/>
      <c r="P142" s="47">
        <v>3</v>
      </c>
      <c r="Q142" s="49">
        <v>3</v>
      </c>
      <c r="R142" s="12">
        <v>3</v>
      </c>
      <c r="S142" s="49">
        <v>3</v>
      </c>
      <c r="T142" s="12"/>
      <c r="U142" s="49"/>
      <c r="V142" s="2"/>
      <c r="W142" s="2"/>
      <c r="X142" s="2">
        <v>45761</v>
      </c>
      <c r="Y142" s="2"/>
      <c r="Z142" s="2"/>
      <c r="AA142" s="47" t="s">
        <v>113</v>
      </c>
      <c r="AB142" s="2">
        <v>45747</v>
      </c>
      <c r="AC142" s="2"/>
      <c r="AD142" s="47">
        <f>IF(_tbl_odoo_datos2[[#This Row],[Finf2]]="",0,1)</f>
        <v>1</v>
      </c>
      <c r="AE142" s="47">
        <f>IF(_tbl_odoo_datos2[[#This Row],[FGer2]]="",0,1)</f>
        <v>0</v>
      </c>
      <c r="AF142" s="2">
        <f>IF(_tbl_odoo_datos2[[#This Row],[Finf2]]="",_tbl_odoo_datos2[[#This Row],[FGer2]],_tbl_odoo_datos2[[#This Row],[Finf2]])</f>
        <v>45747</v>
      </c>
    </row>
    <row r="143" spans="1:32" x14ac:dyDescent="0.25">
      <c r="A143" s="12" t="s">
        <v>445</v>
      </c>
      <c r="B143" s="12">
        <v>322</v>
      </c>
      <c r="C143" s="47" t="s">
        <v>114</v>
      </c>
      <c r="D143" s="47">
        <v>247857</v>
      </c>
      <c r="E143" s="49" t="s">
        <v>62</v>
      </c>
      <c r="F143" s="12">
        <v>28</v>
      </c>
      <c r="G143" s="49" t="s">
        <v>52</v>
      </c>
      <c r="H143" s="12"/>
      <c r="I143" s="47"/>
      <c r="J143" t="s">
        <v>46</v>
      </c>
      <c r="K143" s="47"/>
      <c r="L143" s="47"/>
      <c r="M143" s="47"/>
      <c r="N143" s="12"/>
      <c r="O143" s="49"/>
      <c r="P143" s="47">
        <v>3</v>
      </c>
      <c r="Q143" s="49">
        <v>3</v>
      </c>
      <c r="R143" s="12">
        <v>1</v>
      </c>
      <c r="S143" s="49">
        <v>1</v>
      </c>
      <c r="T143" s="12"/>
      <c r="U143" s="49"/>
      <c r="V143" s="2"/>
      <c r="W143" s="2"/>
      <c r="X143" s="2">
        <v>45761</v>
      </c>
      <c r="Y143" s="2"/>
      <c r="Z143" s="2"/>
      <c r="AA143" s="47" t="s">
        <v>115</v>
      </c>
      <c r="AB143" s="2">
        <v>45747</v>
      </c>
      <c r="AC143" s="2"/>
      <c r="AD143" s="47">
        <f>IF(_tbl_odoo_datos2[[#This Row],[Finf2]]="",0,1)</f>
        <v>1</v>
      </c>
      <c r="AE143" s="47">
        <f>IF(_tbl_odoo_datos2[[#This Row],[FGer2]]="",0,1)</f>
        <v>0</v>
      </c>
      <c r="AF143" s="2">
        <f>IF(_tbl_odoo_datos2[[#This Row],[Finf2]]="",_tbl_odoo_datos2[[#This Row],[FGer2]],_tbl_odoo_datos2[[#This Row],[Finf2]])</f>
        <v>45747</v>
      </c>
    </row>
    <row r="144" spans="1:32" x14ac:dyDescent="0.25">
      <c r="A144" s="12" t="s">
        <v>445</v>
      </c>
      <c r="B144" s="12">
        <v>323</v>
      </c>
      <c r="C144" s="47" t="s">
        <v>116</v>
      </c>
      <c r="D144" s="47">
        <v>247722</v>
      </c>
      <c r="E144" s="49" t="s">
        <v>117</v>
      </c>
      <c r="F144" s="12">
        <v>28</v>
      </c>
      <c r="G144" s="49" t="s">
        <v>52</v>
      </c>
      <c r="H144" s="12">
        <v>2767</v>
      </c>
      <c r="I144" s="47" t="s">
        <v>118</v>
      </c>
      <c r="J144" t="s">
        <v>46</v>
      </c>
      <c r="K144" s="47"/>
      <c r="L144" s="47"/>
      <c r="M144" s="47"/>
      <c r="N144" s="12"/>
      <c r="O144" s="49"/>
      <c r="P144" s="47">
        <v>1</v>
      </c>
      <c r="Q144" s="49">
        <v>1</v>
      </c>
      <c r="R144" s="12">
        <v>3</v>
      </c>
      <c r="S144" s="49">
        <v>3</v>
      </c>
      <c r="T144" s="12"/>
      <c r="U144" s="49"/>
      <c r="V144" s="2"/>
      <c r="W144" s="2"/>
      <c r="X144" s="2">
        <v>45744</v>
      </c>
      <c r="Y144" s="2"/>
      <c r="Z144" s="2"/>
      <c r="AA144" s="47" t="s">
        <v>119</v>
      </c>
      <c r="AB144" s="2">
        <v>45716</v>
      </c>
      <c r="AC144" s="2"/>
      <c r="AD144" s="47">
        <f>IF(_tbl_odoo_datos2[[#This Row],[Finf2]]="",0,1)</f>
        <v>1</v>
      </c>
      <c r="AE144" s="47">
        <f>IF(_tbl_odoo_datos2[[#This Row],[FGer2]]="",0,1)</f>
        <v>0</v>
      </c>
      <c r="AF144" s="2">
        <f>IF(_tbl_odoo_datos2[[#This Row],[Finf2]]="",_tbl_odoo_datos2[[#This Row],[FGer2]],_tbl_odoo_datos2[[#This Row],[Finf2]])</f>
        <v>45716</v>
      </c>
    </row>
    <row r="145" spans="1:32" x14ac:dyDescent="0.25">
      <c r="A145" s="12" t="s">
        <v>445</v>
      </c>
      <c r="B145" s="12">
        <v>324</v>
      </c>
      <c r="C145" s="47" t="s">
        <v>120</v>
      </c>
      <c r="D145" s="47">
        <v>247374</v>
      </c>
      <c r="E145" s="49" t="s">
        <v>121</v>
      </c>
      <c r="F145" s="12">
        <v>28</v>
      </c>
      <c r="G145" s="49" t="s">
        <v>52</v>
      </c>
      <c r="H145" s="12"/>
      <c r="I145" s="47"/>
      <c r="J145" t="s">
        <v>46</v>
      </c>
      <c r="K145" s="47"/>
      <c r="L145" s="47"/>
      <c r="M145" s="47"/>
      <c r="N145" s="12"/>
      <c r="O145" s="49"/>
      <c r="P145" s="47">
        <v>2</v>
      </c>
      <c r="Q145" s="49">
        <v>2</v>
      </c>
      <c r="R145" s="12">
        <v>2</v>
      </c>
      <c r="S145" s="49">
        <v>2</v>
      </c>
      <c r="T145" s="12"/>
      <c r="U145" s="49"/>
      <c r="V145" s="2"/>
      <c r="W145" s="2"/>
      <c r="X145" s="2">
        <v>45744</v>
      </c>
      <c r="Y145" s="2"/>
      <c r="Z145" s="2"/>
      <c r="AA145" s="47" t="s">
        <v>122</v>
      </c>
      <c r="AB145" s="2">
        <v>45716</v>
      </c>
      <c r="AC145" s="2"/>
      <c r="AD145" s="47">
        <f>IF(_tbl_odoo_datos2[[#This Row],[Finf2]]="",0,1)</f>
        <v>1</v>
      </c>
      <c r="AE145" s="47">
        <f>IF(_tbl_odoo_datos2[[#This Row],[FGer2]]="",0,1)</f>
        <v>0</v>
      </c>
      <c r="AF145" s="2">
        <f>IF(_tbl_odoo_datos2[[#This Row],[Finf2]]="",_tbl_odoo_datos2[[#This Row],[FGer2]],_tbl_odoo_datos2[[#This Row],[Finf2]])</f>
        <v>45716</v>
      </c>
    </row>
    <row r="146" spans="1:32" x14ac:dyDescent="0.25">
      <c r="A146" s="12" t="s">
        <v>445</v>
      </c>
      <c r="B146" s="12">
        <v>326</v>
      </c>
      <c r="C146" s="47" t="s">
        <v>123</v>
      </c>
      <c r="D146" s="47">
        <v>247828</v>
      </c>
      <c r="E146" s="49" t="s">
        <v>43</v>
      </c>
      <c r="F146" s="12">
        <v>28</v>
      </c>
      <c r="G146" s="49" t="s">
        <v>52</v>
      </c>
      <c r="H146" s="12"/>
      <c r="I146" s="47"/>
      <c r="J146" t="s">
        <v>46</v>
      </c>
      <c r="K146" s="47"/>
      <c r="L146" s="47"/>
      <c r="M146" s="47"/>
      <c r="N146" s="12"/>
      <c r="O146" s="49"/>
      <c r="P146" s="47">
        <v>2</v>
      </c>
      <c r="Q146" s="49">
        <v>2</v>
      </c>
      <c r="R146" s="12">
        <v>2</v>
      </c>
      <c r="S146" s="49">
        <v>2</v>
      </c>
      <c r="T146" s="12"/>
      <c r="U146" s="49"/>
      <c r="V146" s="2"/>
      <c r="W146" s="2"/>
      <c r="X146" s="2">
        <v>45744</v>
      </c>
      <c r="Y146" s="2"/>
      <c r="Z146" s="2"/>
      <c r="AA146" s="47" t="s">
        <v>124</v>
      </c>
      <c r="AB146" s="2">
        <v>45716</v>
      </c>
      <c r="AC146" s="2"/>
      <c r="AD146" s="47">
        <f>IF(_tbl_odoo_datos2[[#This Row],[Finf2]]="",0,1)</f>
        <v>1</v>
      </c>
      <c r="AE146" s="47">
        <f>IF(_tbl_odoo_datos2[[#This Row],[FGer2]]="",0,1)</f>
        <v>0</v>
      </c>
      <c r="AF146" s="2">
        <f>IF(_tbl_odoo_datos2[[#This Row],[Finf2]]="",_tbl_odoo_datos2[[#This Row],[FGer2]],_tbl_odoo_datos2[[#This Row],[Finf2]])</f>
        <v>45716</v>
      </c>
    </row>
    <row r="147" spans="1:32" x14ac:dyDescent="0.25">
      <c r="A147" s="12" t="s">
        <v>445</v>
      </c>
      <c r="B147" s="12">
        <v>331</v>
      </c>
      <c r="C147" s="47" t="s">
        <v>125</v>
      </c>
      <c r="D147" s="47">
        <v>289092</v>
      </c>
      <c r="E147" s="49" t="s">
        <v>126</v>
      </c>
      <c r="F147" s="12">
        <v>21</v>
      </c>
      <c r="G147" s="49" t="s">
        <v>69</v>
      </c>
      <c r="H147" s="12">
        <v>3203</v>
      </c>
      <c r="I147" s="47" t="s">
        <v>127</v>
      </c>
      <c r="J147" t="s">
        <v>46</v>
      </c>
      <c r="K147" s="47" t="b">
        <v>1</v>
      </c>
      <c r="L147" s="47"/>
      <c r="M147" s="47"/>
      <c r="N147" s="12"/>
      <c r="O147" s="49"/>
      <c r="P147" s="47">
        <v>1</v>
      </c>
      <c r="Q147" s="49">
        <v>1</v>
      </c>
      <c r="R147" s="12">
        <v>1</v>
      </c>
      <c r="S147" s="49">
        <v>1</v>
      </c>
      <c r="T147" s="12"/>
      <c r="U147" s="49"/>
      <c r="V147" s="2"/>
      <c r="W147" s="2"/>
      <c r="X147" s="2">
        <v>45688</v>
      </c>
      <c r="Y147" s="2"/>
      <c r="Z147" s="2"/>
      <c r="AA147" s="47" t="s">
        <v>128</v>
      </c>
      <c r="AB147" s="2">
        <v>45657</v>
      </c>
      <c r="AC147" s="2"/>
      <c r="AD147" s="47">
        <f>IF(_tbl_odoo_datos2[[#This Row],[Finf2]]="",0,1)</f>
        <v>1</v>
      </c>
      <c r="AE147" s="47">
        <f>IF(_tbl_odoo_datos2[[#This Row],[FGer2]]="",0,1)</f>
        <v>0</v>
      </c>
      <c r="AF147" s="2">
        <f>IF(_tbl_odoo_datos2[[#This Row],[Finf2]]="",_tbl_odoo_datos2[[#This Row],[FGer2]],_tbl_odoo_datos2[[#This Row],[Finf2]])</f>
        <v>45657</v>
      </c>
    </row>
    <row r="148" spans="1:32" x14ac:dyDescent="0.25">
      <c r="A148" s="12" t="s">
        <v>445</v>
      </c>
      <c r="B148" s="12">
        <v>337</v>
      </c>
      <c r="C148" s="47" t="s">
        <v>129</v>
      </c>
      <c r="D148" s="47">
        <v>289092</v>
      </c>
      <c r="E148" s="49" t="s">
        <v>126</v>
      </c>
      <c r="F148" s="12">
        <v>21</v>
      </c>
      <c r="G148" s="49" t="s">
        <v>69</v>
      </c>
      <c r="H148" s="12">
        <v>3203</v>
      </c>
      <c r="I148" s="47" t="s">
        <v>127</v>
      </c>
      <c r="J148" t="s">
        <v>46</v>
      </c>
      <c r="K148" s="47" t="b">
        <v>1</v>
      </c>
      <c r="L148" s="47"/>
      <c r="M148" s="47"/>
      <c r="N148" s="12"/>
      <c r="O148" s="49"/>
      <c r="P148" s="47">
        <v>1</v>
      </c>
      <c r="Q148" s="49">
        <v>1</v>
      </c>
      <c r="R148" s="12">
        <v>1</v>
      </c>
      <c r="S148" s="49">
        <v>1</v>
      </c>
      <c r="T148" s="12"/>
      <c r="U148" s="49"/>
      <c r="V148" s="2"/>
      <c r="W148" s="2"/>
      <c r="X148" s="2">
        <v>45681</v>
      </c>
      <c r="Y148" s="2"/>
      <c r="Z148" s="2"/>
      <c r="AA148" s="47" t="s">
        <v>130</v>
      </c>
      <c r="AB148" s="2">
        <v>45657</v>
      </c>
      <c r="AC148" s="2"/>
      <c r="AD148" s="47">
        <f>IF(_tbl_odoo_datos2[[#This Row],[Finf2]]="",0,1)</f>
        <v>1</v>
      </c>
      <c r="AE148" s="47">
        <f>IF(_tbl_odoo_datos2[[#This Row],[FGer2]]="",0,1)</f>
        <v>0</v>
      </c>
      <c r="AF148" s="2">
        <f>IF(_tbl_odoo_datos2[[#This Row],[Finf2]]="",_tbl_odoo_datos2[[#This Row],[FGer2]],_tbl_odoo_datos2[[#This Row],[Finf2]])</f>
        <v>45657</v>
      </c>
    </row>
    <row r="149" spans="1:32" x14ac:dyDescent="0.25">
      <c r="A149" s="12" t="s">
        <v>445</v>
      </c>
      <c r="B149" s="12">
        <v>341</v>
      </c>
      <c r="C149" s="47" t="s">
        <v>131</v>
      </c>
      <c r="D149" s="47">
        <v>247904</v>
      </c>
      <c r="E149" s="49" t="s">
        <v>132</v>
      </c>
      <c r="F149" s="12">
        <v>28</v>
      </c>
      <c r="G149" s="49" t="s">
        <v>52</v>
      </c>
      <c r="H149" s="12">
        <v>312</v>
      </c>
      <c r="I149" s="47" t="s">
        <v>133</v>
      </c>
      <c r="J149" t="s">
        <v>46</v>
      </c>
      <c r="K149" s="47"/>
      <c r="L149" s="47"/>
      <c r="M149" s="47"/>
      <c r="N149" s="12"/>
      <c r="O149" s="49"/>
      <c r="P149" s="47">
        <v>1</v>
      </c>
      <c r="Q149" s="49">
        <v>1</v>
      </c>
      <c r="R149" s="12">
        <v>1</v>
      </c>
      <c r="S149" s="49">
        <v>1</v>
      </c>
      <c r="T149" s="12"/>
      <c r="U149" s="49"/>
      <c r="V149" s="2"/>
      <c r="W149" s="2"/>
      <c r="X149" s="2">
        <v>45869</v>
      </c>
      <c r="Y149" s="2"/>
      <c r="Z149" s="2"/>
      <c r="AA149" s="47" t="s">
        <v>134</v>
      </c>
      <c r="AB149" s="2">
        <v>45838</v>
      </c>
      <c r="AC149" s="2"/>
      <c r="AD149" s="47">
        <f>IF(_tbl_odoo_datos2[[#This Row],[Finf2]]="",0,1)</f>
        <v>1</v>
      </c>
      <c r="AE149" s="47">
        <f>IF(_tbl_odoo_datos2[[#This Row],[FGer2]]="",0,1)</f>
        <v>0</v>
      </c>
      <c r="AF149" s="2">
        <f>IF(_tbl_odoo_datos2[[#This Row],[Finf2]]="",_tbl_odoo_datos2[[#This Row],[FGer2]],_tbl_odoo_datos2[[#This Row],[Finf2]])</f>
        <v>45838</v>
      </c>
    </row>
    <row r="150" spans="1:32" x14ac:dyDescent="0.25">
      <c r="A150" s="12" t="s">
        <v>445</v>
      </c>
      <c r="B150" s="12">
        <v>343</v>
      </c>
      <c r="C150" s="47" t="s">
        <v>135</v>
      </c>
      <c r="D150" s="47">
        <v>247885</v>
      </c>
      <c r="E150" s="49" t="s">
        <v>65</v>
      </c>
      <c r="F150" s="12">
        <v>28</v>
      </c>
      <c r="G150" s="49" t="s">
        <v>52</v>
      </c>
      <c r="H150" s="12">
        <v>312</v>
      </c>
      <c r="I150" s="47" t="s">
        <v>133</v>
      </c>
      <c r="J150" t="s">
        <v>46</v>
      </c>
      <c r="K150" s="47"/>
      <c r="L150" s="47"/>
      <c r="M150" s="47"/>
      <c r="N150" s="12"/>
      <c r="O150" s="49"/>
      <c r="P150" s="47">
        <v>1</v>
      </c>
      <c r="Q150" s="49">
        <v>1</v>
      </c>
      <c r="R150" s="12">
        <v>1</v>
      </c>
      <c r="S150" s="49">
        <v>1</v>
      </c>
      <c r="T150" s="12"/>
      <c r="U150" s="49"/>
      <c r="V150" s="2"/>
      <c r="W150" s="2"/>
      <c r="X150" s="2">
        <v>45760</v>
      </c>
      <c r="Y150" s="2"/>
      <c r="Z150" s="2"/>
      <c r="AA150" s="47" t="s">
        <v>136</v>
      </c>
      <c r="AB150" s="2">
        <v>45747</v>
      </c>
      <c r="AC150" s="2"/>
      <c r="AD150" s="47">
        <f>IF(_tbl_odoo_datos2[[#This Row],[Finf2]]="",0,1)</f>
        <v>1</v>
      </c>
      <c r="AE150" s="47">
        <f>IF(_tbl_odoo_datos2[[#This Row],[FGer2]]="",0,1)</f>
        <v>0</v>
      </c>
      <c r="AF150" s="2">
        <f>IF(_tbl_odoo_datos2[[#This Row],[Finf2]]="",_tbl_odoo_datos2[[#This Row],[FGer2]],_tbl_odoo_datos2[[#This Row],[Finf2]])</f>
        <v>45747</v>
      </c>
    </row>
    <row r="151" spans="1:32" x14ac:dyDescent="0.25">
      <c r="A151" s="12" t="s">
        <v>445</v>
      </c>
      <c r="B151" s="12">
        <v>345</v>
      </c>
      <c r="C151" s="47" t="s">
        <v>137</v>
      </c>
      <c r="D151" s="47">
        <v>247885</v>
      </c>
      <c r="E151" s="49" t="s">
        <v>65</v>
      </c>
      <c r="F151" s="12">
        <v>28</v>
      </c>
      <c r="G151" s="49" t="s">
        <v>52</v>
      </c>
      <c r="H151" s="12">
        <v>312</v>
      </c>
      <c r="I151" s="47" t="s">
        <v>133</v>
      </c>
      <c r="J151" t="s">
        <v>46</v>
      </c>
      <c r="K151" s="47"/>
      <c r="L151" s="47"/>
      <c r="M151" s="47"/>
      <c r="N151" s="12"/>
      <c r="O151" s="49"/>
      <c r="P151" s="47">
        <v>1</v>
      </c>
      <c r="Q151" s="49">
        <v>1</v>
      </c>
      <c r="R151" s="12">
        <v>1</v>
      </c>
      <c r="S151" s="49">
        <v>1</v>
      </c>
      <c r="T151" s="12"/>
      <c r="U151" s="49"/>
      <c r="V151" s="2"/>
      <c r="W151" s="2"/>
      <c r="X151" s="2">
        <v>45760</v>
      </c>
      <c r="Y151" s="2"/>
      <c r="Z151" s="2"/>
      <c r="AA151" s="47" t="s">
        <v>138</v>
      </c>
      <c r="AB151" s="2">
        <v>45747</v>
      </c>
      <c r="AC151" s="2"/>
      <c r="AD151" s="47">
        <f>IF(_tbl_odoo_datos2[[#This Row],[Finf2]]="",0,1)</f>
        <v>1</v>
      </c>
      <c r="AE151" s="47">
        <f>IF(_tbl_odoo_datos2[[#This Row],[FGer2]]="",0,1)</f>
        <v>0</v>
      </c>
      <c r="AF151" s="2">
        <f>IF(_tbl_odoo_datos2[[#This Row],[Finf2]]="",_tbl_odoo_datos2[[#This Row],[FGer2]],_tbl_odoo_datos2[[#This Row],[Finf2]])</f>
        <v>45747</v>
      </c>
    </row>
    <row r="152" spans="1:32" x14ac:dyDescent="0.25">
      <c r="A152" s="12" t="s">
        <v>445</v>
      </c>
      <c r="B152" s="12">
        <v>346</v>
      </c>
      <c r="C152" s="47" t="s">
        <v>139</v>
      </c>
      <c r="D152" s="47">
        <v>247828</v>
      </c>
      <c r="E152" s="49" t="s">
        <v>43</v>
      </c>
      <c r="F152" s="12">
        <v>21</v>
      </c>
      <c r="G152" s="49" t="s">
        <v>69</v>
      </c>
      <c r="H152" s="12">
        <v>3234</v>
      </c>
      <c r="I152" s="47" t="s">
        <v>140</v>
      </c>
      <c r="J152" t="s">
        <v>46</v>
      </c>
      <c r="K152" s="47"/>
      <c r="L152" s="47"/>
      <c r="M152" s="47"/>
      <c r="N152" s="12"/>
      <c r="O152" s="49"/>
      <c r="P152" s="47">
        <v>1</v>
      </c>
      <c r="Q152" s="49">
        <v>1</v>
      </c>
      <c r="R152" s="12">
        <v>1</v>
      </c>
      <c r="S152" s="49">
        <v>1</v>
      </c>
      <c r="T152" s="12"/>
      <c r="U152" s="49"/>
      <c r="V152" s="2"/>
      <c r="W152" s="2"/>
      <c r="X152" s="2">
        <v>45688</v>
      </c>
      <c r="Y152" s="2"/>
      <c r="Z152" s="2"/>
      <c r="AA152" s="47" t="s">
        <v>141</v>
      </c>
      <c r="AB152" s="2">
        <v>45657</v>
      </c>
      <c r="AC152" s="2"/>
      <c r="AD152" s="47">
        <f>IF(_tbl_odoo_datos2[[#This Row],[Finf2]]="",0,1)</f>
        <v>1</v>
      </c>
      <c r="AE152" s="47">
        <f>IF(_tbl_odoo_datos2[[#This Row],[FGer2]]="",0,1)</f>
        <v>0</v>
      </c>
      <c r="AF152" s="2">
        <f>IF(_tbl_odoo_datos2[[#This Row],[Finf2]]="",_tbl_odoo_datos2[[#This Row],[FGer2]],_tbl_odoo_datos2[[#This Row],[Finf2]])</f>
        <v>45657</v>
      </c>
    </row>
    <row r="153" spans="1:32" x14ac:dyDescent="0.25">
      <c r="A153" s="12" t="s">
        <v>445</v>
      </c>
      <c r="B153" s="12">
        <v>347</v>
      </c>
      <c r="C153" s="47" t="s">
        <v>142</v>
      </c>
      <c r="D153" s="47">
        <v>247857</v>
      </c>
      <c r="E153" s="49" t="s">
        <v>62</v>
      </c>
      <c r="F153" s="12">
        <v>28</v>
      </c>
      <c r="G153" s="49" t="s">
        <v>52</v>
      </c>
      <c r="H153" s="12">
        <v>3234</v>
      </c>
      <c r="I153" s="47" t="s">
        <v>140</v>
      </c>
      <c r="J153" t="s">
        <v>46</v>
      </c>
      <c r="K153" s="47"/>
      <c r="L153" s="47"/>
      <c r="M153" s="47"/>
      <c r="N153" s="12"/>
      <c r="O153" s="49"/>
      <c r="P153" s="47">
        <v>3</v>
      </c>
      <c r="Q153" s="49">
        <v>3</v>
      </c>
      <c r="R153" s="12">
        <v>1</v>
      </c>
      <c r="S153" s="49">
        <v>1</v>
      </c>
      <c r="T153" s="12"/>
      <c r="U153" s="49"/>
      <c r="V153" s="2"/>
      <c r="W153" s="2"/>
      <c r="X153" s="2">
        <v>45716</v>
      </c>
      <c r="Y153" s="2"/>
      <c r="Z153" s="2"/>
      <c r="AA153" s="47" t="s">
        <v>143</v>
      </c>
      <c r="AB153" s="2">
        <v>45688</v>
      </c>
      <c r="AC153" s="2"/>
      <c r="AD153" s="47">
        <f>IF(_tbl_odoo_datos2[[#This Row],[Finf2]]="",0,1)</f>
        <v>1</v>
      </c>
      <c r="AE153" s="47">
        <f>IF(_tbl_odoo_datos2[[#This Row],[FGer2]]="",0,1)</f>
        <v>0</v>
      </c>
      <c r="AF153" s="2">
        <f>IF(_tbl_odoo_datos2[[#This Row],[Finf2]]="",_tbl_odoo_datos2[[#This Row],[FGer2]],_tbl_odoo_datos2[[#This Row],[Finf2]])</f>
        <v>45688</v>
      </c>
    </row>
    <row r="154" spans="1:32" x14ac:dyDescent="0.25">
      <c r="A154" s="12" t="s">
        <v>445</v>
      </c>
      <c r="B154" s="12">
        <v>348</v>
      </c>
      <c r="C154" s="47" t="s">
        <v>144</v>
      </c>
      <c r="D154" s="47">
        <v>247722</v>
      </c>
      <c r="E154" s="49" t="s">
        <v>117</v>
      </c>
      <c r="F154" s="12">
        <v>21</v>
      </c>
      <c r="G154" s="49" t="s">
        <v>69</v>
      </c>
      <c r="H154" s="12">
        <v>3234</v>
      </c>
      <c r="I154" s="47" t="s">
        <v>140</v>
      </c>
      <c r="J154" t="s">
        <v>46</v>
      </c>
      <c r="K154" s="47"/>
      <c r="L154" s="47"/>
      <c r="M154" s="47"/>
      <c r="N154" s="12"/>
      <c r="O154" s="49"/>
      <c r="P154" s="47">
        <v>1</v>
      </c>
      <c r="Q154" s="49">
        <v>1</v>
      </c>
      <c r="R154" s="12">
        <v>1</v>
      </c>
      <c r="S154" s="49">
        <v>1</v>
      </c>
      <c r="T154" s="12"/>
      <c r="U154" s="49"/>
      <c r="V154" s="2"/>
      <c r="W154" s="2"/>
      <c r="X154" s="2">
        <v>45688</v>
      </c>
      <c r="Y154" s="2"/>
      <c r="Z154" s="2"/>
      <c r="AA154" s="47" t="s">
        <v>145</v>
      </c>
      <c r="AB154" s="2">
        <v>45657</v>
      </c>
      <c r="AC154" s="2"/>
      <c r="AD154" s="47">
        <f>IF(_tbl_odoo_datos2[[#This Row],[Finf2]]="",0,1)</f>
        <v>1</v>
      </c>
      <c r="AE154" s="47">
        <f>IF(_tbl_odoo_datos2[[#This Row],[FGer2]]="",0,1)</f>
        <v>0</v>
      </c>
      <c r="AF154" s="2">
        <f>IF(_tbl_odoo_datos2[[#This Row],[Finf2]]="",_tbl_odoo_datos2[[#This Row],[FGer2]],_tbl_odoo_datos2[[#This Row],[Finf2]])</f>
        <v>45657</v>
      </c>
    </row>
    <row r="155" spans="1:32" x14ac:dyDescent="0.25">
      <c r="A155" s="12" t="s">
        <v>445</v>
      </c>
      <c r="B155" s="12">
        <v>349</v>
      </c>
      <c r="C155" s="47" t="s">
        <v>146</v>
      </c>
      <c r="D155" s="47">
        <v>247828</v>
      </c>
      <c r="E155" s="49" t="s">
        <v>43</v>
      </c>
      <c r="F155" s="12">
        <v>28</v>
      </c>
      <c r="G155" s="49" t="s">
        <v>52</v>
      </c>
      <c r="H155" s="12">
        <v>3234</v>
      </c>
      <c r="I155" s="47" t="s">
        <v>140</v>
      </c>
      <c r="J155" t="s">
        <v>46</v>
      </c>
      <c r="K155" s="47"/>
      <c r="L155" s="47"/>
      <c r="M155" s="47"/>
      <c r="N155" s="12"/>
      <c r="O155" s="49"/>
      <c r="P155" s="47">
        <v>3</v>
      </c>
      <c r="Q155" s="49">
        <v>3</v>
      </c>
      <c r="R155" s="12">
        <v>3</v>
      </c>
      <c r="S155" s="49">
        <v>3</v>
      </c>
      <c r="T155" s="12"/>
      <c r="U155" s="49"/>
      <c r="V155" s="2"/>
      <c r="W155" s="2"/>
      <c r="X155" s="2">
        <v>45726</v>
      </c>
      <c r="Y155" s="2"/>
      <c r="Z155" s="2"/>
      <c r="AA155" s="47" t="s">
        <v>147</v>
      </c>
      <c r="AB155" s="2">
        <v>45716</v>
      </c>
      <c r="AC155" s="2"/>
      <c r="AD155" s="47">
        <f>IF(_tbl_odoo_datos2[[#This Row],[Finf2]]="",0,1)</f>
        <v>1</v>
      </c>
      <c r="AE155" s="47">
        <f>IF(_tbl_odoo_datos2[[#This Row],[FGer2]]="",0,1)</f>
        <v>0</v>
      </c>
      <c r="AF155" s="2">
        <f>IF(_tbl_odoo_datos2[[#This Row],[Finf2]]="",_tbl_odoo_datos2[[#This Row],[FGer2]],_tbl_odoo_datos2[[#This Row],[Finf2]])</f>
        <v>45716</v>
      </c>
    </row>
    <row r="156" spans="1:32" x14ac:dyDescent="0.25">
      <c r="A156" s="12" t="s">
        <v>445</v>
      </c>
      <c r="B156" s="12">
        <v>350</v>
      </c>
      <c r="C156" s="47" t="s">
        <v>148</v>
      </c>
      <c r="D156" s="47">
        <v>247857</v>
      </c>
      <c r="E156" s="49" t="s">
        <v>62</v>
      </c>
      <c r="F156" s="12">
        <v>28</v>
      </c>
      <c r="G156" s="49" t="s">
        <v>52</v>
      </c>
      <c r="H156" s="12">
        <v>3234</v>
      </c>
      <c r="I156" s="47" t="s">
        <v>140</v>
      </c>
      <c r="J156" t="s">
        <v>46</v>
      </c>
      <c r="K156" s="47"/>
      <c r="L156" s="47"/>
      <c r="M156" s="47"/>
      <c r="N156" s="12"/>
      <c r="O156" s="49"/>
      <c r="P156" s="47">
        <v>1</v>
      </c>
      <c r="Q156" s="49">
        <v>1</v>
      </c>
      <c r="R156" s="12">
        <v>1</v>
      </c>
      <c r="S156" s="49">
        <v>1</v>
      </c>
      <c r="T156" s="12"/>
      <c r="U156" s="49"/>
      <c r="V156" s="2"/>
      <c r="W156" s="2"/>
      <c r="X156" s="2">
        <v>45702</v>
      </c>
      <c r="Y156" s="2"/>
      <c r="Z156" s="2"/>
      <c r="AA156" s="47" t="s">
        <v>149</v>
      </c>
      <c r="AB156" s="2">
        <v>45688</v>
      </c>
      <c r="AC156" s="2"/>
      <c r="AD156" s="47">
        <f>IF(_tbl_odoo_datos2[[#This Row],[Finf2]]="",0,1)</f>
        <v>1</v>
      </c>
      <c r="AE156" s="47">
        <f>IF(_tbl_odoo_datos2[[#This Row],[FGer2]]="",0,1)</f>
        <v>0</v>
      </c>
      <c r="AF156" s="2">
        <f>IF(_tbl_odoo_datos2[[#This Row],[Finf2]]="",_tbl_odoo_datos2[[#This Row],[FGer2]],_tbl_odoo_datos2[[#This Row],[Finf2]])</f>
        <v>45688</v>
      </c>
    </row>
    <row r="157" spans="1:32" x14ac:dyDescent="0.25">
      <c r="A157" s="12" t="s">
        <v>445</v>
      </c>
      <c r="B157" s="12">
        <v>351</v>
      </c>
      <c r="C157" s="47" t="s">
        <v>150</v>
      </c>
      <c r="D157" s="47">
        <v>247828</v>
      </c>
      <c r="E157" s="49" t="s">
        <v>43</v>
      </c>
      <c r="F157" s="12">
        <v>28</v>
      </c>
      <c r="G157" s="49" t="s">
        <v>52</v>
      </c>
      <c r="H157" s="12">
        <v>3234</v>
      </c>
      <c r="I157" s="47" t="s">
        <v>140</v>
      </c>
      <c r="J157" t="s">
        <v>46</v>
      </c>
      <c r="K157" s="47"/>
      <c r="L157" s="47"/>
      <c r="M157" s="47"/>
      <c r="N157" s="12"/>
      <c r="O157" s="49"/>
      <c r="P157" s="47">
        <v>3</v>
      </c>
      <c r="Q157" s="49">
        <v>3</v>
      </c>
      <c r="R157" s="12">
        <v>1</v>
      </c>
      <c r="S157" s="49">
        <v>1</v>
      </c>
      <c r="T157" s="12"/>
      <c r="U157" s="49"/>
      <c r="V157" s="2"/>
      <c r="W157" s="2"/>
      <c r="X157" s="2">
        <v>45716</v>
      </c>
      <c r="Y157" s="2"/>
      <c r="Z157" s="2"/>
      <c r="AA157" s="47" t="s">
        <v>151</v>
      </c>
      <c r="AB157" s="2">
        <v>45688</v>
      </c>
      <c r="AC157" s="2"/>
      <c r="AD157" s="47">
        <f>IF(_tbl_odoo_datos2[[#This Row],[Finf2]]="",0,1)</f>
        <v>1</v>
      </c>
      <c r="AE157" s="47">
        <f>IF(_tbl_odoo_datos2[[#This Row],[FGer2]]="",0,1)</f>
        <v>0</v>
      </c>
      <c r="AF157" s="2">
        <f>IF(_tbl_odoo_datos2[[#This Row],[Finf2]]="",_tbl_odoo_datos2[[#This Row],[FGer2]],_tbl_odoo_datos2[[#This Row],[Finf2]])</f>
        <v>45688</v>
      </c>
    </row>
    <row r="158" spans="1:32" x14ac:dyDescent="0.25">
      <c r="A158" s="12" t="s">
        <v>445</v>
      </c>
      <c r="B158" s="12">
        <v>367</v>
      </c>
      <c r="C158" s="47" t="s">
        <v>152</v>
      </c>
      <c r="D158" s="47">
        <v>247605</v>
      </c>
      <c r="E158" s="49" t="s">
        <v>153</v>
      </c>
      <c r="F158" s="12">
        <v>29</v>
      </c>
      <c r="G158" s="49" t="s">
        <v>154</v>
      </c>
      <c r="H158" s="12"/>
      <c r="I158" s="47"/>
      <c r="J158" t="s">
        <v>46</v>
      </c>
      <c r="K158" s="47"/>
      <c r="L158" s="47"/>
      <c r="M158" s="47"/>
      <c r="N158" s="12"/>
      <c r="O158" s="49"/>
      <c r="P158" s="47">
        <v>2</v>
      </c>
      <c r="Q158" s="49">
        <v>2</v>
      </c>
      <c r="R158" s="12">
        <v>2</v>
      </c>
      <c r="S158" s="49">
        <v>2</v>
      </c>
      <c r="T158" s="12"/>
      <c r="U158" s="49"/>
      <c r="V158" s="2"/>
      <c r="W158" s="2"/>
      <c r="X158" s="2">
        <v>45716</v>
      </c>
      <c r="Y158" s="2"/>
      <c r="Z158" s="2"/>
      <c r="AA158" s="47" t="s">
        <v>155</v>
      </c>
      <c r="AB158" s="2">
        <v>45688</v>
      </c>
      <c r="AC158" s="2"/>
      <c r="AD158" s="47">
        <f>IF(_tbl_odoo_datos2[[#This Row],[Finf2]]="",0,1)</f>
        <v>1</v>
      </c>
      <c r="AE158" s="47">
        <f>IF(_tbl_odoo_datos2[[#This Row],[FGer2]]="",0,1)</f>
        <v>0</v>
      </c>
      <c r="AF158" s="2">
        <f>IF(_tbl_odoo_datos2[[#This Row],[Finf2]]="",_tbl_odoo_datos2[[#This Row],[FGer2]],_tbl_odoo_datos2[[#This Row],[Finf2]])</f>
        <v>45688</v>
      </c>
    </row>
    <row r="159" spans="1:32" x14ac:dyDescent="0.25">
      <c r="A159" s="12" t="s">
        <v>445</v>
      </c>
      <c r="B159" s="12">
        <v>368</v>
      </c>
      <c r="C159" s="47" t="s">
        <v>156</v>
      </c>
      <c r="D159" s="47">
        <v>247888</v>
      </c>
      <c r="E159" s="49" t="s">
        <v>157</v>
      </c>
      <c r="F159" s="12">
        <v>22</v>
      </c>
      <c r="G159" s="49" t="s">
        <v>77</v>
      </c>
      <c r="H159" s="12">
        <v>3233</v>
      </c>
      <c r="I159" s="47" t="s">
        <v>45</v>
      </c>
      <c r="J159" t="s">
        <v>46</v>
      </c>
      <c r="K159" s="47"/>
      <c r="L159" s="47"/>
      <c r="M159" s="47"/>
      <c r="N159" s="12"/>
      <c r="O159" s="49"/>
      <c r="P159" s="47">
        <v>1</v>
      </c>
      <c r="Q159" s="49">
        <v>1</v>
      </c>
      <c r="R159" s="12">
        <v>1</v>
      </c>
      <c r="S159" s="49">
        <v>1</v>
      </c>
      <c r="T159" s="12"/>
      <c r="U159" s="49"/>
      <c r="V159" s="2"/>
      <c r="W159" s="2"/>
      <c r="X159" s="2">
        <v>45695</v>
      </c>
      <c r="Y159" s="2"/>
      <c r="Z159" s="2"/>
      <c r="AA159" s="47" t="s">
        <v>158</v>
      </c>
      <c r="AB159" s="2">
        <v>45688</v>
      </c>
      <c r="AC159" s="2"/>
      <c r="AD159" s="47">
        <f>IF(_tbl_odoo_datos2[[#This Row],[Finf2]]="",0,1)</f>
        <v>1</v>
      </c>
      <c r="AE159" s="47">
        <f>IF(_tbl_odoo_datos2[[#This Row],[FGer2]]="",0,1)</f>
        <v>0</v>
      </c>
      <c r="AF159" s="2">
        <f>IF(_tbl_odoo_datos2[[#This Row],[Finf2]]="",_tbl_odoo_datos2[[#This Row],[FGer2]],_tbl_odoo_datos2[[#This Row],[Finf2]])</f>
        <v>45688</v>
      </c>
    </row>
    <row r="160" spans="1:32" x14ac:dyDescent="0.25">
      <c r="A160" s="12" t="s">
        <v>445</v>
      </c>
      <c r="B160" s="12">
        <v>372</v>
      </c>
      <c r="C160" s="47" t="s">
        <v>429</v>
      </c>
      <c r="D160" s="47">
        <v>289036</v>
      </c>
      <c r="E160" s="49" t="s">
        <v>262</v>
      </c>
      <c r="F160" s="12">
        <v>29</v>
      </c>
      <c r="G160" s="49" t="s">
        <v>154</v>
      </c>
      <c r="H160" s="12">
        <v>195</v>
      </c>
      <c r="I160" s="47" t="s">
        <v>78</v>
      </c>
      <c r="J160" t="s">
        <v>46</v>
      </c>
      <c r="K160" s="47" t="b">
        <v>1</v>
      </c>
      <c r="L160" s="47"/>
      <c r="M160" s="47"/>
      <c r="N160" s="12"/>
      <c r="O160" s="49"/>
      <c r="P160" s="47"/>
      <c r="Q160" s="49"/>
      <c r="R160" s="12">
        <v>1</v>
      </c>
      <c r="S160" s="49">
        <v>1</v>
      </c>
      <c r="T160" s="12"/>
      <c r="U160" s="49"/>
      <c r="V160" s="2"/>
      <c r="W160" s="2"/>
      <c r="X160" s="2">
        <v>45675</v>
      </c>
      <c r="Y160" s="2"/>
      <c r="Z160" s="2"/>
      <c r="AA160" s="47"/>
      <c r="AB160" s="2">
        <v>45657</v>
      </c>
      <c r="AC160" s="2"/>
      <c r="AD160" s="47">
        <f>IF(_tbl_odoo_datos2[[#This Row],[Finf2]]="",0,1)</f>
        <v>1</v>
      </c>
      <c r="AE160" s="47">
        <f>IF(_tbl_odoo_datos2[[#This Row],[FGer2]]="",0,1)</f>
        <v>0</v>
      </c>
      <c r="AF160" s="2">
        <f>IF(_tbl_odoo_datos2[[#This Row],[Finf2]]="",_tbl_odoo_datos2[[#This Row],[FGer2]],_tbl_odoo_datos2[[#This Row],[Finf2]])</f>
        <v>45657</v>
      </c>
    </row>
    <row r="161" spans="1:32" x14ac:dyDescent="0.25">
      <c r="A161" s="12" t="s">
        <v>445</v>
      </c>
      <c r="B161" s="12">
        <v>0</v>
      </c>
      <c r="C161" s="47" t="s">
        <v>159</v>
      </c>
      <c r="D161" s="47"/>
      <c r="E161" s="49"/>
      <c r="F161" s="12">
        <v>29</v>
      </c>
      <c r="G161" s="49" t="s">
        <v>154</v>
      </c>
      <c r="H161" s="12">
        <v>252</v>
      </c>
      <c r="I161" s="47" t="s">
        <v>160</v>
      </c>
      <c r="J161" t="s">
        <v>46</v>
      </c>
      <c r="K161" s="47"/>
      <c r="L161" s="47">
        <v>1</v>
      </c>
      <c r="M161" s="47" t="s">
        <v>161</v>
      </c>
      <c r="N161" s="12"/>
      <c r="O161" s="49"/>
      <c r="P161" s="47"/>
      <c r="Q161" s="49"/>
      <c r="R161" s="12"/>
      <c r="S161" s="49"/>
      <c r="T161" s="12"/>
      <c r="U161" s="49"/>
      <c r="V161" s="2"/>
      <c r="W161" s="2"/>
      <c r="X161" s="2"/>
      <c r="Y161" s="2"/>
      <c r="Z161" s="2"/>
      <c r="AA161" s="47"/>
      <c r="AB161" s="2"/>
      <c r="AC161" s="2"/>
      <c r="AD161" s="47">
        <f>IF(_tbl_odoo_datos2[[#This Row],[Finf2]]="",0,1)</f>
        <v>0</v>
      </c>
      <c r="AE161" s="47">
        <f>IF(_tbl_odoo_datos2[[#This Row],[FGer2]]="",0,1)</f>
        <v>0</v>
      </c>
      <c r="AF161" s="2">
        <f>IF(_tbl_odoo_datos2[[#This Row],[Finf2]]="",_tbl_odoo_datos2[[#This Row],[FGer2]],_tbl_odoo_datos2[[#This Row],[Finf2]])</f>
        <v>0</v>
      </c>
    </row>
    <row r="162" spans="1:32" x14ac:dyDescent="0.25">
      <c r="A162" s="12" t="s">
        <v>445</v>
      </c>
      <c r="B162" s="12">
        <v>0</v>
      </c>
      <c r="C162" s="47" t="s">
        <v>162</v>
      </c>
      <c r="D162" s="47">
        <v>247047</v>
      </c>
      <c r="E162" s="49" t="s">
        <v>163</v>
      </c>
      <c r="F162" s="12">
        <v>29</v>
      </c>
      <c r="G162" s="49" t="s">
        <v>154</v>
      </c>
      <c r="H162" s="12">
        <v>312</v>
      </c>
      <c r="I162" s="47" t="s">
        <v>133</v>
      </c>
      <c r="J162" t="s">
        <v>46</v>
      </c>
      <c r="K162" s="47" t="b">
        <v>1</v>
      </c>
      <c r="L162" s="47"/>
      <c r="M162" s="47"/>
      <c r="N162" s="12"/>
      <c r="O162" s="49"/>
      <c r="P162" s="47"/>
      <c r="Q162" s="49"/>
      <c r="R162" s="12"/>
      <c r="S162" s="49"/>
      <c r="T162" s="12"/>
      <c r="U162" s="49"/>
      <c r="V162" s="2"/>
      <c r="W162" s="2"/>
      <c r="X162" s="2"/>
      <c r="Y162" s="2"/>
      <c r="Z162" s="2"/>
      <c r="AA162" s="47"/>
      <c r="AB162" s="2"/>
      <c r="AC162" s="2"/>
      <c r="AD162" s="47">
        <f>IF(_tbl_odoo_datos2[[#This Row],[Finf2]]="",0,1)</f>
        <v>0</v>
      </c>
      <c r="AE162" s="47">
        <f>IF(_tbl_odoo_datos2[[#This Row],[FGer2]]="",0,1)</f>
        <v>0</v>
      </c>
      <c r="AF162" s="2">
        <f>IF(_tbl_odoo_datos2[[#This Row],[Finf2]]="",_tbl_odoo_datos2[[#This Row],[FGer2]],_tbl_odoo_datos2[[#This Row],[Finf2]])</f>
        <v>0</v>
      </c>
    </row>
    <row r="163" spans="1:32" x14ac:dyDescent="0.25">
      <c r="A163" s="12" t="s">
        <v>445</v>
      </c>
      <c r="B163" s="12">
        <v>296</v>
      </c>
      <c r="C163" s="47" t="s">
        <v>164</v>
      </c>
      <c r="D163" s="47"/>
      <c r="E163" s="49"/>
      <c r="F163" s="12">
        <v>29</v>
      </c>
      <c r="G163" s="49" t="s">
        <v>154</v>
      </c>
      <c r="H163" s="12">
        <v>3202</v>
      </c>
      <c r="I163" s="47" t="s">
        <v>165</v>
      </c>
      <c r="J163" t="s">
        <v>46</v>
      </c>
      <c r="K163" s="47"/>
      <c r="L163" s="47"/>
      <c r="M163" s="47"/>
      <c r="N163" s="12"/>
      <c r="O163" s="49"/>
      <c r="P163" s="47">
        <v>3</v>
      </c>
      <c r="Q163" s="49">
        <v>3</v>
      </c>
      <c r="R163" s="12">
        <v>1</v>
      </c>
      <c r="S163" s="49">
        <v>1</v>
      </c>
      <c r="T163" s="12"/>
      <c r="U163" s="49"/>
      <c r="V163" s="2">
        <v>45658</v>
      </c>
      <c r="W163" s="2">
        <v>1</v>
      </c>
      <c r="X163" s="2">
        <v>45730</v>
      </c>
      <c r="Y163" s="2"/>
      <c r="Z163" s="2"/>
      <c r="AA163" s="47"/>
      <c r="AB163" s="2">
        <v>45716</v>
      </c>
      <c r="AC163" s="2"/>
      <c r="AD163" s="47">
        <f>IF(_tbl_odoo_datos2[[#This Row],[Finf2]]="",0,1)</f>
        <v>1</v>
      </c>
      <c r="AE163" s="47">
        <f>IF(_tbl_odoo_datos2[[#This Row],[FGer2]]="",0,1)</f>
        <v>0</v>
      </c>
      <c r="AF163" s="2">
        <f>IF(_tbl_odoo_datos2[[#This Row],[Finf2]]="",_tbl_odoo_datos2[[#This Row],[FGer2]],_tbl_odoo_datos2[[#This Row],[Finf2]])</f>
        <v>45716</v>
      </c>
    </row>
    <row r="164" spans="1:32" x14ac:dyDescent="0.25">
      <c r="A164" s="12" t="s">
        <v>445</v>
      </c>
      <c r="B164" s="12">
        <v>362</v>
      </c>
      <c r="C164" s="47" t="s">
        <v>166</v>
      </c>
      <c r="D164" s="47">
        <v>247002</v>
      </c>
      <c r="E164" s="49" t="s">
        <v>167</v>
      </c>
      <c r="F164" s="12">
        <v>21</v>
      </c>
      <c r="G164" s="49" t="s">
        <v>69</v>
      </c>
      <c r="H164" s="12">
        <v>3202</v>
      </c>
      <c r="I164" s="47" t="s">
        <v>165</v>
      </c>
      <c r="J164" t="s">
        <v>46</v>
      </c>
      <c r="K164" s="47" t="b">
        <v>1</v>
      </c>
      <c r="L164" s="47"/>
      <c r="M164" s="47"/>
      <c r="N164" s="12"/>
      <c r="O164" s="49"/>
      <c r="P164" s="47">
        <v>1</v>
      </c>
      <c r="Q164" s="49">
        <v>1</v>
      </c>
      <c r="R164" s="12">
        <v>2</v>
      </c>
      <c r="S164" s="49">
        <v>2</v>
      </c>
      <c r="T164" s="12"/>
      <c r="U164" s="49"/>
      <c r="V164" s="2">
        <v>45677</v>
      </c>
      <c r="W164" s="2">
        <v>1</v>
      </c>
      <c r="X164" s="2">
        <v>45681</v>
      </c>
      <c r="Y164" s="2"/>
      <c r="Z164" s="2">
        <v>45717</v>
      </c>
      <c r="AA164" s="47"/>
      <c r="AB164" s="2">
        <v>45657</v>
      </c>
      <c r="AC164" s="2"/>
      <c r="AD164" s="47">
        <f>IF(_tbl_odoo_datos2[[#This Row],[Finf2]]="",0,1)</f>
        <v>1</v>
      </c>
      <c r="AE164" s="47">
        <f>IF(_tbl_odoo_datos2[[#This Row],[FGer2]]="",0,1)</f>
        <v>0</v>
      </c>
      <c r="AF164" s="2">
        <f>IF(_tbl_odoo_datos2[[#This Row],[Finf2]]="",_tbl_odoo_datos2[[#This Row],[FGer2]],_tbl_odoo_datos2[[#This Row],[Finf2]])</f>
        <v>45657</v>
      </c>
    </row>
    <row r="165" spans="1:32" x14ac:dyDescent="0.25">
      <c r="A165" s="12" t="s">
        <v>445</v>
      </c>
      <c r="B165" s="12">
        <v>298</v>
      </c>
      <c r="C165" s="47" t="s">
        <v>168</v>
      </c>
      <c r="D165" s="47">
        <v>247002</v>
      </c>
      <c r="E165" s="49" t="s">
        <v>167</v>
      </c>
      <c r="F165" s="12">
        <v>22</v>
      </c>
      <c r="G165" s="49" t="s">
        <v>77</v>
      </c>
      <c r="H165" s="12">
        <v>3202</v>
      </c>
      <c r="I165" s="47" t="s">
        <v>165</v>
      </c>
      <c r="J165" t="s">
        <v>46</v>
      </c>
      <c r="K165" s="47"/>
      <c r="L165" s="47"/>
      <c r="M165" s="47"/>
      <c r="N165" s="12"/>
      <c r="O165" s="49"/>
      <c r="P165" s="47">
        <v>1</v>
      </c>
      <c r="Q165" s="49">
        <v>1</v>
      </c>
      <c r="R165" s="12">
        <v>1</v>
      </c>
      <c r="S165" s="49">
        <v>1</v>
      </c>
      <c r="T165" s="12"/>
      <c r="U165" s="49"/>
      <c r="V165" s="2">
        <v>45658</v>
      </c>
      <c r="W165" s="2">
        <v>1</v>
      </c>
      <c r="X165" s="2">
        <v>45691</v>
      </c>
      <c r="Y165" s="2"/>
      <c r="Z165" s="2"/>
      <c r="AA165" s="47"/>
      <c r="AB165" s="2">
        <v>45688</v>
      </c>
      <c r="AC165" s="2"/>
      <c r="AD165" s="47">
        <f>IF(_tbl_odoo_datos2[[#This Row],[Finf2]]="",0,1)</f>
        <v>1</v>
      </c>
      <c r="AE165" s="47">
        <f>IF(_tbl_odoo_datos2[[#This Row],[FGer2]]="",0,1)</f>
        <v>0</v>
      </c>
      <c r="AF165" s="2">
        <f>IF(_tbl_odoo_datos2[[#This Row],[Finf2]]="",_tbl_odoo_datos2[[#This Row],[FGer2]],_tbl_odoo_datos2[[#This Row],[Finf2]])</f>
        <v>45688</v>
      </c>
    </row>
    <row r="166" spans="1:32" x14ac:dyDescent="0.25">
      <c r="A166" s="12" t="s">
        <v>445</v>
      </c>
      <c r="B166" s="12">
        <v>0</v>
      </c>
      <c r="C166" s="47" t="s">
        <v>169</v>
      </c>
      <c r="D166" s="47">
        <v>247857</v>
      </c>
      <c r="E166" s="49" t="s">
        <v>62</v>
      </c>
      <c r="F166" s="12">
        <v>29</v>
      </c>
      <c r="G166" s="49" t="s">
        <v>154</v>
      </c>
      <c r="H166" s="12">
        <v>252</v>
      </c>
      <c r="I166" s="47" t="s">
        <v>160</v>
      </c>
      <c r="J166" t="s">
        <v>46</v>
      </c>
      <c r="K166" s="47" t="b">
        <v>1</v>
      </c>
      <c r="L166" s="47">
        <v>3</v>
      </c>
      <c r="M166" s="47" t="s">
        <v>170</v>
      </c>
      <c r="N166" s="12">
        <v>2</v>
      </c>
      <c r="O166" s="49" t="s">
        <v>171</v>
      </c>
      <c r="P166" s="47">
        <v>2</v>
      </c>
      <c r="Q166" s="49">
        <v>2</v>
      </c>
      <c r="R166" s="12">
        <v>2</v>
      </c>
      <c r="S166" s="49">
        <v>2</v>
      </c>
      <c r="T166" s="12">
        <v>1</v>
      </c>
      <c r="U166" s="49" t="s">
        <v>172</v>
      </c>
      <c r="V166" s="2">
        <v>45699</v>
      </c>
      <c r="W166" s="2">
        <v>45705</v>
      </c>
      <c r="X166" s="2"/>
      <c r="Y166" s="2"/>
      <c r="Z166" s="2"/>
      <c r="AA166" s="47"/>
      <c r="AB166" s="2"/>
      <c r="AC166" s="2"/>
      <c r="AD166" s="47">
        <f>IF(_tbl_odoo_datos2[[#This Row],[Finf2]]="",0,1)</f>
        <v>0</v>
      </c>
      <c r="AE166" s="47">
        <f>IF(_tbl_odoo_datos2[[#This Row],[FGer2]]="",0,1)</f>
        <v>0</v>
      </c>
      <c r="AF166" s="2">
        <f>IF(_tbl_odoo_datos2[[#This Row],[Finf2]]="",_tbl_odoo_datos2[[#This Row],[FGer2]],_tbl_odoo_datos2[[#This Row],[Finf2]])</f>
        <v>0</v>
      </c>
    </row>
    <row r="167" spans="1:32" x14ac:dyDescent="0.25">
      <c r="A167" s="12" t="s">
        <v>445</v>
      </c>
      <c r="B167" s="12">
        <v>301</v>
      </c>
      <c r="C167" s="47" t="s">
        <v>173</v>
      </c>
      <c r="D167" s="47"/>
      <c r="E167" s="49"/>
      <c r="F167" s="12">
        <v>29</v>
      </c>
      <c r="G167" s="49" t="s">
        <v>154</v>
      </c>
      <c r="H167" s="12">
        <v>3202</v>
      </c>
      <c r="I167" s="47" t="s">
        <v>165</v>
      </c>
      <c r="J167" t="s">
        <v>46</v>
      </c>
      <c r="K167" s="47"/>
      <c r="L167" s="47"/>
      <c r="M167" s="47"/>
      <c r="N167" s="12"/>
      <c r="O167" s="49"/>
      <c r="P167" s="47">
        <v>3</v>
      </c>
      <c r="Q167" s="49">
        <v>3</v>
      </c>
      <c r="R167" s="12">
        <v>3</v>
      </c>
      <c r="S167" s="49">
        <v>3</v>
      </c>
      <c r="T167" s="12"/>
      <c r="U167" s="49"/>
      <c r="V167" s="2">
        <v>45658</v>
      </c>
      <c r="W167" s="2">
        <v>1</v>
      </c>
      <c r="X167" s="2">
        <v>45744</v>
      </c>
      <c r="Y167" s="2"/>
      <c r="Z167" s="2"/>
      <c r="AA167" s="47"/>
      <c r="AB167" s="2">
        <v>45716</v>
      </c>
      <c r="AC167" s="2"/>
      <c r="AD167" s="47">
        <f>IF(_tbl_odoo_datos2[[#This Row],[Finf2]]="",0,1)</f>
        <v>1</v>
      </c>
      <c r="AE167" s="47">
        <f>IF(_tbl_odoo_datos2[[#This Row],[FGer2]]="",0,1)</f>
        <v>0</v>
      </c>
      <c r="AF167" s="2">
        <f>IF(_tbl_odoo_datos2[[#This Row],[Finf2]]="",_tbl_odoo_datos2[[#This Row],[FGer2]],_tbl_odoo_datos2[[#This Row],[Finf2]])</f>
        <v>45716</v>
      </c>
    </row>
    <row r="168" spans="1:32" x14ac:dyDescent="0.25">
      <c r="A168" s="12" t="s">
        <v>445</v>
      </c>
      <c r="B168" s="12">
        <v>0</v>
      </c>
      <c r="C168" s="47" t="s">
        <v>174</v>
      </c>
      <c r="D168" s="47">
        <v>289006</v>
      </c>
      <c r="E168" s="49" t="s">
        <v>76</v>
      </c>
      <c r="F168" s="12">
        <v>30</v>
      </c>
      <c r="G168" s="49" t="s">
        <v>44</v>
      </c>
      <c r="H168" s="12">
        <v>3202</v>
      </c>
      <c r="I168" s="47" t="s">
        <v>165</v>
      </c>
      <c r="J168" t="s">
        <v>46</v>
      </c>
      <c r="K168" s="47" t="b">
        <v>1</v>
      </c>
      <c r="L168" s="47">
        <v>4</v>
      </c>
      <c r="M168" s="47" t="s">
        <v>175</v>
      </c>
      <c r="N168" s="12">
        <v>1</v>
      </c>
      <c r="O168" s="49" t="s">
        <v>176</v>
      </c>
      <c r="P168" s="47">
        <v>2</v>
      </c>
      <c r="Q168" s="49">
        <v>2</v>
      </c>
      <c r="R168" s="12">
        <v>2</v>
      </c>
      <c r="S168" s="49">
        <v>2</v>
      </c>
      <c r="T168" s="12">
        <v>1</v>
      </c>
      <c r="U168" s="49" t="s">
        <v>172</v>
      </c>
      <c r="V168" s="2">
        <v>45694</v>
      </c>
      <c r="W168" s="2">
        <v>45701</v>
      </c>
      <c r="X168" s="2">
        <v>45716</v>
      </c>
      <c r="Y168" s="2"/>
      <c r="Z168" s="2"/>
      <c r="AA168" s="47"/>
      <c r="AB168" s="2">
        <v>45688</v>
      </c>
      <c r="AC168" s="2"/>
      <c r="AD168" s="47">
        <f>IF(_tbl_odoo_datos2[[#This Row],[Finf2]]="",0,1)</f>
        <v>1</v>
      </c>
      <c r="AE168" s="47">
        <f>IF(_tbl_odoo_datos2[[#This Row],[FGer2]]="",0,1)</f>
        <v>0</v>
      </c>
      <c r="AF168" s="2">
        <f>IF(_tbl_odoo_datos2[[#This Row],[Finf2]]="",_tbl_odoo_datos2[[#This Row],[FGer2]],_tbl_odoo_datos2[[#This Row],[Finf2]])</f>
        <v>45688</v>
      </c>
    </row>
    <row r="169" spans="1:32" x14ac:dyDescent="0.25">
      <c r="A169" s="12" t="s">
        <v>445</v>
      </c>
      <c r="B169" s="12">
        <v>310</v>
      </c>
      <c r="C169" s="47" t="s">
        <v>177</v>
      </c>
      <c r="D169" s="47"/>
      <c r="E169" s="49"/>
      <c r="F169" s="12">
        <v>27</v>
      </c>
      <c r="G169" s="49" t="s">
        <v>178</v>
      </c>
      <c r="H169" s="12">
        <v>3200</v>
      </c>
      <c r="I169" s="47" t="s">
        <v>179</v>
      </c>
      <c r="J169" t="s">
        <v>46</v>
      </c>
      <c r="K169" s="47"/>
      <c r="L169" s="47"/>
      <c r="M169" s="47"/>
      <c r="N169" s="12"/>
      <c r="O169" s="49"/>
      <c r="P169" s="47">
        <v>1</v>
      </c>
      <c r="Q169" s="49">
        <v>1</v>
      </c>
      <c r="R169" s="12">
        <v>2</v>
      </c>
      <c r="S169" s="49">
        <v>2</v>
      </c>
      <c r="T169" s="12"/>
      <c r="U169" s="49"/>
      <c r="V169" s="2">
        <v>45658</v>
      </c>
      <c r="W169" s="2">
        <v>1</v>
      </c>
      <c r="X169" s="2">
        <v>45712</v>
      </c>
      <c r="Y169" s="2"/>
      <c r="Z169" s="2"/>
      <c r="AA169" s="47" t="s">
        <v>180</v>
      </c>
      <c r="AB169" s="2">
        <v>45688</v>
      </c>
      <c r="AC169" s="2"/>
      <c r="AD169" s="47">
        <f>IF(_tbl_odoo_datos2[[#This Row],[Finf2]]="",0,1)</f>
        <v>1</v>
      </c>
      <c r="AE169" s="47">
        <f>IF(_tbl_odoo_datos2[[#This Row],[FGer2]]="",0,1)</f>
        <v>0</v>
      </c>
      <c r="AF169" s="2">
        <f>IF(_tbl_odoo_datos2[[#This Row],[Finf2]]="",_tbl_odoo_datos2[[#This Row],[FGer2]],_tbl_odoo_datos2[[#This Row],[Finf2]])</f>
        <v>45688</v>
      </c>
    </row>
    <row r="170" spans="1:32" x14ac:dyDescent="0.25">
      <c r="A170" s="12" t="s">
        <v>445</v>
      </c>
      <c r="B170" s="12">
        <v>0</v>
      </c>
      <c r="C170" s="47" t="s">
        <v>181</v>
      </c>
      <c r="D170" s="47">
        <v>247791</v>
      </c>
      <c r="E170" s="49" t="s">
        <v>182</v>
      </c>
      <c r="F170" s="12">
        <v>29</v>
      </c>
      <c r="G170" s="49" t="s">
        <v>154</v>
      </c>
      <c r="H170" s="12">
        <v>3201</v>
      </c>
      <c r="I170" s="47" t="s">
        <v>183</v>
      </c>
      <c r="J170" t="s">
        <v>46</v>
      </c>
      <c r="K170" s="47"/>
      <c r="L170" s="47">
        <v>2</v>
      </c>
      <c r="M170" s="47" t="s">
        <v>184</v>
      </c>
      <c r="N170" s="12">
        <v>2</v>
      </c>
      <c r="O170" s="49" t="s">
        <v>171</v>
      </c>
      <c r="P170" s="47">
        <v>2</v>
      </c>
      <c r="Q170" s="49">
        <v>2</v>
      </c>
      <c r="R170" s="12">
        <v>2</v>
      </c>
      <c r="S170" s="49">
        <v>2</v>
      </c>
      <c r="T170" s="12">
        <v>2</v>
      </c>
      <c r="U170" s="49" t="s">
        <v>185</v>
      </c>
      <c r="V170" s="2">
        <v>45689</v>
      </c>
      <c r="W170" s="2"/>
      <c r="X170" s="2"/>
      <c r="Y170" s="2"/>
      <c r="Z170" s="2"/>
      <c r="AA170" s="47"/>
      <c r="AB170" s="2"/>
      <c r="AC170" s="2"/>
      <c r="AD170" s="47">
        <f>IF(_tbl_odoo_datos2[[#This Row],[Finf2]]="",0,1)</f>
        <v>0</v>
      </c>
      <c r="AE170" s="47">
        <f>IF(_tbl_odoo_datos2[[#This Row],[FGer2]]="",0,1)</f>
        <v>0</v>
      </c>
      <c r="AF170" s="2">
        <f>IF(_tbl_odoo_datos2[[#This Row],[Finf2]]="",_tbl_odoo_datos2[[#This Row],[FGer2]],_tbl_odoo_datos2[[#This Row],[Finf2]])</f>
        <v>0</v>
      </c>
    </row>
    <row r="171" spans="1:32" x14ac:dyDescent="0.25">
      <c r="A171" s="12" t="s">
        <v>445</v>
      </c>
      <c r="B171" s="12">
        <v>304</v>
      </c>
      <c r="C171" s="47" t="s">
        <v>186</v>
      </c>
      <c r="D171" s="47">
        <v>247795</v>
      </c>
      <c r="E171" s="49" t="s">
        <v>56</v>
      </c>
      <c r="F171" s="12">
        <v>21</v>
      </c>
      <c r="G171" s="49" t="s">
        <v>69</v>
      </c>
      <c r="H171" s="12">
        <v>3202</v>
      </c>
      <c r="I171" s="47" t="s">
        <v>165</v>
      </c>
      <c r="J171" t="s">
        <v>46</v>
      </c>
      <c r="K171" s="47"/>
      <c r="L171" s="47"/>
      <c r="M171" s="47"/>
      <c r="N171" s="12"/>
      <c r="O171" s="49"/>
      <c r="P171" s="47">
        <v>1</v>
      </c>
      <c r="Q171" s="49">
        <v>1</v>
      </c>
      <c r="R171" s="12">
        <v>3</v>
      </c>
      <c r="S171" s="49">
        <v>3</v>
      </c>
      <c r="T171" s="12"/>
      <c r="U171" s="49"/>
      <c r="V171" s="2">
        <v>45658</v>
      </c>
      <c r="W171" s="2">
        <v>1</v>
      </c>
      <c r="X171" s="2">
        <v>45702</v>
      </c>
      <c r="Y171" s="2"/>
      <c r="Z171" s="2">
        <v>45692</v>
      </c>
      <c r="AA171" s="47"/>
      <c r="AB171" s="2">
        <v>45688</v>
      </c>
      <c r="AC171" s="2"/>
      <c r="AD171" s="47">
        <f>IF(_tbl_odoo_datos2[[#This Row],[Finf2]]="",0,1)</f>
        <v>1</v>
      </c>
      <c r="AE171" s="47">
        <f>IF(_tbl_odoo_datos2[[#This Row],[FGer2]]="",0,1)</f>
        <v>0</v>
      </c>
      <c r="AF171" s="2">
        <f>IF(_tbl_odoo_datos2[[#This Row],[Finf2]]="",_tbl_odoo_datos2[[#This Row],[FGer2]],_tbl_odoo_datos2[[#This Row],[Finf2]])</f>
        <v>45688</v>
      </c>
    </row>
    <row r="172" spans="1:32" x14ac:dyDescent="0.25">
      <c r="A172" s="12" t="s">
        <v>445</v>
      </c>
      <c r="B172" s="12">
        <v>363</v>
      </c>
      <c r="C172" s="47" t="s">
        <v>187</v>
      </c>
      <c r="D172" s="47">
        <v>247651</v>
      </c>
      <c r="E172" s="49" t="s">
        <v>103</v>
      </c>
      <c r="F172" s="12">
        <v>28</v>
      </c>
      <c r="G172" s="49" t="s">
        <v>52</v>
      </c>
      <c r="H172" s="12">
        <v>3199</v>
      </c>
      <c r="I172" s="47" t="s">
        <v>104</v>
      </c>
      <c r="J172" t="s">
        <v>46</v>
      </c>
      <c r="K172" s="47"/>
      <c r="L172" s="47"/>
      <c r="M172" s="47"/>
      <c r="N172" s="12"/>
      <c r="O172" s="49"/>
      <c r="P172" s="47">
        <v>2</v>
      </c>
      <c r="Q172" s="49">
        <v>2</v>
      </c>
      <c r="R172" s="12">
        <v>2</v>
      </c>
      <c r="S172" s="49">
        <v>2</v>
      </c>
      <c r="T172" s="12"/>
      <c r="U172" s="49"/>
      <c r="V172" s="2">
        <v>45679</v>
      </c>
      <c r="W172" s="2">
        <v>1</v>
      </c>
      <c r="X172" s="2">
        <v>45693</v>
      </c>
      <c r="Y172" s="2"/>
      <c r="Z172" s="2"/>
      <c r="AA172" s="47" t="s">
        <v>188</v>
      </c>
      <c r="AB172" s="2">
        <v>45688</v>
      </c>
      <c r="AC172" s="2"/>
      <c r="AD172" s="47">
        <f>IF(_tbl_odoo_datos2[[#This Row],[Finf2]]="",0,1)</f>
        <v>1</v>
      </c>
      <c r="AE172" s="47">
        <f>IF(_tbl_odoo_datos2[[#This Row],[FGer2]]="",0,1)</f>
        <v>0</v>
      </c>
      <c r="AF172" s="2">
        <f>IF(_tbl_odoo_datos2[[#This Row],[Finf2]]="",_tbl_odoo_datos2[[#This Row],[FGer2]],_tbl_odoo_datos2[[#This Row],[Finf2]])</f>
        <v>45688</v>
      </c>
    </row>
    <row r="173" spans="1:32" x14ac:dyDescent="0.25">
      <c r="A173" s="12" t="s">
        <v>445</v>
      </c>
      <c r="B173" s="12">
        <v>321</v>
      </c>
      <c r="C173" s="47" t="s">
        <v>189</v>
      </c>
      <c r="D173" s="47"/>
      <c r="E173" s="49"/>
      <c r="F173" s="12">
        <v>22</v>
      </c>
      <c r="G173" s="49" t="s">
        <v>77</v>
      </c>
      <c r="H173" s="12">
        <v>2767</v>
      </c>
      <c r="I173" s="47" t="s">
        <v>118</v>
      </c>
      <c r="J173" t="s">
        <v>46</v>
      </c>
      <c r="K173" s="47"/>
      <c r="L173" s="47"/>
      <c r="M173" s="47"/>
      <c r="N173" s="12"/>
      <c r="O173" s="49"/>
      <c r="P173" s="47">
        <v>1</v>
      </c>
      <c r="Q173" s="49">
        <v>1</v>
      </c>
      <c r="R173" s="12">
        <v>1</v>
      </c>
      <c r="S173" s="49">
        <v>1</v>
      </c>
      <c r="T173" s="12"/>
      <c r="U173" s="49"/>
      <c r="V173" s="2">
        <v>45658</v>
      </c>
      <c r="W173" s="2">
        <v>1</v>
      </c>
      <c r="X173" s="2">
        <v>45688</v>
      </c>
      <c r="Y173" s="2"/>
      <c r="Z173" s="2"/>
      <c r="AA173" s="47" t="s">
        <v>190</v>
      </c>
      <c r="AB173" s="2">
        <v>45657</v>
      </c>
      <c r="AC173" s="2"/>
      <c r="AD173" s="47">
        <f>IF(_tbl_odoo_datos2[[#This Row],[Finf2]]="",0,1)</f>
        <v>1</v>
      </c>
      <c r="AE173" s="47">
        <f>IF(_tbl_odoo_datos2[[#This Row],[FGer2]]="",0,1)</f>
        <v>0</v>
      </c>
      <c r="AF173" s="2">
        <f>IF(_tbl_odoo_datos2[[#This Row],[Finf2]]="",_tbl_odoo_datos2[[#This Row],[FGer2]],_tbl_odoo_datos2[[#This Row],[Finf2]])</f>
        <v>45657</v>
      </c>
    </row>
    <row r="174" spans="1:32" x14ac:dyDescent="0.25">
      <c r="A174" s="12" t="s">
        <v>445</v>
      </c>
      <c r="B174" s="12">
        <v>329</v>
      </c>
      <c r="C174" s="47" t="s">
        <v>191</v>
      </c>
      <c r="D174" s="47"/>
      <c r="E174" s="49"/>
      <c r="F174" s="12">
        <v>29</v>
      </c>
      <c r="G174" s="49" t="s">
        <v>154</v>
      </c>
      <c r="H174" s="12">
        <v>3201</v>
      </c>
      <c r="I174" s="47" t="s">
        <v>183</v>
      </c>
      <c r="J174" t="s">
        <v>46</v>
      </c>
      <c r="K174" s="47"/>
      <c r="L174" s="47"/>
      <c r="M174" s="47"/>
      <c r="N174" s="12"/>
      <c r="O174" s="49"/>
      <c r="P174" s="47">
        <v>2</v>
      </c>
      <c r="Q174" s="49">
        <v>2</v>
      </c>
      <c r="R174" s="12">
        <v>2</v>
      </c>
      <c r="S174" s="49">
        <v>2</v>
      </c>
      <c r="T174" s="12"/>
      <c r="U174" s="49"/>
      <c r="V174" s="2">
        <v>45658</v>
      </c>
      <c r="W174" s="2">
        <v>1</v>
      </c>
      <c r="X174" s="2">
        <v>45702</v>
      </c>
      <c r="Y174" s="2"/>
      <c r="Z174" s="2"/>
      <c r="AA174" s="47"/>
      <c r="AB174" s="2">
        <v>45688</v>
      </c>
      <c r="AC174" s="2"/>
      <c r="AD174" s="47">
        <f>IF(_tbl_odoo_datos2[[#This Row],[Finf2]]="",0,1)</f>
        <v>1</v>
      </c>
      <c r="AE174" s="47">
        <f>IF(_tbl_odoo_datos2[[#This Row],[FGer2]]="",0,1)</f>
        <v>0</v>
      </c>
      <c r="AF174" s="2">
        <f>IF(_tbl_odoo_datos2[[#This Row],[Finf2]]="",_tbl_odoo_datos2[[#This Row],[FGer2]],_tbl_odoo_datos2[[#This Row],[Finf2]])</f>
        <v>45688</v>
      </c>
    </row>
    <row r="175" spans="1:32" x14ac:dyDescent="0.25">
      <c r="A175" s="12" t="s">
        <v>445</v>
      </c>
      <c r="B175" s="12">
        <v>360</v>
      </c>
      <c r="C175" s="47" t="s">
        <v>192</v>
      </c>
      <c r="D175" s="47">
        <v>246895</v>
      </c>
      <c r="E175" s="49" t="s">
        <v>193</v>
      </c>
      <c r="F175" s="12">
        <v>29</v>
      </c>
      <c r="G175" s="49" t="s">
        <v>154</v>
      </c>
      <c r="H175" s="12">
        <v>3201</v>
      </c>
      <c r="I175" s="47" t="s">
        <v>183</v>
      </c>
      <c r="J175" t="s">
        <v>46</v>
      </c>
      <c r="K175" s="47"/>
      <c r="L175" s="47"/>
      <c r="M175" s="47"/>
      <c r="N175" s="12"/>
      <c r="O175" s="49"/>
      <c r="P175" s="47">
        <v>1</v>
      </c>
      <c r="Q175" s="49">
        <v>1</v>
      </c>
      <c r="R175" s="12">
        <v>2</v>
      </c>
      <c r="S175" s="49">
        <v>2</v>
      </c>
      <c r="T175" s="12"/>
      <c r="U175" s="49"/>
      <c r="V175" s="2">
        <v>45698</v>
      </c>
      <c r="W175" s="2">
        <v>1</v>
      </c>
      <c r="X175" s="2">
        <v>45747</v>
      </c>
      <c r="Y175" s="2"/>
      <c r="Z175" s="2"/>
      <c r="AA175" s="47"/>
      <c r="AB175" s="2">
        <v>45716</v>
      </c>
      <c r="AC175" s="2"/>
      <c r="AD175" s="47">
        <f>IF(_tbl_odoo_datos2[[#This Row],[Finf2]]="",0,1)</f>
        <v>1</v>
      </c>
      <c r="AE175" s="47">
        <f>IF(_tbl_odoo_datos2[[#This Row],[FGer2]]="",0,1)</f>
        <v>0</v>
      </c>
      <c r="AF175" s="2">
        <f>IF(_tbl_odoo_datos2[[#This Row],[Finf2]]="",_tbl_odoo_datos2[[#This Row],[FGer2]],_tbl_odoo_datos2[[#This Row],[Finf2]])</f>
        <v>45716</v>
      </c>
    </row>
    <row r="176" spans="1:32" x14ac:dyDescent="0.25">
      <c r="A176" s="12" t="s">
        <v>445</v>
      </c>
      <c r="B176" s="12">
        <v>0</v>
      </c>
      <c r="C176" s="47" t="s">
        <v>194</v>
      </c>
      <c r="D176" s="47">
        <v>254970</v>
      </c>
      <c r="E176" s="49" t="s">
        <v>195</v>
      </c>
      <c r="F176" s="12">
        <v>21</v>
      </c>
      <c r="G176" s="49" t="s">
        <v>69</v>
      </c>
      <c r="H176" s="12">
        <v>3204</v>
      </c>
      <c r="I176" s="47" t="s">
        <v>196</v>
      </c>
      <c r="J176" t="s">
        <v>46</v>
      </c>
      <c r="K176" s="47"/>
      <c r="L176" s="47">
        <v>4</v>
      </c>
      <c r="M176" s="47" t="s">
        <v>175</v>
      </c>
      <c r="N176" s="12">
        <v>2</v>
      </c>
      <c r="O176" s="49" t="s">
        <v>171</v>
      </c>
      <c r="P176" s="47">
        <v>2</v>
      </c>
      <c r="Q176" s="49">
        <v>2</v>
      </c>
      <c r="R176" s="12">
        <v>2</v>
      </c>
      <c r="S176" s="49">
        <v>2</v>
      </c>
      <c r="T176" s="12">
        <v>1</v>
      </c>
      <c r="U176" s="49" t="s">
        <v>172</v>
      </c>
      <c r="V176" s="2">
        <v>45693</v>
      </c>
      <c r="W176" s="2">
        <v>45693</v>
      </c>
      <c r="X176" s="2"/>
      <c r="Y176" s="2"/>
      <c r="Z176" s="2"/>
      <c r="AA176" s="47"/>
      <c r="AB176" s="2"/>
      <c r="AC176" s="2"/>
      <c r="AD176" s="47">
        <f>IF(_tbl_odoo_datos2[[#This Row],[Finf2]]="",0,1)</f>
        <v>0</v>
      </c>
      <c r="AE176" s="47">
        <f>IF(_tbl_odoo_datos2[[#This Row],[FGer2]]="",0,1)</f>
        <v>0</v>
      </c>
      <c r="AF176" s="2">
        <f>IF(_tbl_odoo_datos2[[#This Row],[Finf2]]="",_tbl_odoo_datos2[[#This Row],[FGer2]],_tbl_odoo_datos2[[#This Row],[Finf2]])</f>
        <v>0</v>
      </c>
    </row>
    <row r="177" spans="1:32" x14ac:dyDescent="0.25">
      <c r="A177" s="12" t="s">
        <v>445</v>
      </c>
      <c r="B177" s="12">
        <v>340</v>
      </c>
      <c r="C177" s="47" t="s">
        <v>197</v>
      </c>
      <c r="D177" s="47"/>
      <c r="E177" s="49"/>
      <c r="F177" s="12">
        <v>29</v>
      </c>
      <c r="G177" s="49" t="s">
        <v>154</v>
      </c>
      <c r="H177" s="12">
        <v>3204</v>
      </c>
      <c r="I177" s="47" t="s">
        <v>196</v>
      </c>
      <c r="J177" t="s">
        <v>46</v>
      </c>
      <c r="K177" s="47"/>
      <c r="L177" s="47"/>
      <c r="M177" s="47"/>
      <c r="N177" s="12"/>
      <c r="O177" s="49"/>
      <c r="P177" s="47">
        <v>1</v>
      </c>
      <c r="Q177" s="49">
        <v>1</v>
      </c>
      <c r="R177" s="12">
        <v>1</v>
      </c>
      <c r="S177" s="49">
        <v>1</v>
      </c>
      <c r="T177" s="12"/>
      <c r="U177" s="49"/>
      <c r="V177" s="2">
        <v>45658</v>
      </c>
      <c r="W177" s="2">
        <v>1</v>
      </c>
      <c r="X177" s="2">
        <v>45716</v>
      </c>
      <c r="Y177" s="2"/>
      <c r="Z177" s="2"/>
      <c r="AA177" s="47"/>
      <c r="AB177" s="2">
        <v>45688</v>
      </c>
      <c r="AC177" s="2"/>
      <c r="AD177" s="47">
        <f>IF(_tbl_odoo_datos2[[#This Row],[Finf2]]="",0,1)</f>
        <v>1</v>
      </c>
      <c r="AE177" s="47">
        <f>IF(_tbl_odoo_datos2[[#This Row],[FGer2]]="",0,1)</f>
        <v>0</v>
      </c>
      <c r="AF177" s="2">
        <f>IF(_tbl_odoo_datos2[[#This Row],[Finf2]]="",_tbl_odoo_datos2[[#This Row],[FGer2]],_tbl_odoo_datos2[[#This Row],[Finf2]])</f>
        <v>45688</v>
      </c>
    </row>
    <row r="178" spans="1:32" x14ac:dyDescent="0.25">
      <c r="A178" s="12" t="s">
        <v>445</v>
      </c>
      <c r="B178" s="12">
        <v>279</v>
      </c>
      <c r="C178" s="47" t="s">
        <v>198</v>
      </c>
      <c r="D178" s="47"/>
      <c r="E178" s="49"/>
      <c r="F178" s="12">
        <v>29</v>
      </c>
      <c r="G178" s="49" t="s">
        <v>154</v>
      </c>
      <c r="H178" s="12">
        <v>3198</v>
      </c>
      <c r="I178" s="47" t="s">
        <v>53</v>
      </c>
      <c r="J178" t="s">
        <v>46</v>
      </c>
      <c r="K178" s="47"/>
      <c r="L178" s="47"/>
      <c r="M178" s="47"/>
      <c r="N178" s="12"/>
      <c r="O178" s="49"/>
      <c r="P178" s="47">
        <v>1</v>
      </c>
      <c r="Q178" s="49">
        <v>1</v>
      </c>
      <c r="R178" s="12">
        <v>3</v>
      </c>
      <c r="S178" s="49">
        <v>3</v>
      </c>
      <c r="T178" s="12"/>
      <c r="U178" s="49"/>
      <c r="V178" s="2">
        <v>45658</v>
      </c>
      <c r="W178" s="2">
        <v>1</v>
      </c>
      <c r="X178" s="2">
        <v>45716</v>
      </c>
      <c r="Y178" s="2"/>
      <c r="Z178" s="2"/>
      <c r="AA178" s="47"/>
      <c r="AB178" s="2">
        <v>45688</v>
      </c>
      <c r="AC178" s="2"/>
      <c r="AD178" s="47">
        <f>IF(_tbl_odoo_datos2[[#This Row],[Finf2]]="",0,1)</f>
        <v>1</v>
      </c>
      <c r="AE178" s="47">
        <f>IF(_tbl_odoo_datos2[[#This Row],[FGer2]]="",0,1)</f>
        <v>0</v>
      </c>
      <c r="AF178" s="2">
        <f>IF(_tbl_odoo_datos2[[#This Row],[Finf2]]="",_tbl_odoo_datos2[[#This Row],[FGer2]],_tbl_odoo_datos2[[#This Row],[Finf2]])</f>
        <v>45688</v>
      </c>
    </row>
    <row r="179" spans="1:32" x14ac:dyDescent="0.25">
      <c r="A179" s="12" t="s">
        <v>445</v>
      </c>
      <c r="B179" s="12">
        <v>353</v>
      </c>
      <c r="C179" s="47" t="s">
        <v>199</v>
      </c>
      <c r="D179" s="47">
        <v>247795</v>
      </c>
      <c r="E179" s="49" t="s">
        <v>56</v>
      </c>
      <c r="F179" s="12">
        <v>28</v>
      </c>
      <c r="G179" s="49" t="s">
        <v>52</v>
      </c>
      <c r="H179" s="12">
        <v>3201</v>
      </c>
      <c r="I179" s="47" t="s">
        <v>183</v>
      </c>
      <c r="J179" t="s">
        <v>46</v>
      </c>
      <c r="K179" s="47"/>
      <c r="L179" s="47"/>
      <c r="M179" s="47"/>
      <c r="N179" s="12"/>
      <c r="O179" s="49"/>
      <c r="P179" s="47">
        <v>1</v>
      </c>
      <c r="Q179" s="49">
        <v>1</v>
      </c>
      <c r="R179" s="12">
        <v>1</v>
      </c>
      <c r="S179" s="49">
        <v>1</v>
      </c>
      <c r="T179" s="12"/>
      <c r="U179" s="49"/>
      <c r="V179" s="2">
        <v>45658</v>
      </c>
      <c r="W179" s="2">
        <v>1</v>
      </c>
      <c r="X179" s="2">
        <v>45688</v>
      </c>
      <c r="Y179" s="2"/>
      <c r="Z179" s="2"/>
      <c r="AA179" s="47" t="s">
        <v>200</v>
      </c>
      <c r="AB179" s="2">
        <v>45657</v>
      </c>
      <c r="AC179" s="2"/>
      <c r="AD179" s="47">
        <f>IF(_tbl_odoo_datos2[[#This Row],[Finf2]]="",0,1)</f>
        <v>1</v>
      </c>
      <c r="AE179" s="47">
        <f>IF(_tbl_odoo_datos2[[#This Row],[FGer2]]="",0,1)</f>
        <v>0</v>
      </c>
      <c r="AF179" s="2">
        <f>IF(_tbl_odoo_datos2[[#This Row],[Finf2]]="",_tbl_odoo_datos2[[#This Row],[FGer2]],_tbl_odoo_datos2[[#This Row],[Finf2]])</f>
        <v>45657</v>
      </c>
    </row>
    <row r="180" spans="1:32" x14ac:dyDescent="0.25">
      <c r="A180" s="12" t="s">
        <v>445</v>
      </c>
      <c r="B180" s="12">
        <v>344</v>
      </c>
      <c r="C180" s="47" t="s">
        <v>201</v>
      </c>
      <c r="D180" s="47"/>
      <c r="E180" s="49"/>
      <c r="F180" s="12">
        <v>30</v>
      </c>
      <c r="G180" s="49" t="s">
        <v>44</v>
      </c>
      <c r="H180" s="12">
        <v>3204</v>
      </c>
      <c r="I180" s="47" t="s">
        <v>196</v>
      </c>
      <c r="J180" t="s">
        <v>46</v>
      </c>
      <c r="K180" s="47"/>
      <c r="L180" s="47"/>
      <c r="M180" s="47"/>
      <c r="N180" s="12"/>
      <c r="O180" s="49"/>
      <c r="P180" s="47">
        <v>1</v>
      </c>
      <c r="Q180" s="49">
        <v>1</v>
      </c>
      <c r="R180" s="12">
        <v>3</v>
      </c>
      <c r="S180" s="49">
        <v>3</v>
      </c>
      <c r="T180" s="12"/>
      <c r="U180" s="49"/>
      <c r="V180" s="2">
        <v>45658</v>
      </c>
      <c r="W180" s="2">
        <v>1</v>
      </c>
      <c r="X180" s="2">
        <v>45716</v>
      </c>
      <c r="Y180" s="2"/>
      <c r="Z180" s="2"/>
      <c r="AA180" s="47"/>
      <c r="AB180" s="2">
        <v>45688</v>
      </c>
      <c r="AC180" s="2"/>
      <c r="AD180" s="47">
        <f>IF(_tbl_odoo_datos2[[#This Row],[Finf2]]="",0,1)</f>
        <v>1</v>
      </c>
      <c r="AE180" s="47">
        <f>IF(_tbl_odoo_datos2[[#This Row],[FGer2]]="",0,1)</f>
        <v>0</v>
      </c>
      <c r="AF180" s="2">
        <f>IF(_tbl_odoo_datos2[[#This Row],[Finf2]]="",_tbl_odoo_datos2[[#This Row],[FGer2]],_tbl_odoo_datos2[[#This Row],[Finf2]])</f>
        <v>45688</v>
      </c>
    </row>
    <row r="181" spans="1:32" x14ac:dyDescent="0.25">
      <c r="A181" s="12" t="s">
        <v>445</v>
      </c>
      <c r="B181" s="12">
        <v>342</v>
      </c>
      <c r="C181" s="47" t="s">
        <v>202</v>
      </c>
      <c r="D181" s="47"/>
      <c r="E181" s="49"/>
      <c r="F181" s="12">
        <v>29</v>
      </c>
      <c r="G181" s="49" t="s">
        <v>154</v>
      </c>
      <c r="H181" s="12">
        <v>3204</v>
      </c>
      <c r="I181" s="47" t="s">
        <v>196</v>
      </c>
      <c r="J181" t="s">
        <v>46</v>
      </c>
      <c r="K181" s="47"/>
      <c r="L181" s="47"/>
      <c r="M181" s="47"/>
      <c r="N181" s="12"/>
      <c r="O181" s="49"/>
      <c r="P181" s="47">
        <v>1</v>
      </c>
      <c r="Q181" s="49">
        <v>1</v>
      </c>
      <c r="R181" s="12">
        <v>3</v>
      </c>
      <c r="S181" s="49">
        <v>3</v>
      </c>
      <c r="T181" s="12"/>
      <c r="U181" s="49"/>
      <c r="V181" s="2">
        <v>45658</v>
      </c>
      <c r="W181" s="2">
        <v>1</v>
      </c>
      <c r="X181" s="2">
        <v>45744</v>
      </c>
      <c r="Y181" s="2"/>
      <c r="Z181" s="2"/>
      <c r="AA181" s="47"/>
      <c r="AB181" s="2">
        <v>45716</v>
      </c>
      <c r="AC181" s="2"/>
      <c r="AD181" s="47">
        <f>IF(_tbl_odoo_datos2[[#This Row],[Finf2]]="",0,1)</f>
        <v>1</v>
      </c>
      <c r="AE181" s="47">
        <f>IF(_tbl_odoo_datos2[[#This Row],[FGer2]]="",0,1)</f>
        <v>0</v>
      </c>
      <c r="AF181" s="2">
        <f>IF(_tbl_odoo_datos2[[#This Row],[Finf2]]="",_tbl_odoo_datos2[[#This Row],[FGer2]],_tbl_odoo_datos2[[#This Row],[Finf2]])</f>
        <v>45716</v>
      </c>
    </row>
    <row r="182" spans="1:32" x14ac:dyDescent="0.25">
      <c r="A182" s="12" t="s">
        <v>445</v>
      </c>
      <c r="B182" s="12">
        <v>330</v>
      </c>
      <c r="C182" s="47" t="s">
        <v>203</v>
      </c>
      <c r="D182" s="47">
        <v>246933</v>
      </c>
      <c r="E182" s="49" t="s">
        <v>204</v>
      </c>
      <c r="F182" s="12">
        <v>28</v>
      </c>
      <c r="G182" s="49" t="s">
        <v>52</v>
      </c>
      <c r="H182" s="12">
        <v>2767</v>
      </c>
      <c r="I182" s="47" t="s">
        <v>118</v>
      </c>
      <c r="J182" t="s">
        <v>46</v>
      </c>
      <c r="K182" s="47"/>
      <c r="L182" s="47"/>
      <c r="M182" s="47"/>
      <c r="N182" s="12"/>
      <c r="O182" s="49"/>
      <c r="P182" s="47">
        <v>1</v>
      </c>
      <c r="Q182" s="49">
        <v>1</v>
      </c>
      <c r="R182" s="12">
        <v>2</v>
      </c>
      <c r="S182" s="49">
        <v>2</v>
      </c>
      <c r="T182" s="12"/>
      <c r="U182" s="49"/>
      <c r="V182" s="2">
        <v>45658</v>
      </c>
      <c r="W182" s="2">
        <v>1</v>
      </c>
      <c r="X182" s="2">
        <v>45744</v>
      </c>
      <c r="Y182" s="2"/>
      <c r="Z182" s="2"/>
      <c r="AA182" s="47"/>
      <c r="AB182" s="2">
        <v>45716</v>
      </c>
      <c r="AC182" s="2"/>
      <c r="AD182" s="47">
        <f>IF(_tbl_odoo_datos2[[#This Row],[Finf2]]="",0,1)</f>
        <v>1</v>
      </c>
      <c r="AE182" s="47">
        <f>IF(_tbl_odoo_datos2[[#This Row],[FGer2]]="",0,1)</f>
        <v>0</v>
      </c>
      <c r="AF182" s="2">
        <f>IF(_tbl_odoo_datos2[[#This Row],[Finf2]]="",_tbl_odoo_datos2[[#This Row],[FGer2]],_tbl_odoo_datos2[[#This Row],[Finf2]])</f>
        <v>45716</v>
      </c>
    </row>
    <row r="183" spans="1:32" x14ac:dyDescent="0.25">
      <c r="A183" s="12" t="s">
        <v>445</v>
      </c>
      <c r="B183" s="12">
        <v>328</v>
      </c>
      <c r="C183" s="47" t="s">
        <v>430</v>
      </c>
      <c r="D183" s="47">
        <v>247722</v>
      </c>
      <c r="E183" s="49" t="s">
        <v>117</v>
      </c>
      <c r="F183" s="12">
        <v>21</v>
      </c>
      <c r="G183" s="49" t="s">
        <v>69</v>
      </c>
      <c r="H183" s="12">
        <v>195</v>
      </c>
      <c r="I183" s="47" t="s">
        <v>78</v>
      </c>
      <c r="J183" t="s">
        <v>46</v>
      </c>
      <c r="K183" s="47"/>
      <c r="L183" s="47"/>
      <c r="M183" s="47"/>
      <c r="N183" s="12"/>
      <c r="O183" s="49"/>
      <c r="P183" s="47">
        <v>1</v>
      </c>
      <c r="Q183" s="49">
        <v>1</v>
      </c>
      <c r="R183" s="12">
        <v>2</v>
      </c>
      <c r="S183" s="49">
        <v>2</v>
      </c>
      <c r="T183" s="12"/>
      <c r="U183" s="49"/>
      <c r="V183" s="2">
        <v>45658</v>
      </c>
      <c r="W183" s="2">
        <v>1</v>
      </c>
      <c r="X183" s="2">
        <v>45688</v>
      </c>
      <c r="Y183" s="2"/>
      <c r="Z183" s="2"/>
      <c r="AA183" s="47"/>
      <c r="AB183" s="2">
        <v>45657</v>
      </c>
      <c r="AC183" s="2"/>
      <c r="AD183" s="47">
        <f>IF(_tbl_odoo_datos2[[#This Row],[Finf2]]="",0,1)</f>
        <v>1</v>
      </c>
      <c r="AE183" s="47">
        <f>IF(_tbl_odoo_datos2[[#This Row],[FGer2]]="",0,1)</f>
        <v>0</v>
      </c>
      <c r="AF183" s="2">
        <f>IF(_tbl_odoo_datos2[[#This Row],[Finf2]]="",_tbl_odoo_datos2[[#This Row],[FGer2]],_tbl_odoo_datos2[[#This Row],[Finf2]])</f>
        <v>45657</v>
      </c>
    </row>
    <row r="184" spans="1:32" x14ac:dyDescent="0.25">
      <c r="A184" s="12" t="s">
        <v>445</v>
      </c>
      <c r="B184" s="12">
        <v>0</v>
      </c>
      <c r="C184" s="47" t="s">
        <v>205</v>
      </c>
      <c r="D184" s="47">
        <v>247884</v>
      </c>
      <c r="E184" s="49" t="s">
        <v>206</v>
      </c>
      <c r="F184" s="12">
        <v>22</v>
      </c>
      <c r="G184" s="49" t="s">
        <v>77</v>
      </c>
      <c r="H184" s="12">
        <v>3204</v>
      </c>
      <c r="I184" s="47" t="s">
        <v>196</v>
      </c>
      <c r="J184" t="s">
        <v>46</v>
      </c>
      <c r="K184" s="47"/>
      <c r="L184" s="47">
        <v>3</v>
      </c>
      <c r="M184" s="47" t="s">
        <v>170</v>
      </c>
      <c r="N184" s="12"/>
      <c r="O184" s="49"/>
      <c r="P184" s="47"/>
      <c r="Q184" s="49"/>
      <c r="R184" s="12"/>
      <c r="S184" s="49"/>
      <c r="T184" s="12"/>
      <c r="U184" s="49"/>
      <c r="V184" s="2">
        <v>45701</v>
      </c>
      <c r="W184" s="2">
        <v>45701</v>
      </c>
      <c r="X184" s="2">
        <v>45701</v>
      </c>
      <c r="Y184" s="2"/>
      <c r="Z184" s="2">
        <v>45701</v>
      </c>
      <c r="AA184" s="47"/>
      <c r="AB184" s="2">
        <v>45688</v>
      </c>
      <c r="AC184" s="2"/>
      <c r="AD184" s="47">
        <f>IF(_tbl_odoo_datos2[[#This Row],[Finf2]]="",0,1)</f>
        <v>1</v>
      </c>
      <c r="AE184" s="47">
        <f>IF(_tbl_odoo_datos2[[#This Row],[FGer2]]="",0,1)</f>
        <v>0</v>
      </c>
      <c r="AF184" s="2">
        <f>IF(_tbl_odoo_datos2[[#This Row],[Finf2]]="",_tbl_odoo_datos2[[#This Row],[FGer2]],_tbl_odoo_datos2[[#This Row],[Finf2]])</f>
        <v>45688</v>
      </c>
    </row>
    <row r="185" spans="1:32" x14ac:dyDescent="0.25">
      <c r="A185" s="12" t="s">
        <v>445</v>
      </c>
      <c r="B185" s="12">
        <v>302</v>
      </c>
      <c r="C185" s="47" t="s">
        <v>207</v>
      </c>
      <c r="D185" s="47"/>
      <c r="E185" s="49"/>
      <c r="F185" s="12">
        <v>29</v>
      </c>
      <c r="G185" s="49" t="s">
        <v>154</v>
      </c>
      <c r="H185" s="12">
        <v>3202</v>
      </c>
      <c r="I185" s="47" t="s">
        <v>165</v>
      </c>
      <c r="J185" t="s">
        <v>46</v>
      </c>
      <c r="K185" s="47"/>
      <c r="L185" s="47"/>
      <c r="M185" s="47"/>
      <c r="N185" s="12"/>
      <c r="O185" s="49"/>
      <c r="P185" s="47">
        <v>3</v>
      </c>
      <c r="Q185" s="49">
        <v>3</v>
      </c>
      <c r="R185" s="12">
        <v>1</v>
      </c>
      <c r="S185" s="49">
        <v>1</v>
      </c>
      <c r="T185" s="12"/>
      <c r="U185" s="49"/>
      <c r="V185" s="2">
        <v>45658</v>
      </c>
      <c r="W185" s="2">
        <v>1</v>
      </c>
      <c r="X185" s="2">
        <v>45716</v>
      </c>
      <c r="Y185" s="2"/>
      <c r="Z185" s="2"/>
      <c r="AA185" s="47"/>
      <c r="AB185" s="2">
        <v>45688</v>
      </c>
      <c r="AC185" s="2"/>
      <c r="AD185" s="47">
        <f>IF(_tbl_odoo_datos2[[#This Row],[Finf2]]="",0,1)</f>
        <v>1</v>
      </c>
      <c r="AE185" s="47">
        <f>IF(_tbl_odoo_datos2[[#This Row],[FGer2]]="",0,1)</f>
        <v>0</v>
      </c>
      <c r="AF185" s="2">
        <f>IF(_tbl_odoo_datos2[[#This Row],[Finf2]]="",_tbl_odoo_datos2[[#This Row],[FGer2]],_tbl_odoo_datos2[[#This Row],[Finf2]])</f>
        <v>45688</v>
      </c>
    </row>
    <row r="186" spans="1:32" x14ac:dyDescent="0.25">
      <c r="A186" s="12" t="s">
        <v>445</v>
      </c>
      <c r="B186" s="12">
        <v>373</v>
      </c>
      <c r="C186" s="47" t="s">
        <v>208</v>
      </c>
      <c r="D186" s="47"/>
      <c r="E186" s="49"/>
      <c r="F186" s="12">
        <v>21</v>
      </c>
      <c r="G186" s="49" t="s">
        <v>69</v>
      </c>
      <c r="H186" s="12">
        <v>195</v>
      </c>
      <c r="I186" s="47" t="s">
        <v>78</v>
      </c>
      <c r="J186" t="s">
        <v>46</v>
      </c>
      <c r="K186" s="47" t="b">
        <v>1</v>
      </c>
      <c r="L186" s="47"/>
      <c r="M186" s="47"/>
      <c r="N186" s="12"/>
      <c r="O186" s="49"/>
      <c r="P186" s="47"/>
      <c r="Q186" s="49"/>
      <c r="R186" s="12">
        <v>1</v>
      </c>
      <c r="S186" s="49">
        <v>1</v>
      </c>
      <c r="T186" s="12"/>
      <c r="U186" s="49"/>
      <c r="V186" s="2">
        <v>45658</v>
      </c>
      <c r="W186" s="2">
        <v>1</v>
      </c>
      <c r="X186" s="2">
        <v>45672</v>
      </c>
      <c r="Y186" s="2"/>
      <c r="Z186" s="2"/>
      <c r="AA186" s="47"/>
      <c r="AB186" s="2">
        <v>45657</v>
      </c>
      <c r="AC186" s="2"/>
      <c r="AD186" s="47">
        <f>IF(_tbl_odoo_datos2[[#This Row],[Finf2]]="",0,1)</f>
        <v>1</v>
      </c>
      <c r="AE186" s="47">
        <f>IF(_tbl_odoo_datos2[[#This Row],[FGer2]]="",0,1)</f>
        <v>0</v>
      </c>
      <c r="AF186" s="2">
        <f>IF(_tbl_odoo_datos2[[#This Row],[Finf2]]="",_tbl_odoo_datos2[[#This Row],[FGer2]],_tbl_odoo_datos2[[#This Row],[Finf2]])</f>
        <v>45657</v>
      </c>
    </row>
    <row r="187" spans="1:32" x14ac:dyDescent="0.25">
      <c r="A187" s="12" t="s">
        <v>445</v>
      </c>
      <c r="B187" s="12">
        <v>0</v>
      </c>
      <c r="C187" s="47" t="s">
        <v>209</v>
      </c>
      <c r="D187" s="47">
        <v>247647</v>
      </c>
      <c r="E187" s="49" t="s">
        <v>210</v>
      </c>
      <c r="F187" s="12">
        <v>22</v>
      </c>
      <c r="G187" s="49" t="s">
        <v>77</v>
      </c>
      <c r="H187" s="12">
        <v>3233</v>
      </c>
      <c r="I187" s="47" t="s">
        <v>45</v>
      </c>
      <c r="J187" t="s">
        <v>46</v>
      </c>
      <c r="K187" s="47" t="b">
        <v>1</v>
      </c>
      <c r="L187" s="47">
        <v>3</v>
      </c>
      <c r="M187" s="47" t="s">
        <v>170</v>
      </c>
      <c r="N187" s="12">
        <v>2</v>
      </c>
      <c r="O187" s="49" t="s">
        <v>171</v>
      </c>
      <c r="P187" s="47">
        <v>1</v>
      </c>
      <c r="Q187" s="49">
        <v>1</v>
      </c>
      <c r="R187" s="12">
        <v>1</v>
      </c>
      <c r="S187" s="49">
        <v>1</v>
      </c>
      <c r="T187" s="12">
        <v>2</v>
      </c>
      <c r="U187" s="49" t="s">
        <v>185</v>
      </c>
      <c r="V187" s="2">
        <v>45698</v>
      </c>
      <c r="W187" s="2">
        <v>45699</v>
      </c>
      <c r="X187" s="2">
        <v>45706</v>
      </c>
      <c r="Y187" s="2"/>
      <c r="Z187" s="2"/>
      <c r="AA187" s="47" t="s">
        <v>211</v>
      </c>
      <c r="AB187" s="2">
        <v>45688</v>
      </c>
      <c r="AC187" s="2"/>
      <c r="AD187" s="47">
        <f>IF(_tbl_odoo_datos2[[#This Row],[Finf2]]="",0,1)</f>
        <v>1</v>
      </c>
      <c r="AE187" s="47">
        <f>IF(_tbl_odoo_datos2[[#This Row],[FGer2]]="",0,1)</f>
        <v>0</v>
      </c>
      <c r="AF187" s="2">
        <f>IF(_tbl_odoo_datos2[[#This Row],[Finf2]]="",_tbl_odoo_datos2[[#This Row],[FGer2]],_tbl_odoo_datos2[[#This Row],[Finf2]])</f>
        <v>45688</v>
      </c>
    </row>
    <row r="188" spans="1:32" x14ac:dyDescent="0.25">
      <c r="A188" s="12" t="s">
        <v>445</v>
      </c>
      <c r="B188" s="12">
        <v>0</v>
      </c>
      <c r="C188" s="47" t="s">
        <v>212</v>
      </c>
      <c r="D188" s="47">
        <v>289030</v>
      </c>
      <c r="E188" s="49" t="s">
        <v>213</v>
      </c>
      <c r="F188" s="12">
        <v>29</v>
      </c>
      <c r="G188" s="49" t="s">
        <v>154</v>
      </c>
      <c r="H188" s="12">
        <v>3198</v>
      </c>
      <c r="I188" s="47" t="s">
        <v>53</v>
      </c>
      <c r="J188" t="s">
        <v>46</v>
      </c>
      <c r="K188" s="47" t="b">
        <v>1</v>
      </c>
      <c r="L188" s="47">
        <v>3</v>
      </c>
      <c r="M188" s="47" t="s">
        <v>170</v>
      </c>
      <c r="N188" s="12">
        <v>1</v>
      </c>
      <c r="O188" s="49" t="s">
        <v>176</v>
      </c>
      <c r="P188" s="47">
        <v>2</v>
      </c>
      <c r="Q188" s="49">
        <v>2</v>
      </c>
      <c r="R188" s="12">
        <v>1</v>
      </c>
      <c r="S188" s="49">
        <v>1</v>
      </c>
      <c r="T188" s="12">
        <v>1</v>
      </c>
      <c r="U188" s="49" t="s">
        <v>172</v>
      </c>
      <c r="V188" s="2">
        <v>45705</v>
      </c>
      <c r="W188" s="2">
        <v>45705</v>
      </c>
      <c r="X188" s="2">
        <v>45705</v>
      </c>
      <c r="Y188" s="2"/>
      <c r="Z188" s="2"/>
      <c r="AA188" s="47"/>
      <c r="AB188" s="2">
        <v>45688</v>
      </c>
      <c r="AC188" s="2"/>
      <c r="AD188" s="47">
        <f>IF(_tbl_odoo_datos2[[#This Row],[Finf2]]="",0,1)</f>
        <v>1</v>
      </c>
      <c r="AE188" s="47">
        <f>IF(_tbl_odoo_datos2[[#This Row],[FGer2]]="",0,1)</f>
        <v>0</v>
      </c>
      <c r="AF188" s="2">
        <f>IF(_tbl_odoo_datos2[[#This Row],[Finf2]]="",_tbl_odoo_datos2[[#This Row],[FGer2]],_tbl_odoo_datos2[[#This Row],[Finf2]])</f>
        <v>45688</v>
      </c>
    </row>
    <row r="189" spans="1:32" x14ac:dyDescent="0.25">
      <c r="A189" s="12" t="s">
        <v>445</v>
      </c>
      <c r="B189" s="12">
        <v>277</v>
      </c>
      <c r="C189" s="47" t="s">
        <v>214</v>
      </c>
      <c r="D189" s="47">
        <v>247857</v>
      </c>
      <c r="E189" s="49" t="s">
        <v>62</v>
      </c>
      <c r="F189" s="12">
        <v>21</v>
      </c>
      <c r="G189" s="49" t="s">
        <v>69</v>
      </c>
      <c r="H189" s="12">
        <v>3198</v>
      </c>
      <c r="I189" s="47" t="s">
        <v>53</v>
      </c>
      <c r="J189" t="s">
        <v>46</v>
      </c>
      <c r="K189" s="47"/>
      <c r="L189" s="47"/>
      <c r="M189" s="47"/>
      <c r="N189" s="12"/>
      <c r="O189" s="49"/>
      <c r="P189" s="47">
        <v>1</v>
      </c>
      <c r="Q189" s="49">
        <v>1</v>
      </c>
      <c r="R189" s="12">
        <v>2</v>
      </c>
      <c r="S189" s="49">
        <v>2</v>
      </c>
      <c r="T189" s="12"/>
      <c r="U189" s="49"/>
      <c r="V189" s="2">
        <v>45658</v>
      </c>
      <c r="W189" s="2">
        <v>1</v>
      </c>
      <c r="X189" s="2">
        <v>45688</v>
      </c>
      <c r="Y189" s="2"/>
      <c r="Z189" s="2"/>
      <c r="AA189" s="47" t="s">
        <v>215</v>
      </c>
      <c r="AB189" s="2">
        <v>45657</v>
      </c>
      <c r="AC189" s="2"/>
      <c r="AD189" s="47">
        <f>IF(_tbl_odoo_datos2[[#This Row],[Finf2]]="",0,1)</f>
        <v>1</v>
      </c>
      <c r="AE189" s="47">
        <f>IF(_tbl_odoo_datos2[[#This Row],[FGer2]]="",0,1)</f>
        <v>0</v>
      </c>
      <c r="AF189" s="2">
        <f>IF(_tbl_odoo_datos2[[#This Row],[Finf2]]="",_tbl_odoo_datos2[[#This Row],[FGer2]],_tbl_odoo_datos2[[#This Row],[Finf2]])</f>
        <v>45657</v>
      </c>
    </row>
    <row r="190" spans="1:32" x14ac:dyDescent="0.25">
      <c r="A190" s="12" t="s">
        <v>445</v>
      </c>
      <c r="B190" s="12">
        <v>0</v>
      </c>
      <c r="C190" s="47" t="s">
        <v>216</v>
      </c>
      <c r="D190" s="47"/>
      <c r="E190" s="49"/>
      <c r="F190" s="12">
        <v>21</v>
      </c>
      <c r="G190" s="49" t="s">
        <v>69</v>
      </c>
      <c r="H190" s="12">
        <v>3198</v>
      </c>
      <c r="I190" s="47" t="s">
        <v>53</v>
      </c>
      <c r="J190" t="s">
        <v>46</v>
      </c>
      <c r="K190" s="47"/>
      <c r="L190" s="47"/>
      <c r="M190" s="47"/>
      <c r="N190" s="12"/>
      <c r="O190" s="49"/>
      <c r="P190" s="47"/>
      <c r="Q190" s="49"/>
      <c r="R190" s="12"/>
      <c r="S190" s="49"/>
      <c r="T190" s="12"/>
      <c r="U190" s="49"/>
      <c r="V190" s="2"/>
      <c r="W190" s="2"/>
      <c r="X190" s="2"/>
      <c r="Y190" s="2"/>
      <c r="Z190" s="2"/>
      <c r="AA190" s="47"/>
      <c r="AB190" s="2"/>
      <c r="AC190" s="2"/>
      <c r="AD190" s="47">
        <f>IF(_tbl_odoo_datos2[[#This Row],[Finf2]]="",0,1)</f>
        <v>0</v>
      </c>
      <c r="AE190" s="47">
        <f>IF(_tbl_odoo_datos2[[#This Row],[FGer2]]="",0,1)</f>
        <v>0</v>
      </c>
      <c r="AF190" s="2">
        <f>IF(_tbl_odoo_datos2[[#This Row],[Finf2]]="",_tbl_odoo_datos2[[#This Row],[FGer2]],_tbl_odoo_datos2[[#This Row],[Finf2]])</f>
        <v>0</v>
      </c>
    </row>
    <row r="191" spans="1:32" x14ac:dyDescent="0.25">
      <c r="A191" s="12" t="s">
        <v>445</v>
      </c>
      <c r="B191" s="12">
        <v>359</v>
      </c>
      <c r="C191" s="47" t="s">
        <v>217</v>
      </c>
      <c r="D191" s="47"/>
      <c r="E191" s="49"/>
      <c r="F191" s="12">
        <v>21</v>
      </c>
      <c r="G191" s="49" t="s">
        <v>69</v>
      </c>
      <c r="H191" s="12">
        <v>3201</v>
      </c>
      <c r="I191" s="47" t="s">
        <v>183</v>
      </c>
      <c r="J191" t="s">
        <v>46</v>
      </c>
      <c r="K191" s="47" t="b">
        <v>1</v>
      </c>
      <c r="L191" s="47"/>
      <c r="M191" s="47"/>
      <c r="N191" s="12"/>
      <c r="O191" s="49"/>
      <c r="P191" s="47">
        <v>1</v>
      </c>
      <c r="Q191" s="49">
        <v>1</v>
      </c>
      <c r="R191" s="12">
        <v>1</v>
      </c>
      <c r="S191" s="49">
        <v>1</v>
      </c>
      <c r="T191" s="12"/>
      <c r="U191" s="49"/>
      <c r="V191" s="2">
        <v>45677</v>
      </c>
      <c r="W191" s="2">
        <v>1</v>
      </c>
      <c r="X191" s="2">
        <v>45688</v>
      </c>
      <c r="Y191" s="2"/>
      <c r="Z191" s="2"/>
      <c r="AA191" s="47"/>
      <c r="AB191" s="2">
        <v>45657</v>
      </c>
      <c r="AC191" s="2"/>
      <c r="AD191" s="47">
        <f>IF(_tbl_odoo_datos2[[#This Row],[Finf2]]="",0,1)</f>
        <v>1</v>
      </c>
      <c r="AE191" s="47">
        <f>IF(_tbl_odoo_datos2[[#This Row],[FGer2]]="",0,1)</f>
        <v>0</v>
      </c>
      <c r="AF191" s="2">
        <f>IF(_tbl_odoo_datos2[[#This Row],[Finf2]]="",_tbl_odoo_datos2[[#This Row],[FGer2]],_tbl_odoo_datos2[[#This Row],[Finf2]])</f>
        <v>45657</v>
      </c>
    </row>
    <row r="192" spans="1:32" x14ac:dyDescent="0.25">
      <c r="A192" s="12" t="s">
        <v>445</v>
      </c>
      <c r="B192" s="12">
        <v>319</v>
      </c>
      <c r="C192" s="47" t="s">
        <v>218</v>
      </c>
      <c r="D192" s="47">
        <v>247857</v>
      </c>
      <c r="E192" s="49" t="s">
        <v>62</v>
      </c>
      <c r="F192" s="12">
        <v>28</v>
      </c>
      <c r="G192" s="49" t="s">
        <v>52</v>
      </c>
      <c r="H192" s="12">
        <v>2767</v>
      </c>
      <c r="I192" s="47" t="s">
        <v>118</v>
      </c>
      <c r="J192" t="s">
        <v>46</v>
      </c>
      <c r="K192" s="47"/>
      <c r="L192" s="47"/>
      <c r="M192" s="47"/>
      <c r="N192" s="12"/>
      <c r="O192" s="49"/>
      <c r="P192" s="47">
        <v>1</v>
      </c>
      <c r="Q192" s="49">
        <v>1</v>
      </c>
      <c r="R192" s="12">
        <v>1</v>
      </c>
      <c r="S192" s="49">
        <v>1</v>
      </c>
      <c r="T192" s="12"/>
      <c r="U192" s="49"/>
      <c r="V192" s="2">
        <v>45658</v>
      </c>
      <c r="W192" s="2">
        <v>1</v>
      </c>
      <c r="X192" s="2">
        <v>45744</v>
      </c>
      <c r="Y192" s="2"/>
      <c r="Z192" s="2"/>
      <c r="AA192" s="47" t="s">
        <v>219</v>
      </c>
      <c r="AB192" s="2">
        <v>45716</v>
      </c>
      <c r="AC192" s="2"/>
      <c r="AD192" s="47">
        <f>IF(_tbl_odoo_datos2[[#This Row],[Finf2]]="",0,1)</f>
        <v>1</v>
      </c>
      <c r="AE192" s="47">
        <f>IF(_tbl_odoo_datos2[[#This Row],[FGer2]]="",0,1)</f>
        <v>0</v>
      </c>
      <c r="AF192" s="2">
        <f>IF(_tbl_odoo_datos2[[#This Row],[Finf2]]="",_tbl_odoo_datos2[[#This Row],[FGer2]],_tbl_odoo_datos2[[#This Row],[Finf2]])</f>
        <v>45716</v>
      </c>
    </row>
    <row r="193" spans="1:32" x14ac:dyDescent="0.25">
      <c r="A193" s="12" t="s">
        <v>445</v>
      </c>
      <c r="B193" s="12">
        <v>0</v>
      </c>
      <c r="C193" s="47" t="s">
        <v>220</v>
      </c>
      <c r="D193" s="47"/>
      <c r="E193" s="49"/>
      <c r="F193" s="12">
        <v>28</v>
      </c>
      <c r="G193" s="49" t="s">
        <v>52</v>
      </c>
      <c r="H193" s="12">
        <v>3203</v>
      </c>
      <c r="I193" s="47" t="s">
        <v>127</v>
      </c>
      <c r="J193" t="s">
        <v>46</v>
      </c>
      <c r="K193" s="47"/>
      <c r="L193" s="47"/>
      <c r="M193" s="47"/>
      <c r="N193" s="12"/>
      <c r="O193" s="49"/>
      <c r="P193" s="47"/>
      <c r="Q193" s="49"/>
      <c r="R193" s="12"/>
      <c r="S193" s="49"/>
      <c r="T193" s="12"/>
      <c r="U193" s="49"/>
      <c r="V193" s="2">
        <v>45691</v>
      </c>
      <c r="W193" s="2">
        <v>45691</v>
      </c>
      <c r="X193" s="2"/>
      <c r="Y193" s="2"/>
      <c r="Z193" s="2"/>
      <c r="AA193" s="47"/>
      <c r="AB193" s="2"/>
      <c r="AC193" s="2"/>
      <c r="AD193" s="47">
        <f>IF(_tbl_odoo_datos2[[#This Row],[Finf2]]="",0,1)</f>
        <v>0</v>
      </c>
      <c r="AE193" s="47">
        <f>IF(_tbl_odoo_datos2[[#This Row],[FGer2]]="",0,1)</f>
        <v>0</v>
      </c>
      <c r="AF193" s="2">
        <f>IF(_tbl_odoo_datos2[[#This Row],[Finf2]]="",_tbl_odoo_datos2[[#This Row],[FGer2]],_tbl_odoo_datos2[[#This Row],[Finf2]])</f>
        <v>0</v>
      </c>
    </row>
    <row r="194" spans="1:32" x14ac:dyDescent="0.25">
      <c r="A194" s="12" t="s">
        <v>445</v>
      </c>
      <c r="B194" s="12">
        <v>0</v>
      </c>
      <c r="C194" s="47" t="s">
        <v>221</v>
      </c>
      <c r="D194" s="47">
        <v>247417</v>
      </c>
      <c r="E194" s="49" t="s">
        <v>222</v>
      </c>
      <c r="F194" s="12">
        <v>21</v>
      </c>
      <c r="G194" s="49" t="s">
        <v>69</v>
      </c>
      <c r="H194" s="12">
        <v>3202</v>
      </c>
      <c r="I194" s="47" t="s">
        <v>165</v>
      </c>
      <c r="J194" t="s">
        <v>46</v>
      </c>
      <c r="K194" s="47"/>
      <c r="L194" s="47">
        <v>4</v>
      </c>
      <c r="M194" s="47" t="s">
        <v>175</v>
      </c>
      <c r="N194" s="12">
        <v>1</v>
      </c>
      <c r="O194" s="49" t="s">
        <v>176</v>
      </c>
      <c r="P194" s="47">
        <v>1</v>
      </c>
      <c r="Q194" s="49">
        <v>1</v>
      </c>
      <c r="R194" s="12">
        <v>2</v>
      </c>
      <c r="S194" s="49">
        <v>2</v>
      </c>
      <c r="T194" s="12">
        <v>1</v>
      </c>
      <c r="U194" s="49" t="s">
        <v>172</v>
      </c>
      <c r="V194" s="2">
        <v>45692</v>
      </c>
      <c r="W194" s="2">
        <v>45692</v>
      </c>
      <c r="X194" s="2">
        <v>45693</v>
      </c>
      <c r="Y194" s="2"/>
      <c r="Z194" s="2">
        <v>45693</v>
      </c>
      <c r="AA194" s="47"/>
      <c r="AB194" s="2">
        <v>45688</v>
      </c>
      <c r="AC194" s="2"/>
      <c r="AD194" s="47">
        <f>IF(_tbl_odoo_datos2[[#This Row],[Finf2]]="",0,1)</f>
        <v>1</v>
      </c>
      <c r="AE194" s="47">
        <f>IF(_tbl_odoo_datos2[[#This Row],[FGer2]]="",0,1)</f>
        <v>0</v>
      </c>
      <c r="AF194" s="2">
        <f>IF(_tbl_odoo_datos2[[#This Row],[Finf2]]="",_tbl_odoo_datos2[[#This Row],[FGer2]],_tbl_odoo_datos2[[#This Row],[Finf2]])</f>
        <v>45688</v>
      </c>
    </row>
    <row r="195" spans="1:32" x14ac:dyDescent="0.25">
      <c r="A195" s="12" t="s">
        <v>445</v>
      </c>
      <c r="B195" s="12">
        <v>0</v>
      </c>
      <c r="C195" s="47" t="s">
        <v>223</v>
      </c>
      <c r="D195" s="47">
        <v>247804</v>
      </c>
      <c r="E195" s="49" t="s">
        <v>224</v>
      </c>
      <c r="F195" s="12">
        <v>22</v>
      </c>
      <c r="G195" s="49" t="s">
        <v>77</v>
      </c>
      <c r="H195" s="12">
        <v>3204</v>
      </c>
      <c r="I195" s="47" t="s">
        <v>196</v>
      </c>
      <c r="J195" t="s">
        <v>46</v>
      </c>
      <c r="K195" s="47"/>
      <c r="L195" s="47"/>
      <c r="M195" s="47"/>
      <c r="N195" s="12"/>
      <c r="O195" s="49"/>
      <c r="P195" s="47"/>
      <c r="Q195" s="49"/>
      <c r="R195" s="12"/>
      <c r="S195" s="49"/>
      <c r="T195" s="12"/>
      <c r="U195" s="49"/>
      <c r="V195" s="2">
        <v>45698</v>
      </c>
      <c r="W195" s="2">
        <v>45698</v>
      </c>
      <c r="X195" s="2">
        <v>45698</v>
      </c>
      <c r="Y195" s="2"/>
      <c r="Z195" s="2">
        <v>45698</v>
      </c>
      <c r="AA195" s="47"/>
      <c r="AB195" s="2">
        <v>45688</v>
      </c>
      <c r="AC195" s="2"/>
      <c r="AD195" s="47">
        <f>IF(_tbl_odoo_datos2[[#This Row],[Finf2]]="",0,1)</f>
        <v>1</v>
      </c>
      <c r="AE195" s="47">
        <f>IF(_tbl_odoo_datos2[[#This Row],[FGer2]]="",0,1)</f>
        <v>0</v>
      </c>
      <c r="AF195" s="2">
        <f>IF(_tbl_odoo_datos2[[#This Row],[Finf2]]="",_tbl_odoo_datos2[[#This Row],[FGer2]],_tbl_odoo_datos2[[#This Row],[Finf2]])</f>
        <v>45688</v>
      </c>
    </row>
    <row r="196" spans="1:32" x14ac:dyDescent="0.25">
      <c r="A196" s="12" t="s">
        <v>445</v>
      </c>
      <c r="B196" s="12">
        <v>0</v>
      </c>
      <c r="C196" s="47" t="s">
        <v>225</v>
      </c>
      <c r="D196" s="47">
        <v>247897</v>
      </c>
      <c r="E196" s="49" t="s">
        <v>226</v>
      </c>
      <c r="F196" s="12">
        <v>21</v>
      </c>
      <c r="G196" s="49" t="s">
        <v>69</v>
      </c>
      <c r="H196" s="12">
        <v>3202</v>
      </c>
      <c r="I196" s="47" t="s">
        <v>165</v>
      </c>
      <c r="J196" t="s">
        <v>46</v>
      </c>
      <c r="K196" s="47" t="b">
        <v>1</v>
      </c>
      <c r="L196" s="47">
        <v>4</v>
      </c>
      <c r="M196" s="47" t="s">
        <v>175</v>
      </c>
      <c r="N196" s="12">
        <v>1</v>
      </c>
      <c r="O196" s="49" t="s">
        <v>176</v>
      </c>
      <c r="P196" s="47">
        <v>2</v>
      </c>
      <c r="Q196" s="49">
        <v>2</v>
      </c>
      <c r="R196" s="12">
        <v>2</v>
      </c>
      <c r="S196" s="49">
        <v>2</v>
      </c>
      <c r="T196" s="12">
        <v>1</v>
      </c>
      <c r="U196" s="49" t="s">
        <v>172</v>
      </c>
      <c r="V196" s="2">
        <v>45701</v>
      </c>
      <c r="W196" s="2">
        <v>45701</v>
      </c>
      <c r="X196" s="2">
        <v>45701</v>
      </c>
      <c r="Y196" s="2"/>
      <c r="Z196" s="2">
        <v>45701</v>
      </c>
      <c r="AA196" s="47"/>
      <c r="AB196" s="2">
        <v>45688</v>
      </c>
      <c r="AC196" s="2"/>
      <c r="AD196" s="47">
        <f>IF(_tbl_odoo_datos2[[#This Row],[Finf2]]="",0,1)</f>
        <v>1</v>
      </c>
      <c r="AE196" s="47">
        <f>IF(_tbl_odoo_datos2[[#This Row],[FGer2]]="",0,1)</f>
        <v>0</v>
      </c>
      <c r="AF196" s="2">
        <f>IF(_tbl_odoo_datos2[[#This Row],[Finf2]]="",_tbl_odoo_datos2[[#This Row],[FGer2]],_tbl_odoo_datos2[[#This Row],[Finf2]])</f>
        <v>45688</v>
      </c>
    </row>
    <row r="197" spans="1:32" x14ac:dyDescent="0.25">
      <c r="A197" s="12" t="s">
        <v>445</v>
      </c>
      <c r="B197" s="12">
        <v>0</v>
      </c>
      <c r="C197" s="47" t="s">
        <v>227</v>
      </c>
      <c r="D197" s="47"/>
      <c r="E197" s="49"/>
      <c r="F197" s="12">
        <v>21</v>
      </c>
      <c r="G197" s="49" t="s">
        <v>69</v>
      </c>
      <c r="H197" s="12">
        <v>3201</v>
      </c>
      <c r="I197" s="47" t="s">
        <v>183</v>
      </c>
      <c r="J197" t="s">
        <v>46</v>
      </c>
      <c r="K197" s="47"/>
      <c r="L197" s="47">
        <v>4</v>
      </c>
      <c r="M197" s="47" t="s">
        <v>175</v>
      </c>
      <c r="N197" s="12">
        <v>1</v>
      </c>
      <c r="O197" s="49" t="s">
        <v>176</v>
      </c>
      <c r="P197" s="47">
        <v>2</v>
      </c>
      <c r="Q197" s="49">
        <v>2</v>
      </c>
      <c r="R197" s="12">
        <v>3</v>
      </c>
      <c r="S197" s="49">
        <v>3</v>
      </c>
      <c r="T197" s="12">
        <v>2</v>
      </c>
      <c r="U197" s="49" t="s">
        <v>185</v>
      </c>
      <c r="V197" s="2">
        <v>45658</v>
      </c>
      <c r="W197" s="2">
        <v>45658</v>
      </c>
      <c r="X197" s="2">
        <v>45688</v>
      </c>
      <c r="Y197" s="2"/>
      <c r="Z197" s="2">
        <v>45688</v>
      </c>
      <c r="AA197" s="47"/>
      <c r="AB197" s="2">
        <v>45657</v>
      </c>
      <c r="AC197" s="2"/>
      <c r="AD197" s="47">
        <f>IF(_tbl_odoo_datos2[[#This Row],[Finf2]]="",0,1)</f>
        <v>1</v>
      </c>
      <c r="AE197" s="47">
        <f>IF(_tbl_odoo_datos2[[#This Row],[FGer2]]="",0,1)</f>
        <v>0</v>
      </c>
      <c r="AF197" s="2">
        <f>IF(_tbl_odoo_datos2[[#This Row],[Finf2]]="",_tbl_odoo_datos2[[#This Row],[FGer2]],_tbl_odoo_datos2[[#This Row],[Finf2]])</f>
        <v>45657</v>
      </c>
    </row>
    <row r="198" spans="1:32" x14ac:dyDescent="0.25">
      <c r="A198" s="12" t="s">
        <v>445</v>
      </c>
      <c r="B198" s="12">
        <v>0</v>
      </c>
      <c r="C198" s="47" t="s">
        <v>228</v>
      </c>
      <c r="D198" s="47"/>
      <c r="E198" s="49"/>
      <c r="F198" s="12">
        <v>22</v>
      </c>
      <c r="G198" s="49" t="s">
        <v>77</v>
      </c>
      <c r="H198" s="12">
        <v>3201</v>
      </c>
      <c r="I198" s="47" t="s">
        <v>183</v>
      </c>
      <c r="J198" t="s">
        <v>46</v>
      </c>
      <c r="K198" s="47"/>
      <c r="L198" s="47">
        <v>4</v>
      </c>
      <c r="M198" s="47" t="s">
        <v>175</v>
      </c>
      <c r="N198" s="12">
        <v>1</v>
      </c>
      <c r="O198" s="49" t="s">
        <v>176</v>
      </c>
      <c r="P198" s="47">
        <v>2</v>
      </c>
      <c r="Q198" s="49">
        <v>2</v>
      </c>
      <c r="R198" s="12">
        <v>3</v>
      </c>
      <c r="S198" s="49">
        <v>3</v>
      </c>
      <c r="T198" s="12">
        <v>1</v>
      </c>
      <c r="U198" s="49" t="s">
        <v>172</v>
      </c>
      <c r="V198" s="2">
        <v>45689</v>
      </c>
      <c r="W198" s="2">
        <v>45689</v>
      </c>
      <c r="X198" s="2">
        <v>45716</v>
      </c>
      <c r="Y198" s="2"/>
      <c r="Z198" s="2"/>
      <c r="AA198" s="47"/>
      <c r="AB198" s="2">
        <v>45688</v>
      </c>
      <c r="AC198" s="2"/>
      <c r="AD198" s="47">
        <f>IF(_tbl_odoo_datos2[[#This Row],[Finf2]]="",0,1)</f>
        <v>1</v>
      </c>
      <c r="AE198" s="47">
        <f>IF(_tbl_odoo_datos2[[#This Row],[FGer2]]="",0,1)</f>
        <v>0</v>
      </c>
      <c r="AF198" s="2">
        <f>IF(_tbl_odoo_datos2[[#This Row],[Finf2]]="",_tbl_odoo_datos2[[#This Row],[FGer2]],_tbl_odoo_datos2[[#This Row],[Finf2]])</f>
        <v>45688</v>
      </c>
    </row>
    <row r="199" spans="1:32" x14ac:dyDescent="0.25">
      <c r="A199" s="12" t="s">
        <v>445</v>
      </c>
      <c r="B199" s="12">
        <v>0</v>
      </c>
      <c r="C199" s="47" t="s">
        <v>229</v>
      </c>
      <c r="D199" s="47">
        <v>246832</v>
      </c>
      <c r="E199" s="49" t="s">
        <v>230</v>
      </c>
      <c r="F199" s="12">
        <v>22</v>
      </c>
      <c r="G199" s="49" t="s">
        <v>77</v>
      </c>
      <c r="H199" s="12">
        <v>3204</v>
      </c>
      <c r="I199" s="47" t="s">
        <v>196</v>
      </c>
      <c r="J199" t="s">
        <v>46</v>
      </c>
      <c r="K199" s="47"/>
      <c r="L199" s="47">
        <v>4</v>
      </c>
      <c r="M199" s="47" t="s">
        <v>175</v>
      </c>
      <c r="N199" s="12"/>
      <c r="O199" s="49"/>
      <c r="P199" s="47"/>
      <c r="Q199" s="49"/>
      <c r="R199" s="12"/>
      <c r="S199" s="49"/>
      <c r="T199" s="12"/>
      <c r="U199" s="49"/>
      <c r="V199" s="2">
        <v>45700</v>
      </c>
      <c r="W199" s="2">
        <v>45700</v>
      </c>
      <c r="X199" s="2">
        <v>45700</v>
      </c>
      <c r="Y199" s="2"/>
      <c r="Z199" s="2">
        <v>45700</v>
      </c>
      <c r="AA199" s="47"/>
      <c r="AB199" s="2">
        <v>45688</v>
      </c>
      <c r="AC199" s="2"/>
      <c r="AD199" s="47">
        <f>IF(_tbl_odoo_datos2[[#This Row],[Finf2]]="",0,1)</f>
        <v>1</v>
      </c>
      <c r="AE199" s="47">
        <f>IF(_tbl_odoo_datos2[[#This Row],[FGer2]]="",0,1)</f>
        <v>0</v>
      </c>
      <c r="AF199" s="2">
        <f>IF(_tbl_odoo_datos2[[#This Row],[Finf2]]="",_tbl_odoo_datos2[[#This Row],[FGer2]],_tbl_odoo_datos2[[#This Row],[Finf2]])</f>
        <v>45688</v>
      </c>
    </row>
    <row r="200" spans="1:32" x14ac:dyDescent="0.25">
      <c r="A200" s="12" t="s">
        <v>445</v>
      </c>
      <c r="B200" s="12">
        <v>0</v>
      </c>
      <c r="C200" s="47" t="s">
        <v>231</v>
      </c>
      <c r="D200" s="47"/>
      <c r="E200" s="49"/>
      <c r="F200" s="12">
        <v>30</v>
      </c>
      <c r="G200" s="49" t="s">
        <v>44</v>
      </c>
      <c r="H200" s="12">
        <v>195</v>
      </c>
      <c r="I200" s="47" t="s">
        <v>78</v>
      </c>
      <c r="J200" t="s">
        <v>46</v>
      </c>
      <c r="K200" s="47"/>
      <c r="L200" s="47"/>
      <c r="M200" s="47"/>
      <c r="N200" s="12"/>
      <c r="O200" s="49"/>
      <c r="P200" s="47"/>
      <c r="Q200" s="49"/>
      <c r="R200" s="12"/>
      <c r="S200" s="49"/>
      <c r="T200" s="12"/>
      <c r="U200" s="49"/>
      <c r="V200" s="2"/>
      <c r="W200" s="2"/>
      <c r="X200" s="2"/>
      <c r="Y200" s="2"/>
      <c r="Z200" s="2"/>
      <c r="AA200" s="47"/>
      <c r="AB200" s="2"/>
      <c r="AC200" s="2"/>
      <c r="AD200" s="47">
        <f>IF(_tbl_odoo_datos2[[#This Row],[Finf2]]="",0,1)</f>
        <v>0</v>
      </c>
      <c r="AE200" s="47">
        <f>IF(_tbl_odoo_datos2[[#This Row],[FGer2]]="",0,1)</f>
        <v>0</v>
      </c>
      <c r="AF200" s="2">
        <f>IF(_tbl_odoo_datos2[[#This Row],[Finf2]]="",_tbl_odoo_datos2[[#This Row],[FGer2]],_tbl_odoo_datos2[[#This Row],[Finf2]])</f>
        <v>0</v>
      </c>
    </row>
    <row r="201" spans="1:32" x14ac:dyDescent="0.25">
      <c r="A201" s="12" t="s">
        <v>445</v>
      </c>
      <c r="B201" s="12">
        <v>354</v>
      </c>
      <c r="C201" s="47" t="s">
        <v>232</v>
      </c>
      <c r="D201" s="47">
        <v>247791</v>
      </c>
      <c r="E201" s="49" t="s">
        <v>182</v>
      </c>
      <c r="F201" s="12">
        <v>27</v>
      </c>
      <c r="G201" s="49" t="s">
        <v>178</v>
      </c>
      <c r="H201" s="12">
        <v>3201</v>
      </c>
      <c r="I201" s="47" t="s">
        <v>183</v>
      </c>
      <c r="J201" t="s">
        <v>46</v>
      </c>
      <c r="K201" s="47"/>
      <c r="L201" s="47"/>
      <c r="M201" s="47"/>
      <c r="N201" s="12"/>
      <c r="O201" s="49"/>
      <c r="P201" s="47">
        <v>1</v>
      </c>
      <c r="Q201" s="49">
        <v>1</v>
      </c>
      <c r="R201" s="12">
        <v>1</v>
      </c>
      <c r="S201" s="49">
        <v>1</v>
      </c>
      <c r="T201" s="12"/>
      <c r="U201" s="49"/>
      <c r="V201" s="2">
        <v>45658</v>
      </c>
      <c r="W201" s="2">
        <v>1</v>
      </c>
      <c r="X201" s="2">
        <v>45747</v>
      </c>
      <c r="Y201" s="2"/>
      <c r="Z201" s="2"/>
      <c r="AA201" s="47"/>
      <c r="AB201" s="2">
        <v>45716</v>
      </c>
      <c r="AC201" s="2"/>
      <c r="AD201" s="47">
        <f>IF(_tbl_odoo_datos2[[#This Row],[Finf2]]="",0,1)</f>
        <v>1</v>
      </c>
      <c r="AE201" s="47">
        <f>IF(_tbl_odoo_datos2[[#This Row],[FGer2]]="",0,1)</f>
        <v>0</v>
      </c>
      <c r="AF201" s="2">
        <f>IF(_tbl_odoo_datos2[[#This Row],[Finf2]]="",_tbl_odoo_datos2[[#This Row],[FGer2]],_tbl_odoo_datos2[[#This Row],[Finf2]])</f>
        <v>45716</v>
      </c>
    </row>
    <row r="202" spans="1:32" x14ac:dyDescent="0.25">
      <c r="A202" s="12" t="s">
        <v>445</v>
      </c>
      <c r="B202" s="12">
        <v>297</v>
      </c>
      <c r="C202" s="47" t="s">
        <v>233</v>
      </c>
      <c r="D202" s="47">
        <v>289006</v>
      </c>
      <c r="E202" s="49" t="s">
        <v>76</v>
      </c>
      <c r="F202" s="12">
        <v>30</v>
      </c>
      <c r="G202" s="49" t="s">
        <v>44</v>
      </c>
      <c r="H202" s="12">
        <v>195</v>
      </c>
      <c r="I202" s="47" t="s">
        <v>78</v>
      </c>
      <c r="J202" t="s">
        <v>46</v>
      </c>
      <c r="K202" s="47"/>
      <c r="L202" s="47"/>
      <c r="M202" s="47"/>
      <c r="N202" s="12"/>
      <c r="O202" s="49"/>
      <c r="P202" s="47">
        <v>1</v>
      </c>
      <c r="Q202" s="49">
        <v>1</v>
      </c>
      <c r="R202" s="12">
        <v>1</v>
      </c>
      <c r="S202" s="49">
        <v>1</v>
      </c>
      <c r="T202" s="12"/>
      <c r="U202" s="49"/>
      <c r="V202" s="2">
        <v>45658</v>
      </c>
      <c r="W202" s="2">
        <v>1</v>
      </c>
      <c r="X202" s="2">
        <v>45702</v>
      </c>
      <c r="Y202" s="2"/>
      <c r="Z202" s="2"/>
      <c r="AA202" s="47"/>
      <c r="AB202" s="2">
        <v>45688</v>
      </c>
      <c r="AC202" s="2"/>
      <c r="AD202" s="47">
        <f>IF(_tbl_odoo_datos2[[#This Row],[Finf2]]="",0,1)</f>
        <v>1</v>
      </c>
      <c r="AE202" s="47">
        <f>IF(_tbl_odoo_datos2[[#This Row],[FGer2]]="",0,1)</f>
        <v>0</v>
      </c>
      <c r="AF202" s="2">
        <f>IF(_tbl_odoo_datos2[[#This Row],[Finf2]]="",_tbl_odoo_datos2[[#This Row],[FGer2]],_tbl_odoo_datos2[[#This Row],[Finf2]])</f>
        <v>45688</v>
      </c>
    </row>
    <row r="203" spans="1:32" x14ac:dyDescent="0.25">
      <c r="A203" s="12" t="s">
        <v>445</v>
      </c>
      <c r="B203" s="12">
        <v>0</v>
      </c>
      <c r="C203" s="47" t="s">
        <v>234</v>
      </c>
      <c r="D203" s="47">
        <v>247857</v>
      </c>
      <c r="E203" s="49" t="s">
        <v>62</v>
      </c>
      <c r="F203" s="12">
        <v>22</v>
      </c>
      <c r="G203" s="49" t="s">
        <v>77</v>
      </c>
      <c r="H203" s="12">
        <v>195</v>
      </c>
      <c r="I203" s="47" t="s">
        <v>78</v>
      </c>
      <c r="J203" t="s">
        <v>46</v>
      </c>
      <c r="K203" s="47" t="b">
        <v>1</v>
      </c>
      <c r="L203" s="47">
        <v>2</v>
      </c>
      <c r="M203" s="47" t="s">
        <v>184</v>
      </c>
      <c r="N203" s="12">
        <v>2</v>
      </c>
      <c r="O203" s="49" t="s">
        <v>171</v>
      </c>
      <c r="P203" s="47">
        <v>2</v>
      </c>
      <c r="Q203" s="49">
        <v>2</v>
      </c>
      <c r="R203" s="12">
        <v>2</v>
      </c>
      <c r="S203" s="49">
        <v>2</v>
      </c>
      <c r="T203" s="12">
        <v>2</v>
      </c>
      <c r="U203" s="49" t="s">
        <v>185</v>
      </c>
      <c r="V203" s="2">
        <v>45689</v>
      </c>
      <c r="W203" s="2">
        <v>45689</v>
      </c>
      <c r="X203" s="2">
        <v>45702</v>
      </c>
      <c r="Y203" s="2"/>
      <c r="Z203" s="2"/>
      <c r="AA203" s="47" t="s">
        <v>235</v>
      </c>
      <c r="AB203" s="2">
        <v>45688</v>
      </c>
      <c r="AC203" s="2"/>
      <c r="AD203" s="47">
        <f>IF(_tbl_odoo_datos2[[#This Row],[Finf2]]="",0,1)</f>
        <v>1</v>
      </c>
      <c r="AE203" s="47">
        <f>IF(_tbl_odoo_datos2[[#This Row],[FGer2]]="",0,1)</f>
        <v>0</v>
      </c>
      <c r="AF203" s="2">
        <f>IF(_tbl_odoo_datos2[[#This Row],[Finf2]]="",_tbl_odoo_datos2[[#This Row],[FGer2]],_tbl_odoo_datos2[[#This Row],[Finf2]])</f>
        <v>45688</v>
      </c>
    </row>
    <row r="204" spans="1:32" x14ac:dyDescent="0.25">
      <c r="A204" s="12" t="s">
        <v>445</v>
      </c>
      <c r="B204" s="12">
        <v>299</v>
      </c>
      <c r="C204" s="47" t="s">
        <v>236</v>
      </c>
      <c r="D204" s="47"/>
      <c r="E204" s="49"/>
      <c r="F204" s="12">
        <v>22</v>
      </c>
      <c r="G204" s="49" t="s">
        <v>77</v>
      </c>
      <c r="H204" s="12">
        <v>3202</v>
      </c>
      <c r="I204" s="47" t="s">
        <v>165</v>
      </c>
      <c r="J204" t="s">
        <v>46</v>
      </c>
      <c r="K204" s="47"/>
      <c r="L204" s="47"/>
      <c r="M204" s="47"/>
      <c r="N204" s="12"/>
      <c r="O204" s="49"/>
      <c r="P204" s="47">
        <v>1</v>
      </c>
      <c r="Q204" s="49">
        <v>1</v>
      </c>
      <c r="R204" s="12">
        <v>1</v>
      </c>
      <c r="S204" s="49">
        <v>1</v>
      </c>
      <c r="T204" s="12"/>
      <c r="U204" s="49"/>
      <c r="V204" s="2">
        <v>45658</v>
      </c>
      <c r="W204" s="2">
        <v>1</v>
      </c>
      <c r="X204" s="2">
        <v>45702</v>
      </c>
      <c r="Y204" s="2"/>
      <c r="Z204" s="2"/>
      <c r="AA204" s="47"/>
      <c r="AB204" s="2">
        <v>45688</v>
      </c>
      <c r="AC204" s="2"/>
      <c r="AD204" s="47">
        <f>IF(_tbl_odoo_datos2[[#This Row],[Finf2]]="",0,1)</f>
        <v>1</v>
      </c>
      <c r="AE204" s="47">
        <f>IF(_tbl_odoo_datos2[[#This Row],[FGer2]]="",0,1)</f>
        <v>0</v>
      </c>
      <c r="AF204" s="2">
        <f>IF(_tbl_odoo_datos2[[#This Row],[Finf2]]="",_tbl_odoo_datos2[[#This Row],[FGer2]],_tbl_odoo_datos2[[#This Row],[Finf2]])</f>
        <v>45688</v>
      </c>
    </row>
    <row r="205" spans="1:32" x14ac:dyDescent="0.25">
      <c r="A205" s="12" t="s">
        <v>445</v>
      </c>
      <c r="B205" s="12">
        <v>370</v>
      </c>
      <c r="C205" s="47" t="s">
        <v>237</v>
      </c>
      <c r="D205" s="47">
        <v>247614</v>
      </c>
      <c r="E205" s="49" t="s">
        <v>238</v>
      </c>
      <c r="F205" s="12">
        <v>21</v>
      </c>
      <c r="G205" s="49" t="s">
        <v>69</v>
      </c>
      <c r="H205" s="12">
        <v>195</v>
      </c>
      <c r="I205" s="47" t="s">
        <v>78</v>
      </c>
      <c r="J205" t="s">
        <v>46</v>
      </c>
      <c r="K205" s="47" t="b">
        <v>1</v>
      </c>
      <c r="L205" s="47"/>
      <c r="M205" s="47"/>
      <c r="N205" s="12"/>
      <c r="O205" s="49"/>
      <c r="P205" s="47"/>
      <c r="Q205" s="49"/>
      <c r="R205" s="12">
        <v>2</v>
      </c>
      <c r="S205" s="49">
        <v>2</v>
      </c>
      <c r="T205" s="12"/>
      <c r="U205" s="49"/>
      <c r="V205" s="2">
        <v>45678</v>
      </c>
      <c r="W205" s="2">
        <v>1</v>
      </c>
      <c r="X205" s="2">
        <v>45678</v>
      </c>
      <c r="Y205" s="2"/>
      <c r="Z205" s="2">
        <v>45695</v>
      </c>
      <c r="AA205" s="47"/>
      <c r="AB205" s="2">
        <v>45657</v>
      </c>
      <c r="AC205" s="2"/>
      <c r="AD205" s="47">
        <f>IF(_tbl_odoo_datos2[[#This Row],[Finf2]]="",0,1)</f>
        <v>1</v>
      </c>
      <c r="AE205" s="47">
        <f>IF(_tbl_odoo_datos2[[#This Row],[FGer2]]="",0,1)</f>
        <v>0</v>
      </c>
      <c r="AF205" s="2">
        <f>IF(_tbl_odoo_datos2[[#This Row],[Finf2]]="",_tbl_odoo_datos2[[#This Row],[FGer2]],_tbl_odoo_datos2[[#This Row],[Finf2]])</f>
        <v>45657</v>
      </c>
    </row>
    <row r="206" spans="1:32" x14ac:dyDescent="0.25">
      <c r="A206" s="12" t="s">
        <v>445</v>
      </c>
      <c r="B206" s="12">
        <v>303</v>
      </c>
      <c r="C206" s="47" t="s">
        <v>239</v>
      </c>
      <c r="D206" s="47">
        <v>247614</v>
      </c>
      <c r="E206" s="49" t="s">
        <v>238</v>
      </c>
      <c r="F206" s="12">
        <v>30</v>
      </c>
      <c r="G206" s="49" t="s">
        <v>44</v>
      </c>
      <c r="H206" s="12">
        <v>195</v>
      </c>
      <c r="I206" s="47" t="s">
        <v>78</v>
      </c>
      <c r="J206" t="s">
        <v>46</v>
      </c>
      <c r="K206" s="47"/>
      <c r="L206" s="47"/>
      <c r="M206" s="47"/>
      <c r="N206" s="12"/>
      <c r="O206" s="49"/>
      <c r="P206" s="47">
        <v>1</v>
      </c>
      <c r="Q206" s="49">
        <v>1</v>
      </c>
      <c r="R206" s="12">
        <v>1</v>
      </c>
      <c r="S206" s="49">
        <v>1</v>
      </c>
      <c r="T206" s="12"/>
      <c r="U206" s="49"/>
      <c r="V206" s="2">
        <v>45658</v>
      </c>
      <c r="W206" s="2">
        <v>1</v>
      </c>
      <c r="X206" s="2">
        <v>45716</v>
      </c>
      <c r="Y206" s="2"/>
      <c r="Z206" s="2"/>
      <c r="AA206" s="47"/>
      <c r="AB206" s="2">
        <v>45688</v>
      </c>
      <c r="AC206" s="2"/>
      <c r="AD206" s="47">
        <f>IF(_tbl_odoo_datos2[[#This Row],[Finf2]]="",0,1)</f>
        <v>1</v>
      </c>
      <c r="AE206" s="47">
        <f>IF(_tbl_odoo_datos2[[#This Row],[FGer2]]="",0,1)</f>
        <v>0</v>
      </c>
      <c r="AF206" s="2">
        <f>IF(_tbl_odoo_datos2[[#This Row],[Finf2]]="",_tbl_odoo_datos2[[#This Row],[FGer2]],_tbl_odoo_datos2[[#This Row],[Finf2]])</f>
        <v>45688</v>
      </c>
    </row>
    <row r="207" spans="1:32" x14ac:dyDescent="0.25">
      <c r="A207" s="12" t="s">
        <v>445</v>
      </c>
      <c r="B207" s="12">
        <v>327</v>
      </c>
      <c r="C207" s="47" t="s">
        <v>240</v>
      </c>
      <c r="D207" s="47">
        <v>247795</v>
      </c>
      <c r="E207" s="49" t="s">
        <v>56</v>
      </c>
      <c r="F207" s="12">
        <v>22</v>
      </c>
      <c r="G207" s="49" t="s">
        <v>77</v>
      </c>
      <c r="H207" s="12">
        <v>3201</v>
      </c>
      <c r="I207" s="47" t="s">
        <v>183</v>
      </c>
      <c r="J207" t="s">
        <v>46</v>
      </c>
      <c r="K207" s="47"/>
      <c r="L207" s="47"/>
      <c r="M207" s="47"/>
      <c r="N207" s="12"/>
      <c r="O207" s="49"/>
      <c r="P207" s="47">
        <v>1</v>
      </c>
      <c r="Q207" s="49">
        <v>1</v>
      </c>
      <c r="R207" s="12">
        <v>1</v>
      </c>
      <c r="S207" s="49">
        <v>1</v>
      </c>
      <c r="T207" s="12"/>
      <c r="U207" s="49"/>
      <c r="V207" s="2">
        <v>45658</v>
      </c>
      <c r="W207" s="2">
        <v>1</v>
      </c>
      <c r="X207" s="2">
        <v>45702</v>
      </c>
      <c r="Y207" s="2"/>
      <c r="Z207" s="2"/>
      <c r="AA207" s="47" t="s">
        <v>241</v>
      </c>
      <c r="AB207" s="2">
        <v>45688</v>
      </c>
      <c r="AC207" s="2"/>
      <c r="AD207" s="47">
        <f>IF(_tbl_odoo_datos2[[#This Row],[Finf2]]="",0,1)</f>
        <v>1</v>
      </c>
      <c r="AE207" s="47">
        <f>IF(_tbl_odoo_datos2[[#This Row],[FGer2]]="",0,1)</f>
        <v>0</v>
      </c>
      <c r="AF207" s="2">
        <f>IF(_tbl_odoo_datos2[[#This Row],[Finf2]]="",_tbl_odoo_datos2[[#This Row],[FGer2]],_tbl_odoo_datos2[[#This Row],[Finf2]])</f>
        <v>45688</v>
      </c>
    </row>
    <row r="208" spans="1:32" x14ac:dyDescent="0.25">
      <c r="A208" s="12" t="s">
        <v>445</v>
      </c>
      <c r="B208" s="12">
        <v>361</v>
      </c>
      <c r="C208" s="47" t="s">
        <v>242</v>
      </c>
      <c r="D208" s="47">
        <v>247556</v>
      </c>
      <c r="E208" s="49" t="s">
        <v>59</v>
      </c>
      <c r="F208" s="12">
        <v>27</v>
      </c>
      <c r="G208" s="49" t="s">
        <v>178</v>
      </c>
      <c r="H208" s="12">
        <v>3201</v>
      </c>
      <c r="I208" s="47" t="s">
        <v>183</v>
      </c>
      <c r="J208" t="s">
        <v>46</v>
      </c>
      <c r="K208" s="47"/>
      <c r="L208" s="47"/>
      <c r="M208" s="47"/>
      <c r="N208" s="12"/>
      <c r="O208" s="49"/>
      <c r="P208" s="47">
        <v>1</v>
      </c>
      <c r="Q208" s="49">
        <v>1</v>
      </c>
      <c r="R208" s="12">
        <v>1</v>
      </c>
      <c r="S208" s="49">
        <v>1</v>
      </c>
      <c r="T208" s="12"/>
      <c r="U208" s="49"/>
      <c r="V208" s="2">
        <v>45687</v>
      </c>
      <c r="W208" s="2">
        <v>1</v>
      </c>
      <c r="X208" s="2">
        <v>45777</v>
      </c>
      <c r="Y208" s="2"/>
      <c r="Z208" s="2"/>
      <c r="AA208" s="47" t="s">
        <v>243</v>
      </c>
      <c r="AB208" s="2">
        <v>45747</v>
      </c>
      <c r="AC208" s="2"/>
      <c r="AD208" s="47">
        <f>IF(_tbl_odoo_datos2[[#This Row],[Finf2]]="",0,1)</f>
        <v>1</v>
      </c>
      <c r="AE208" s="47">
        <f>IF(_tbl_odoo_datos2[[#This Row],[FGer2]]="",0,1)</f>
        <v>0</v>
      </c>
      <c r="AF208" s="2">
        <f>IF(_tbl_odoo_datos2[[#This Row],[Finf2]]="",_tbl_odoo_datos2[[#This Row],[FGer2]],_tbl_odoo_datos2[[#This Row],[Finf2]])</f>
        <v>45747</v>
      </c>
    </row>
    <row r="209" spans="1:32" x14ac:dyDescent="0.25">
      <c r="A209" s="12" t="s">
        <v>445</v>
      </c>
      <c r="B209" s="12">
        <v>352</v>
      </c>
      <c r="C209" s="47" t="s">
        <v>244</v>
      </c>
      <c r="D209" s="47"/>
      <c r="E209" s="49"/>
      <c r="F209" s="12">
        <v>21</v>
      </c>
      <c r="G209" s="49" t="s">
        <v>69</v>
      </c>
      <c r="H209" s="12">
        <v>3201</v>
      </c>
      <c r="I209" s="47" t="s">
        <v>183</v>
      </c>
      <c r="J209" t="s">
        <v>46</v>
      </c>
      <c r="K209" s="47"/>
      <c r="L209" s="47"/>
      <c r="M209" s="47"/>
      <c r="N209" s="12"/>
      <c r="O209" s="49"/>
      <c r="P209" s="47">
        <v>1</v>
      </c>
      <c r="Q209" s="49">
        <v>1</v>
      </c>
      <c r="R209" s="12">
        <v>1</v>
      </c>
      <c r="S209" s="49">
        <v>1</v>
      </c>
      <c r="T209" s="12"/>
      <c r="U209" s="49"/>
      <c r="V209" s="2">
        <v>45658</v>
      </c>
      <c r="W209" s="2">
        <v>1</v>
      </c>
      <c r="X209" s="2">
        <v>45688</v>
      </c>
      <c r="Y209" s="2"/>
      <c r="Z209" s="2"/>
      <c r="AA209" s="47"/>
      <c r="AB209" s="2">
        <v>45657</v>
      </c>
      <c r="AC209" s="2"/>
      <c r="AD209" s="47">
        <f>IF(_tbl_odoo_datos2[[#This Row],[Finf2]]="",0,1)</f>
        <v>1</v>
      </c>
      <c r="AE209" s="47">
        <f>IF(_tbl_odoo_datos2[[#This Row],[FGer2]]="",0,1)</f>
        <v>0</v>
      </c>
      <c r="AF209" s="2">
        <f>IF(_tbl_odoo_datos2[[#This Row],[Finf2]]="",_tbl_odoo_datos2[[#This Row],[FGer2]],_tbl_odoo_datos2[[#This Row],[Finf2]])</f>
        <v>45657</v>
      </c>
    </row>
    <row r="210" spans="1:32" x14ac:dyDescent="0.25">
      <c r="A210" s="12" t="s">
        <v>445</v>
      </c>
      <c r="B210" s="12">
        <v>338</v>
      </c>
      <c r="C210" s="47" t="s">
        <v>245</v>
      </c>
      <c r="D210" s="47">
        <v>247857</v>
      </c>
      <c r="E210" s="49" t="s">
        <v>62</v>
      </c>
      <c r="F210" s="12">
        <v>21</v>
      </c>
      <c r="G210" s="49" t="s">
        <v>69</v>
      </c>
      <c r="H210" s="12">
        <v>3204</v>
      </c>
      <c r="I210" s="47" t="s">
        <v>196</v>
      </c>
      <c r="J210" t="s">
        <v>46</v>
      </c>
      <c r="K210" s="47"/>
      <c r="L210" s="47"/>
      <c r="M210" s="47"/>
      <c r="N210" s="12"/>
      <c r="O210" s="49"/>
      <c r="P210" s="47">
        <v>1</v>
      </c>
      <c r="Q210" s="49">
        <v>1</v>
      </c>
      <c r="R210" s="12">
        <v>1</v>
      </c>
      <c r="S210" s="49">
        <v>1</v>
      </c>
      <c r="T210" s="12"/>
      <c r="U210" s="49"/>
      <c r="V210" s="2">
        <v>45658</v>
      </c>
      <c r="W210" s="2">
        <v>1</v>
      </c>
      <c r="X210" s="2">
        <v>45688</v>
      </c>
      <c r="Y210" s="2"/>
      <c r="Z210" s="2"/>
      <c r="AA210" s="47"/>
      <c r="AB210" s="2">
        <v>45657</v>
      </c>
      <c r="AC210" s="2"/>
      <c r="AD210" s="47">
        <f>IF(_tbl_odoo_datos2[[#This Row],[Finf2]]="",0,1)</f>
        <v>1</v>
      </c>
      <c r="AE210" s="47">
        <f>IF(_tbl_odoo_datos2[[#This Row],[FGer2]]="",0,1)</f>
        <v>0</v>
      </c>
      <c r="AF210" s="2">
        <f>IF(_tbl_odoo_datos2[[#This Row],[Finf2]]="",_tbl_odoo_datos2[[#This Row],[FGer2]],_tbl_odoo_datos2[[#This Row],[Finf2]])</f>
        <v>45657</v>
      </c>
    </row>
    <row r="211" spans="1:32" x14ac:dyDescent="0.25">
      <c r="A211" s="12" t="s">
        <v>445</v>
      </c>
      <c r="B211" s="12">
        <v>369</v>
      </c>
      <c r="C211" s="47" t="s">
        <v>246</v>
      </c>
      <c r="D211" s="47">
        <v>289006</v>
      </c>
      <c r="E211" s="49" t="s">
        <v>76</v>
      </c>
      <c r="F211" s="12">
        <v>21</v>
      </c>
      <c r="G211" s="49" t="s">
        <v>69</v>
      </c>
      <c r="H211" s="12">
        <v>3200</v>
      </c>
      <c r="I211" s="47" t="s">
        <v>179</v>
      </c>
      <c r="J211" t="s">
        <v>46</v>
      </c>
      <c r="K211" s="47"/>
      <c r="L211" s="47"/>
      <c r="M211" s="47"/>
      <c r="N211" s="12"/>
      <c r="O211" s="49"/>
      <c r="P211" s="47">
        <v>2</v>
      </c>
      <c r="Q211" s="49">
        <v>2</v>
      </c>
      <c r="R211" s="12">
        <v>2</v>
      </c>
      <c r="S211" s="49">
        <v>2</v>
      </c>
      <c r="T211" s="12"/>
      <c r="U211" s="49"/>
      <c r="V211" s="2">
        <v>45685</v>
      </c>
      <c r="W211" s="2">
        <v>1</v>
      </c>
      <c r="X211" s="2">
        <v>45700</v>
      </c>
      <c r="Y211" s="2"/>
      <c r="Z211" s="2"/>
      <c r="AA211" s="47" t="s">
        <v>247</v>
      </c>
      <c r="AB211" s="2">
        <v>45688</v>
      </c>
      <c r="AC211" s="2"/>
      <c r="AD211" s="47">
        <f>IF(_tbl_odoo_datos2[[#This Row],[Finf2]]="",0,1)</f>
        <v>1</v>
      </c>
      <c r="AE211" s="47">
        <f>IF(_tbl_odoo_datos2[[#This Row],[FGer2]]="",0,1)</f>
        <v>0</v>
      </c>
      <c r="AF211" s="2">
        <f>IF(_tbl_odoo_datos2[[#This Row],[Finf2]]="",_tbl_odoo_datos2[[#This Row],[FGer2]],_tbl_odoo_datos2[[#This Row],[Finf2]])</f>
        <v>45688</v>
      </c>
    </row>
    <row r="212" spans="1:32" x14ac:dyDescent="0.25">
      <c r="A212" s="12" t="s">
        <v>445</v>
      </c>
      <c r="B212" s="12">
        <v>0</v>
      </c>
      <c r="C212" s="47" t="s">
        <v>248</v>
      </c>
      <c r="D212" s="47">
        <v>247791</v>
      </c>
      <c r="E212" s="49" t="s">
        <v>182</v>
      </c>
      <c r="F212" s="12">
        <v>28</v>
      </c>
      <c r="G212" s="49" t="s">
        <v>52</v>
      </c>
      <c r="H212" s="12">
        <v>3201</v>
      </c>
      <c r="I212" s="47" t="s">
        <v>183</v>
      </c>
      <c r="J212" t="s">
        <v>46</v>
      </c>
      <c r="K212" s="47"/>
      <c r="L212" s="47">
        <v>2</v>
      </c>
      <c r="M212" s="47" t="s">
        <v>184</v>
      </c>
      <c r="N212" s="12">
        <v>2</v>
      </c>
      <c r="O212" s="49" t="s">
        <v>171</v>
      </c>
      <c r="P212" s="47">
        <v>2</v>
      </c>
      <c r="Q212" s="49">
        <v>2</v>
      </c>
      <c r="R212" s="12">
        <v>2</v>
      </c>
      <c r="S212" s="49">
        <v>2</v>
      </c>
      <c r="T212" s="12">
        <v>1</v>
      </c>
      <c r="U212" s="49" t="s">
        <v>172</v>
      </c>
      <c r="V212" s="2">
        <v>45705</v>
      </c>
      <c r="W212" s="2"/>
      <c r="X212" s="2"/>
      <c r="Y212" s="2"/>
      <c r="Z212" s="2"/>
      <c r="AA212" s="47"/>
      <c r="AB212" s="2"/>
      <c r="AC212" s="2"/>
      <c r="AD212" s="47">
        <f>IF(_tbl_odoo_datos2[[#This Row],[Finf2]]="",0,1)</f>
        <v>0</v>
      </c>
      <c r="AE212" s="47">
        <f>IF(_tbl_odoo_datos2[[#This Row],[FGer2]]="",0,1)</f>
        <v>0</v>
      </c>
      <c r="AF212" s="2">
        <f>IF(_tbl_odoo_datos2[[#This Row],[Finf2]]="",_tbl_odoo_datos2[[#This Row],[FGer2]],_tbl_odoo_datos2[[#This Row],[Finf2]])</f>
        <v>0</v>
      </c>
    </row>
    <row r="213" spans="1:32" x14ac:dyDescent="0.25">
      <c r="A213" s="12" t="s">
        <v>445</v>
      </c>
      <c r="B213" s="12">
        <v>325</v>
      </c>
      <c r="C213" s="47" t="s">
        <v>249</v>
      </c>
      <c r="D213" s="47"/>
      <c r="E213" s="49"/>
      <c r="F213" s="12">
        <v>22</v>
      </c>
      <c r="G213" s="49" t="s">
        <v>77</v>
      </c>
      <c r="H213" s="12">
        <v>2767</v>
      </c>
      <c r="I213" s="47" t="s">
        <v>118</v>
      </c>
      <c r="J213" t="s">
        <v>46</v>
      </c>
      <c r="K213" s="47" t="b">
        <v>1</v>
      </c>
      <c r="L213" s="47"/>
      <c r="M213" s="47"/>
      <c r="N213" s="12"/>
      <c r="O213" s="49"/>
      <c r="P213" s="47">
        <v>1</v>
      </c>
      <c r="Q213" s="49">
        <v>1</v>
      </c>
      <c r="R213" s="12">
        <v>1</v>
      </c>
      <c r="S213" s="49">
        <v>1</v>
      </c>
      <c r="T213" s="12"/>
      <c r="U213" s="49"/>
      <c r="V213" s="2">
        <v>45658</v>
      </c>
      <c r="W213" s="2">
        <v>1</v>
      </c>
      <c r="X213" s="2">
        <v>45688</v>
      </c>
      <c r="Y213" s="2"/>
      <c r="Z213" s="2"/>
      <c r="AA213" s="47" t="s">
        <v>250</v>
      </c>
      <c r="AB213" s="2">
        <v>45657</v>
      </c>
      <c r="AC213" s="2"/>
      <c r="AD213" s="47">
        <f>IF(_tbl_odoo_datos2[[#This Row],[Finf2]]="",0,1)</f>
        <v>1</v>
      </c>
      <c r="AE213" s="47">
        <f>IF(_tbl_odoo_datos2[[#This Row],[FGer2]]="",0,1)</f>
        <v>0</v>
      </c>
      <c r="AF213" s="2">
        <f>IF(_tbl_odoo_datos2[[#This Row],[Finf2]]="",_tbl_odoo_datos2[[#This Row],[FGer2]],_tbl_odoo_datos2[[#This Row],[Finf2]])</f>
        <v>45657</v>
      </c>
    </row>
    <row r="214" spans="1:32" x14ac:dyDescent="0.25">
      <c r="A214" s="12" t="s">
        <v>445</v>
      </c>
      <c r="B214" s="12">
        <v>0</v>
      </c>
      <c r="C214" s="47" t="s">
        <v>251</v>
      </c>
      <c r="D214" s="47">
        <v>289006</v>
      </c>
      <c r="E214" s="49" t="s">
        <v>76</v>
      </c>
      <c r="F214" s="12">
        <v>22</v>
      </c>
      <c r="G214" s="49" t="s">
        <v>77</v>
      </c>
      <c r="H214" s="12">
        <v>3204</v>
      </c>
      <c r="I214" s="47" t="s">
        <v>196</v>
      </c>
      <c r="J214" t="s">
        <v>46</v>
      </c>
      <c r="K214" s="47"/>
      <c r="L214" s="47"/>
      <c r="M214" s="47"/>
      <c r="N214" s="12"/>
      <c r="O214" s="49"/>
      <c r="P214" s="47"/>
      <c r="Q214" s="49"/>
      <c r="R214" s="12"/>
      <c r="S214" s="49"/>
      <c r="T214" s="12"/>
      <c r="U214" s="49"/>
      <c r="V214" s="2">
        <v>45700</v>
      </c>
      <c r="W214" s="2">
        <v>45700</v>
      </c>
      <c r="X214" s="2">
        <v>45700</v>
      </c>
      <c r="Y214" s="2"/>
      <c r="Z214" s="2">
        <v>45700</v>
      </c>
      <c r="AA214" s="47"/>
      <c r="AB214" s="2">
        <v>45688</v>
      </c>
      <c r="AC214" s="2"/>
      <c r="AD214" s="47">
        <f>IF(_tbl_odoo_datos2[[#This Row],[Finf2]]="",0,1)</f>
        <v>1</v>
      </c>
      <c r="AE214" s="47">
        <f>IF(_tbl_odoo_datos2[[#This Row],[FGer2]]="",0,1)</f>
        <v>0</v>
      </c>
      <c r="AF214" s="2">
        <f>IF(_tbl_odoo_datos2[[#This Row],[Finf2]]="",_tbl_odoo_datos2[[#This Row],[FGer2]],_tbl_odoo_datos2[[#This Row],[Finf2]])</f>
        <v>45688</v>
      </c>
    </row>
    <row r="215" spans="1:32" x14ac:dyDescent="0.25">
      <c r="A215" s="12" t="s">
        <v>445</v>
      </c>
      <c r="B215" s="12">
        <v>335</v>
      </c>
      <c r="C215" s="47" t="s">
        <v>252</v>
      </c>
      <c r="D215" s="47">
        <v>247417</v>
      </c>
      <c r="E215" s="49" t="s">
        <v>222</v>
      </c>
      <c r="F215" s="12">
        <v>21</v>
      </c>
      <c r="G215" s="49" t="s">
        <v>69</v>
      </c>
      <c r="H215" s="12">
        <v>3204</v>
      </c>
      <c r="I215" s="47" t="s">
        <v>196</v>
      </c>
      <c r="J215" t="s">
        <v>46</v>
      </c>
      <c r="K215" s="47"/>
      <c r="L215" s="47"/>
      <c r="M215" s="47"/>
      <c r="N215" s="12"/>
      <c r="O215" s="49"/>
      <c r="P215" s="47">
        <v>1</v>
      </c>
      <c r="Q215" s="49">
        <v>1</v>
      </c>
      <c r="R215" s="12">
        <v>1</v>
      </c>
      <c r="S215" s="49">
        <v>1</v>
      </c>
      <c r="T215" s="12"/>
      <c r="U215" s="49"/>
      <c r="V215" s="2">
        <v>45658</v>
      </c>
      <c r="W215" s="2">
        <v>1</v>
      </c>
      <c r="X215" s="2">
        <v>45688</v>
      </c>
      <c r="Y215" s="2"/>
      <c r="Z215" s="2"/>
      <c r="AA215" s="47" t="s">
        <v>253</v>
      </c>
      <c r="AB215" s="2">
        <v>45657</v>
      </c>
      <c r="AC215" s="2"/>
      <c r="AD215" s="47">
        <f>IF(_tbl_odoo_datos2[[#This Row],[Finf2]]="",0,1)</f>
        <v>1</v>
      </c>
      <c r="AE215" s="47">
        <f>IF(_tbl_odoo_datos2[[#This Row],[FGer2]]="",0,1)</f>
        <v>0</v>
      </c>
      <c r="AF215" s="2">
        <f>IF(_tbl_odoo_datos2[[#This Row],[Finf2]]="",_tbl_odoo_datos2[[#This Row],[FGer2]],_tbl_odoo_datos2[[#This Row],[Finf2]])</f>
        <v>45657</v>
      </c>
    </row>
    <row r="216" spans="1:32" x14ac:dyDescent="0.25">
      <c r="A216" s="12" t="s">
        <v>445</v>
      </c>
      <c r="B216" s="12">
        <v>366</v>
      </c>
      <c r="C216" s="47" t="s">
        <v>254</v>
      </c>
      <c r="D216" s="47"/>
      <c r="E216" s="49"/>
      <c r="F216" s="12">
        <v>22</v>
      </c>
      <c r="G216" s="49" t="s">
        <v>77</v>
      </c>
      <c r="H216" s="12">
        <v>195</v>
      </c>
      <c r="I216" s="47" t="s">
        <v>78</v>
      </c>
      <c r="J216" t="s">
        <v>46</v>
      </c>
      <c r="K216" s="47" t="b">
        <v>1</v>
      </c>
      <c r="L216" s="47"/>
      <c r="M216" s="47"/>
      <c r="N216" s="12"/>
      <c r="O216" s="49"/>
      <c r="P216" s="47"/>
      <c r="Q216" s="49"/>
      <c r="R216" s="12">
        <v>1</v>
      </c>
      <c r="S216" s="49">
        <v>1</v>
      </c>
      <c r="T216" s="12"/>
      <c r="U216" s="49"/>
      <c r="V216" s="2">
        <v>45658</v>
      </c>
      <c r="W216" s="2">
        <v>1</v>
      </c>
      <c r="X216" s="2">
        <v>45688</v>
      </c>
      <c r="Y216" s="2"/>
      <c r="Z216" s="2"/>
      <c r="AA216" s="47"/>
      <c r="AB216" s="2">
        <v>45657</v>
      </c>
      <c r="AC216" s="2"/>
      <c r="AD216" s="47">
        <f>IF(_tbl_odoo_datos2[[#This Row],[Finf2]]="",0,1)</f>
        <v>1</v>
      </c>
      <c r="AE216" s="47">
        <f>IF(_tbl_odoo_datos2[[#This Row],[FGer2]]="",0,1)</f>
        <v>0</v>
      </c>
      <c r="AF216" s="2">
        <f>IF(_tbl_odoo_datos2[[#This Row],[Finf2]]="",_tbl_odoo_datos2[[#This Row],[FGer2]],_tbl_odoo_datos2[[#This Row],[Finf2]])</f>
        <v>45657</v>
      </c>
    </row>
    <row r="217" spans="1:32" x14ac:dyDescent="0.25">
      <c r="A217" s="12" t="s">
        <v>445</v>
      </c>
      <c r="B217" s="12">
        <v>333</v>
      </c>
      <c r="C217" s="47" t="s">
        <v>255</v>
      </c>
      <c r="D217" s="47"/>
      <c r="E217" s="49"/>
      <c r="F217" s="12">
        <v>21</v>
      </c>
      <c r="G217" s="49" t="s">
        <v>69</v>
      </c>
      <c r="H217" s="12">
        <v>3203</v>
      </c>
      <c r="I217" s="47" t="s">
        <v>127</v>
      </c>
      <c r="J217" t="s">
        <v>46</v>
      </c>
      <c r="K217" s="47"/>
      <c r="L217" s="47"/>
      <c r="M217" s="47"/>
      <c r="N217" s="12"/>
      <c r="O217" s="49"/>
      <c r="P217" s="47">
        <v>1</v>
      </c>
      <c r="Q217" s="49">
        <v>1</v>
      </c>
      <c r="R217" s="12">
        <v>2</v>
      </c>
      <c r="S217" s="49">
        <v>2</v>
      </c>
      <c r="T217" s="12"/>
      <c r="U217" s="49"/>
      <c r="V217" s="2">
        <v>45658</v>
      </c>
      <c r="W217" s="2">
        <v>1</v>
      </c>
      <c r="X217" s="2">
        <v>45688</v>
      </c>
      <c r="Y217" s="2"/>
      <c r="Z217" s="2"/>
      <c r="AA217" s="47"/>
      <c r="AB217" s="2">
        <v>45657</v>
      </c>
      <c r="AC217" s="2"/>
      <c r="AD217" s="47">
        <f>IF(_tbl_odoo_datos2[[#This Row],[Finf2]]="",0,1)</f>
        <v>1</v>
      </c>
      <c r="AE217" s="47">
        <f>IF(_tbl_odoo_datos2[[#This Row],[FGer2]]="",0,1)</f>
        <v>0</v>
      </c>
      <c r="AF217" s="2">
        <f>IF(_tbl_odoo_datos2[[#This Row],[Finf2]]="",_tbl_odoo_datos2[[#This Row],[FGer2]],_tbl_odoo_datos2[[#This Row],[Finf2]])</f>
        <v>45657</v>
      </c>
    </row>
    <row r="218" spans="1:32" x14ac:dyDescent="0.25">
      <c r="A218" s="12" t="s">
        <v>445</v>
      </c>
      <c r="B218" s="12">
        <v>276</v>
      </c>
      <c r="C218" s="47" t="s">
        <v>256</v>
      </c>
      <c r="D218" s="47">
        <v>247888</v>
      </c>
      <c r="E218" s="49" t="s">
        <v>157</v>
      </c>
      <c r="F218" s="12">
        <v>30</v>
      </c>
      <c r="G218" s="49" t="s">
        <v>44</v>
      </c>
      <c r="H218" s="12">
        <v>3198</v>
      </c>
      <c r="I218" s="47" t="s">
        <v>53</v>
      </c>
      <c r="J218" t="s">
        <v>46</v>
      </c>
      <c r="K218" s="47"/>
      <c r="L218" s="47"/>
      <c r="M218" s="47"/>
      <c r="N218" s="12"/>
      <c r="O218" s="49"/>
      <c r="P218" s="47">
        <v>1</v>
      </c>
      <c r="Q218" s="49">
        <v>1</v>
      </c>
      <c r="R218" s="12">
        <v>1</v>
      </c>
      <c r="S218" s="49">
        <v>1</v>
      </c>
      <c r="T218" s="12"/>
      <c r="U218" s="49"/>
      <c r="V218" s="2">
        <v>45658</v>
      </c>
      <c r="W218" s="2">
        <v>1</v>
      </c>
      <c r="X218" s="2">
        <v>45961</v>
      </c>
      <c r="Y218" s="2"/>
      <c r="Z218" s="2"/>
      <c r="AA218" s="47" t="s">
        <v>257</v>
      </c>
      <c r="AB218" s="2">
        <v>45930</v>
      </c>
      <c r="AC218" s="2"/>
      <c r="AD218" s="47">
        <f>IF(_tbl_odoo_datos2[[#This Row],[Finf2]]="",0,1)</f>
        <v>1</v>
      </c>
      <c r="AE218" s="47">
        <f>IF(_tbl_odoo_datos2[[#This Row],[FGer2]]="",0,1)</f>
        <v>0</v>
      </c>
      <c r="AF218" s="2">
        <f>IF(_tbl_odoo_datos2[[#This Row],[Finf2]]="",_tbl_odoo_datos2[[#This Row],[FGer2]],_tbl_odoo_datos2[[#This Row],[Finf2]])</f>
        <v>45930</v>
      </c>
    </row>
    <row r="219" spans="1:32" x14ac:dyDescent="0.25">
      <c r="A219" s="12" t="s">
        <v>445</v>
      </c>
      <c r="B219" s="12">
        <v>332</v>
      </c>
      <c r="C219" s="47" t="s">
        <v>258</v>
      </c>
      <c r="D219" s="47">
        <v>247722</v>
      </c>
      <c r="E219" s="49" t="s">
        <v>117</v>
      </c>
      <c r="F219" s="12">
        <v>30</v>
      </c>
      <c r="G219" s="49" t="s">
        <v>44</v>
      </c>
      <c r="H219" s="12">
        <v>195</v>
      </c>
      <c r="I219" s="47" t="s">
        <v>78</v>
      </c>
      <c r="J219" t="s">
        <v>46</v>
      </c>
      <c r="K219" s="47"/>
      <c r="L219" s="47"/>
      <c r="M219" s="47"/>
      <c r="N219" s="12"/>
      <c r="O219" s="49"/>
      <c r="P219" s="47">
        <v>1</v>
      </c>
      <c r="Q219" s="49">
        <v>1</v>
      </c>
      <c r="R219" s="12">
        <v>2</v>
      </c>
      <c r="S219" s="49">
        <v>2</v>
      </c>
      <c r="T219" s="12"/>
      <c r="U219" s="49"/>
      <c r="V219" s="2">
        <v>45658</v>
      </c>
      <c r="W219" s="2">
        <v>1</v>
      </c>
      <c r="X219" s="2">
        <v>45702</v>
      </c>
      <c r="Y219" s="2"/>
      <c r="Z219" s="2"/>
      <c r="AA219" s="47" t="s">
        <v>259</v>
      </c>
      <c r="AB219" s="2">
        <v>45688</v>
      </c>
      <c r="AC219" s="2"/>
      <c r="AD219" s="47">
        <f>IF(_tbl_odoo_datos2[[#This Row],[Finf2]]="",0,1)</f>
        <v>1</v>
      </c>
      <c r="AE219" s="47">
        <f>IF(_tbl_odoo_datos2[[#This Row],[FGer2]]="",0,1)</f>
        <v>0</v>
      </c>
      <c r="AF219" s="2">
        <f>IF(_tbl_odoo_datos2[[#This Row],[Finf2]]="",_tbl_odoo_datos2[[#This Row],[FGer2]],_tbl_odoo_datos2[[#This Row],[Finf2]])</f>
        <v>45688</v>
      </c>
    </row>
    <row r="220" spans="1:32" x14ac:dyDescent="0.25">
      <c r="A220" s="12" t="s">
        <v>445</v>
      </c>
      <c r="B220" s="12">
        <v>292</v>
      </c>
      <c r="C220" s="47" t="s">
        <v>260</v>
      </c>
      <c r="D220" s="47"/>
      <c r="E220" s="49"/>
      <c r="F220" s="12">
        <v>21</v>
      </c>
      <c r="G220" s="49" t="s">
        <v>69</v>
      </c>
      <c r="H220" s="12">
        <v>195</v>
      </c>
      <c r="I220" s="47" t="s">
        <v>78</v>
      </c>
      <c r="J220" t="s">
        <v>46</v>
      </c>
      <c r="K220" s="47"/>
      <c r="L220" s="47"/>
      <c r="M220" s="47"/>
      <c r="N220" s="12"/>
      <c r="O220" s="49"/>
      <c r="P220" s="47">
        <v>1</v>
      </c>
      <c r="Q220" s="49">
        <v>1</v>
      </c>
      <c r="R220" s="12">
        <v>2</v>
      </c>
      <c r="S220" s="49">
        <v>2</v>
      </c>
      <c r="T220" s="12"/>
      <c r="U220" s="49"/>
      <c r="V220" s="2">
        <v>45658</v>
      </c>
      <c r="W220" s="2">
        <v>1</v>
      </c>
      <c r="X220" s="2">
        <v>45688</v>
      </c>
      <c r="Y220" s="2"/>
      <c r="Z220" s="2"/>
      <c r="AA220" s="47"/>
      <c r="AB220" s="2">
        <v>45657</v>
      </c>
      <c r="AC220" s="2"/>
      <c r="AD220" s="47">
        <f>IF(_tbl_odoo_datos2[[#This Row],[Finf2]]="",0,1)</f>
        <v>1</v>
      </c>
      <c r="AE220" s="47">
        <f>IF(_tbl_odoo_datos2[[#This Row],[FGer2]]="",0,1)</f>
        <v>0</v>
      </c>
      <c r="AF220" s="2">
        <f>IF(_tbl_odoo_datos2[[#This Row],[Finf2]]="",_tbl_odoo_datos2[[#This Row],[FGer2]],_tbl_odoo_datos2[[#This Row],[Finf2]])</f>
        <v>45657</v>
      </c>
    </row>
    <row r="221" spans="1:32" x14ac:dyDescent="0.25">
      <c r="A221" s="12" t="s">
        <v>445</v>
      </c>
      <c r="B221" s="12">
        <v>0</v>
      </c>
      <c r="C221" s="47" t="s">
        <v>261</v>
      </c>
      <c r="D221" s="47">
        <v>289036</v>
      </c>
      <c r="E221" s="49" t="s">
        <v>262</v>
      </c>
      <c r="F221" s="12">
        <v>22</v>
      </c>
      <c r="G221" s="49" t="s">
        <v>77</v>
      </c>
      <c r="H221" s="12">
        <v>3204</v>
      </c>
      <c r="I221" s="47" t="s">
        <v>196</v>
      </c>
      <c r="J221" t="s">
        <v>46</v>
      </c>
      <c r="K221" s="47"/>
      <c r="L221" s="47">
        <v>4</v>
      </c>
      <c r="M221" s="47" t="s">
        <v>175</v>
      </c>
      <c r="N221" s="12">
        <v>1</v>
      </c>
      <c r="O221" s="49" t="s">
        <v>176</v>
      </c>
      <c r="P221" s="47">
        <v>2</v>
      </c>
      <c r="Q221" s="49">
        <v>2</v>
      </c>
      <c r="R221" s="12">
        <v>2</v>
      </c>
      <c r="S221" s="49">
        <v>2</v>
      </c>
      <c r="T221" s="12">
        <v>1</v>
      </c>
      <c r="U221" s="49" t="s">
        <v>172</v>
      </c>
      <c r="V221" s="2">
        <v>45699</v>
      </c>
      <c r="W221" s="2">
        <v>45699</v>
      </c>
      <c r="X221" s="2">
        <v>45699</v>
      </c>
      <c r="Y221" s="2"/>
      <c r="Z221" s="2">
        <v>45699</v>
      </c>
      <c r="AA221" s="47"/>
      <c r="AB221" s="2">
        <v>45688</v>
      </c>
      <c r="AC221" s="2"/>
      <c r="AD221" s="47">
        <f>IF(_tbl_odoo_datos2[[#This Row],[Finf2]]="",0,1)</f>
        <v>1</v>
      </c>
      <c r="AE221" s="47">
        <f>IF(_tbl_odoo_datos2[[#This Row],[FGer2]]="",0,1)</f>
        <v>0</v>
      </c>
      <c r="AF221" s="2">
        <f>IF(_tbl_odoo_datos2[[#This Row],[Finf2]]="",_tbl_odoo_datos2[[#This Row],[FGer2]],_tbl_odoo_datos2[[#This Row],[Finf2]])</f>
        <v>45688</v>
      </c>
    </row>
    <row r="222" spans="1:32" x14ac:dyDescent="0.25">
      <c r="A222" s="12" t="s">
        <v>445</v>
      </c>
      <c r="B222" s="12">
        <v>0</v>
      </c>
      <c r="C222" s="47" t="s">
        <v>263</v>
      </c>
      <c r="D222" s="47"/>
      <c r="E222" s="49"/>
      <c r="F222" s="12">
        <v>22</v>
      </c>
      <c r="G222" s="49" t="s">
        <v>77</v>
      </c>
      <c r="H222" s="12">
        <v>2767</v>
      </c>
      <c r="I222" s="47" t="s">
        <v>118</v>
      </c>
      <c r="J222" t="s">
        <v>46</v>
      </c>
      <c r="K222" s="47"/>
      <c r="L222" s="47"/>
      <c r="M222" s="47"/>
      <c r="N222" s="12"/>
      <c r="O222" s="49"/>
      <c r="P222" s="47"/>
      <c r="Q222" s="49"/>
      <c r="R222" s="12"/>
      <c r="S222" s="49"/>
      <c r="T222" s="12"/>
      <c r="U222" s="49"/>
      <c r="V222" s="2">
        <v>45694</v>
      </c>
      <c r="W222" s="2"/>
      <c r="X222" s="2">
        <v>45716</v>
      </c>
      <c r="Y222" s="2"/>
      <c r="Z222" s="2"/>
      <c r="AA222" s="47" t="s">
        <v>264</v>
      </c>
      <c r="AB222" s="2">
        <v>45688</v>
      </c>
      <c r="AC222" s="2"/>
      <c r="AD222" s="47">
        <f>IF(_tbl_odoo_datos2[[#This Row],[Finf2]]="",0,1)</f>
        <v>1</v>
      </c>
      <c r="AE222" s="47">
        <f>IF(_tbl_odoo_datos2[[#This Row],[FGer2]]="",0,1)</f>
        <v>0</v>
      </c>
      <c r="AF222" s="2">
        <f>IF(_tbl_odoo_datos2[[#This Row],[Finf2]]="",_tbl_odoo_datos2[[#This Row],[FGer2]],_tbl_odoo_datos2[[#This Row],[Finf2]])</f>
        <v>45688</v>
      </c>
    </row>
    <row r="223" spans="1:32" x14ac:dyDescent="0.25">
      <c r="A223" s="12" t="s">
        <v>445</v>
      </c>
      <c r="B223" s="12">
        <v>374</v>
      </c>
      <c r="C223" s="47" t="s">
        <v>265</v>
      </c>
      <c r="D223" s="47">
        <v>247807</v>
      </c>
      <c r="E223" s="49" t="s">
        <v>98</v>
      </c>
      <c r="F223" s="12">
        <v>22</v>
      </c>
      <c r="G223" s="49" t="s">
        <v>77</v>
      </c>
      <c r="H223" s="12">
        <v>3201</v>
      </c>
      <c r="I223" s="47" t="s">
        <v>183</v>
      </c>
      <c r="J223" t="s">
        <v>46</v>
      </c>
      <c r="K223" s="47"/>
      <c r="L223" s="47"/>
      <c r="M223" s="47"/>
      <c r="N223" s="12"/>
      <c r="O223" s="49"/>
      <c r="P223" s="47">
        <v>3</v>
      </c>
      <c r="Q223" s="49">
        <v>3</v>
      </c>
      <c r="R223" s="12">
        <v>2</v>
      </c>
      <c r="S223" s="49">
        <v>2</v>
      </c>
      <c r="T223" s="12"/>
      <c r="U223" s="49"/>
      <c r="V223" s="2">
        <v>45688</v>
      </c>
      <c r="W223" s="2">
        <v>1</v>
      </c>
      <c r="X223" s="2">
        <v>45716</v>
      </c>
      <c r="Y223" s="2"/>
      <c r="Z223" s="2"/>
      <c r="AA223" s="47" t="s">
        <v>266</v>
      </c>
      <c r="AB223" s="2">
        <v>45688</v>
      </c>
      <c r="AC223" s="2"/>
      <c r="AD223" s="47">
        <f>IF(_tbl_odoo_datos2[[#This Row],[Finf2]]="",0,1)</f>
        <v>1</v>
      </c>
      <c r="AE223" s="47">
        <f>IF(_tbl_odoo_datos2[[#This Row],[FGer2]]="",0,1)</f>
        <v>0</v>
      </c>
      <c r="AF223" s="2">
        <f>IF(_tbl_odoo_datos2[[#This Row],[Finf2]]="",_tbl_odoo_datos2[[#This Row],[FGer2]],_tbl_odoo_datos2[[#This Row],[Finf2]])</f>
        <v>45688</v>
      </c>
    </row>
    <row r="224" spans="1:32" x14ac:dyDescent="0.25">
      <c r="A224" s="12" t="s">
        <v>445</v>
      </c>
      <c r="B224" s="12">
        <v>317</v>
      </c>
      <c r="C224" s="47" t="s">
        <v>189</v>
      </c>
      <c r="D224" s="47"/>
      <c r="E224" s="49"/>
      <c r="F224" s="12">
        <v>22</v>
      </c>
      <c r="G224" s="49" t="s">
        <v>77</v>
      </c>
      <c r="H224" s="12">
        <v>2767</v>
      </c>
      <c r="I224" s="47" t="s">
        <v>118</v>
      </c>
      <c r="J224" t="s">
        <v>46</v>
      </c>
      <c r="K224" s="47"/>
      <c r="L224" s="47"/>
      <c r="M224" s="47"/>
      <c r="N224" s="12"/>
      <c r="O224" s="49"/>
      <c r="P224" s="47">
        <v>1</v>
      </c>
      <c r="Q224" s="49">
        <v>1</v>
      </c>
      <c r="R224" s="12">
        <v>1</v>
      </c>
      <c r="S224" s="49">
        <v>1</v>
      </c>
      <c r="T224" s="12"/>
      <c r="U224" s="49"/>
      <c r="V224" s="2">
        <v>45658</v>
      </c>
      <c r="W224" s="2">
        <v>1</v>
      </c>
      <c r="X224" s="2">
        <v>45702</v>
      </c>
      <c r="Y224" s="2"/>
      <c r="Z224" s="2"/>
      <c r="AA224" s="47" t="s">
        <v>267</v>
      </c>
      <c r="AB224" s="2">
        <v>45688</v>
      </c>
      <c r="AC224" s="2"/>
      <c r="AD224" s="47">
        <f>IF(_tbl_odoo_datos2[[#This Row],[Finf2]]="",0,1)</f>
        <v>1</v>
      </c>
      <c r="AE224" s="47">
        <f>IF(_tbl_odoo_datos2[[#This Row],[FGer2]]="",0,1)</f>
        <v>0</v>
      </c>
      <c r="AF224" s="2">
        <f>IF(_tbl_odoo_datos2[[#This Row],[Finf2]]="",_tbl_odoo_datos2[[#This Row],[FGer2]],_tbl_odoo_datos2[[#This Row],[Finf2]])</f>
        <v>45688</v>
      </c>
    </row>
    <row r="225" spans="1:32" x14ac:dyDescent="0.25">
      <c r="A225" s="12" t="s">
        <v>445</v>
      </c>
      <c r="B225" s="12">
        <v>334</v>
      </c>
      <c r="C225" s="47" t="s">
        <v>268</v>
      </c>
      <c r="D225" s="47"/>
      <c r="E225" s="49"/>
      <c r="F225" s="12">
        <v>21</v>
      </c>
      <c r="G225" s="49" t="s">
        <v>69</v>
      </c>
      <c r="H225" s="12">
        <v>3203</v>
      </c>
      <c r="I225" s="47" t="s">
        <v>127</v>
      </c>
      <c r="J225" t="s">
        <v>46</v>
      </c>
      <c r="K225" s="47" t="b">
        <v>1</v>
      </c>
      <c r="L225" s="47"/>
      <c r="M225" s="47"/>
      <c r="N225" s="12"/>
      <c r="O225" s="49"/>
      <c r="P225" s="47">
        <v>1</v>
      </c>
      <c r="Q225" s="49">
        <v>1</v>
      </c>
      <c r="R225" s="12">
        <v>3</v>
      </c>
      <c r="S225" s="49">
        <v>3</v>
      </c>
      <c r="T225" s="12"/>
      <c r="U225" s="49"/>
      <c r="V225" s="2">
        <v>45658</v>
      </c>
      <c r="W225" s="2">
        <v>1</v>
      </c>
      <c r="X225" s="2">
        <v>45688</v>
      </c>
      <c r="Y225" s="2"/>
      <c r="Z225" s="2"/>
      <c r="AA225" s="47"/>
      <c r="AB225" s="2">
        <v>45657</v>
      </c>
      <c r="AC225" s="2"/>
      <c r="AD225" s="47">
        <f>IF(_tbl_odoo_datos2[[#This Row],[Finf2]]="",0,1)</f>
        <v>1</v>
      </c>
      <c r="AE225" s="47">
        <f>IF(_tbl_odoo_datos2[[#This Row],[FGer2]]="",0,1)</f>
        <v>0</v>
      </c>
      <c r="AF225" s="2">
        <f>IF(_tbl_odoo_datos2[[#This Row],[Finf2]]="",_tbl_odoo_datos2[[#This Row],[FGer2]],_tbl_odoo_datos2[[#This Row],[Finf2]])</f>
        <v>45657</v>
      </c>
    </row>
    <row r="226" spans="1:32" x14ac:dyDescent="0.25">
      <c r="A226" s="12" t="s">
        <v>445</v>
      </c>
      <c r="B226" s="12">
        <v>0</v>
      </c>
      <c r="C226" s="47" t="s">
        <v>269</v>
      </c>
      <c r="D226" s="47">
        <v>247417</v>
      </c>
      <c r="E226" s="49" t="s">
        <v>222</v>
      </c>
      <c r="F226" s="12">
        <v>22</v>
      </c>
      <c r="G226" s="49" t="s">
        <v>77</v>
      </c>
      <c r="H226" s="12">
        <v>3204</v>
      </c>
      <c r="I226" s="47" t="s">
        <v>196</v>
      </c>
      <c r="J226" t="s">
        <v>46</v>
      </c>
      <c r="K226" s="47"/>
      <c r="L226" s="47">
        <v>4</v>
      </c>
      <c r="M226" s="47" t="s">
        <v>175</v>
      </c>
      <c r="N226" s="12"/>
      <c r="O226" s="49"/>
      <c r="P226" s="47"/>
      <c r="Q226" s="49"/>
      <c r="R226" s="12"/>
      <c r="S226" s="49"/>
      <c r="T226" s="12"/>
      <c r="U226" s="49"/>
      <c r="V226" s="2">
        <v>45700</v>
      </c>
      <c r="W226" s="2">
        <v>45700</v>
      </c>
      <c r="X226" s="2">
        <v>45700</v>
      </c>
      <c r="Y226" s="2"/>
      <c r="Z226" s="2">
        <v>45700</v>
      </c>
      <c r="AA226" s="47"/>
      <c r="AB226" s="2">
        <v>45688</v>
      </c>
      <c r="AC226" s="2"/>
      <c r="AD226" s="47">
        <f>IF(_tbl_odoo_datos2[[#This Row],[Finf2]]="",0,1)</f>
        <v>1</v>
      </c>
      <c r="AE226" s="47">
        <f>IF(_tbl_odoo_datos2[[#This Row],[FGer2]]="",0,1)</f>
        <v>0</v>
      </c>
      <c r="AF226" s="2">
        <f>IF(_tbl_odoo_datos2[[#This Row],[Finf2]]="",_tbl_odoo_datos2[[#This Row],[FGer2]],_tbl_odoo_datos2[[#This Row],[Finf2]])</f>
        <v>45688</v>
      </c>
    </row>
    <row r="227" spans="1:32" x14ac:dyDescent="0.25">
      <c r="A227" s="12" t="s">
        <v>445</v>
      </c>
      <c r="B227" s="12">
        <v>295</v>
      </c>
      <c r="C227" s="47" t="s">
        <v>270</v>
      </c>
      <c r="D227" s="47">
        <v>293171</v>
      </c>
      <c r="E227" s="49" t="s">
        <v>91</v>
      </c>
      <c r="F227" s="12">
        <v>21</v>
      </c>
      <c r="G227" s="49" t="s">
        <v>69</v>
      </c>
      <c r="H227" s="12">
        <v>195</v>
      </c>
      <c r="I227" s="47" t="s">
        <v>78</v>
      </c>
      <c r="J227" t="s">
        <v>46</v>
      </c>
      <c r="K227" s="47" t="b">
        <v>1</v>
      </c>
      <c r="L227" s="47"/>
      <c r="M227" s="47"/>
      <c r="N227" s="12"/>
      <c r="O227" s="49"/>
      <c r="P227" s="47">
        <v>1</v>
      </c>
      <c r="Q227" s="49">
        <v>1</v>
      </c>
      <c r="R227" s="12">
        <v>1</v>
      </c>
      <c r="S227" s="49">
        <v>1</v>
      </c>
      <c r="T227" s="12"/>
      <c r="U227" s="49"/>
      <c r="V227" s="2">
        <v>45658</v>
      </c>
      <c r="W227" s="2">
        <v>1</v>
      </c>
      <c r="X227" s="2">
        <v>45702</v>
      </c>
      <c r="Y227" s="2"/>
      <c r="Z227" s="2">
        <v>45700</v>
      </c>
      <c r="AA227" s="47" t="s">
        <v>271</v>
      </c>
      <c r="AB227" s="2">
        <v>45688</v>
      </c>
      <c r="AC227" s="2"/>
      <c r="AD227" s="47">
        <f>IF(_tbl_odoo_datos2[[#This Row],[Finf2]]="",0,1)</f>
        <v>1</v>
      </c>
      <c r="AE227" s="47">
        <f>IF(_tbl_odoo_datos2[[#This Row],[FGer2]]="",0,1)</f>
        <v>0</v>
      </c>
      <c r="AF227" s="2">
        <f>IF(_tbl_odoo_datos2[[#This Row],[Finf2]]="",_tbl_odoo_datos2[[#This Row],[FGer2]],_tbl_odoo_datos2[[#This Row],[Finf2]])</f>
        <v>45688</v>
      </c>
    </row>
    <row r="228" spans="1:32" x14ac:dyDescent="0.25">
      <c r="A228" s="12" t="s">
        <v>445</v>
      </c>
      <c r="B228" s="12">
        <v>308</v>
      </c>
      <c r="C228" s="47" t="s">
        <v>272</v>
      </c>
      <c r="D228" s="47">
        <v>247795</v>
      </c>
      <c r="E228" s="49" t="s">
        <v>56</v>
      </c>
      <c r="F228" s="12">
        <v>30</v>
      </c>
      <c r="G228" s="49" t="s">
        <v>44</v>
      </c>
      <c r="H228" s="12">
        <v>3200</v>
      </c>
      <c r="I228" s="47" t="s">
        <v>179</v>
      </c>
      <c r="J228" t="s">
        <v>46</v>
      </c>
      <c r="K228" s="47"/>
      <c r="L228" s="47"/>
      <c r="M228" s="47"/>
      <c r="N228" s="12"/>
      <c r="O228" s="49"/>
      <c r="P228" s="47">
        <v>1</v>
      </c>
      <c r="Q228" s="49">
        <v>1</v>
      </c>
      <c r="R228" s="12">
        <v>3</v>
      </c>
      <c r="S228" s="49">
        <v>3</v>
      </c>
      <c r="T228" s="12"/>
      <c r="U228" s="49"/>
      <c r="V228" s="2">
        <v>45658</v>
      </c>
      <c r="W228" s="2">
        <v>1</v>
      </c>
      <c r="X228" s="2">
        <v>45716</v>
      </c>
      <c r="Y228" s="2"/>
      <c r="Z228" s="2"/>
      <c r="AA228" s="47" t="s">
        <v>273</v>
      </c>
      <c r="AB228" s="2">
        <v>45688</v>
      </c>
      <c r="AC228" s="2"/>
      <c r="AD228" s="47">
        <f>IF(_tbl_odoo_datos2[[#This Row],[Finf2]]="",0,1)</f>
        <v>1</v>
      </c>
      <c r="AE228" s="47">
        <f>IF(_tbl_odoo_datos2[[#This Row],[FGer2]]="",0,1)</f>
        <v>0</v>
      </c>
      <c r="AF228" s="2">
        <f>IF(_tbl_odoo_datos2[[#This Row],[Finf2]]="",_tbl_odoo_datos2[[#This Row],[FGer2]],_tbl_odoo_datos2[[#This Row],[Finf2]])</f>
        <v>45688</v>
      </c>
    </row>
    <row r="229" spans="1:32" x14ac:dyDescent="0.25">
      <c r="A229" s="12" t="s">
        <v>445</v>
      </c>
      <c r="B229" s="12">
        <v>290</v>
      </c>
      <c r="C229" s="47" t="s">
        <v>274</v>
      </c>
      <c r="D229" s="47">
        <v>247828</v>
      </c>
      <c r="E229" s="49" t="s">
        <v>43</v>
      </c>
      <c r="F229" s="12">
        <v>21</v>
      </c>
      <c r="G229" s="49" t="s">
        <v>69</v>
      </c>
      <c r="H229" s="12">
        <v>195</v>
      </c>
      <c r="I229" s="47" t="s">
        <v>78</v>
      </c>
      <c r="J229" t="s">
        <v>46</v>
      </c>
      <c r="K229" s="47"/>
      <c r="L229" s="47"/>
      <c r="M229" s="47"/>
      <c r="N229" s="12"/>
      <c r="O229" s="49"/>
      <c r="P229" s="47">
        <v>1</v>
      </c>
      <c r="Q229" s="49">
        <v>1</v>
      </c>
      <c r="R229" s="12">
        <v>1</v>
      </c>
      <c r="S229" s="49">
        <v>1</v>
      </c>
      <c r="T229" s="12"/>
      <c r="U229" s="49"/>
      <c r="V229" s="2">
        <v>45658</v>
      </c>
      <c r="W229" s="2">
        <v>1</v>
      </c>
      <c r="X229" s="2">
        <v>45688</v>
      </c>
      <c r="Y229" s="2"/>
      <c r="Z229" s="2"/>
      <c r="AA229" s="47" t="s">
        <v>275</v>
      </c>
      <c r="AB229" s="2">
        <v>45657</v>
      </c>
      <c r="AC229" s="2"/>
      <c r="AD229" s="47">
        <f>IF(_tbl_odoo_datos2[[#This Row],[Finf2]]="",0,1)</f>
        <v>1</v>
      </c>
      <c r="AE229" s="47">
        <f>IF(_tbl_odoo_datos2[[#This Row],[FGer2]]="",0,1)</f>
        <v>0</v>
      </c>
      <c r="AF229" s="2">
        <f>IF(_tbl_odoo_datos2[[#This Row],[Finf2]]="",_tbl_odoo_datos2[[#This Row],[FGer2]],_tbl_odoo_datos2[[#This Row],[Finf2]])</f>
        <v>45657</v>
      </c>
    </row>
    <row r="230" spans="1:32" x14ac:dyDescent="0.25">
      <c r="A230" s="12" t="s">
        <v>445</v>
      </c>
      <c r="B230" s="12">
        <v>339</v>
      </c>
      <c r="C230" s="47" t="s">
        <v>276</v>
      </c>
      <c r="D230" s="47"/>
      <c r="E230" s="49"/>
      <c r="F230" s="12">
        <v>28</v>
      </c>
      <c r="G230" s="49" t="s">
        <v>52</v>
      </c>
      <c r="H230" s="12">
        <v>3203</v>
      </c>
      <c r="I230" s="47" t="s">
        <v>127</v>
      </c>
      <c r="J230" t="s">
        <v>46</v>
      </c>
      <c r="K230" s="47"/>
      <c r="L230" s="47"/>
      <c r="M230" s="47"/>
      <c r="N230" s="12"/>
      <c r="O230" s="49"/>
      <c r="P230" s="47">
        <v>1</v>
      </c>
      <c r="Q230" s="49">
        <v>1</v>
      </c>
      <c r="R230" s="12">
        <v>2</v>
      </c>
      <c r="S230" s="49">
        <v>2</v>
      </c>
      <c r="T230" s="12"/>
      <c r="U230" s="49"/>
      <c r="V230" s="2">
        <v>45658</v>
      </c>
      <c r="W230" s="2">
        <v>1</v>
      </c>
      <c r="X230" s="2">
        <v>45716</v>
      </c>
      <c r="Y230" s="2"/>
      <c r="Z230" s="2"/>
      <c r="AA230" s="47"/>
      <c r="AB230" s="2">
        <v>45688</v>
      </c>
      <c r="AC230" s="2"/>
      <c r="AD230" s="47">
        <f>IF(_tbl_odoo_datos2[[#This Row],[Finf2]]="",0,1)</f>
        <v>1</v>
      </c>
      <c r="AE230" s="47">
        <f>IF(_tbl_odoo_datos2[[#This Row],[FGer2]]="",0,1)</f>
        <v>0</v>
      </c>
      <c r="AF230" s="2">
        <f>IF(_tbl_odoo_datos2[[#This Row],[Finf2]]="",_tbl_odoo_datos2[[#This Row],[FGer2]],_tbl_odoo_datos2[[#This Row],[Finf2]])</f>
        <v>45688</v>
      </c>
    </row>
    <row r="231" spans="1:32" x14ac:dyDescent="0.25">
      <c r="A231" s="12" t="s">
        <v>445</v>
      </c>
      <c r="B231" s="12">
        <v>307</v>
      </c>
      <c r="C231" s="47" t="s">
        <v>277</v>
      </c>
      <c r="D231" s="47">
        <v>247722</v>
      </c>
      <c r="E231" s="49" t="s">
        <v>117</v>
      </c>
      <c r="F231" s="12">
        <v>30</v>
      </c>
      <c r="G231" s="49" t="s">
        <v>44</v>
      </c>
      <c r="H231" s="12">
        <v>3202</v>
      </c>
      <c r="I231" s="47" t="s">
        <v>165</v>
      </c>
      <c r="J231" t="s">
        <v>46</v>
      </c>
      <c r="K231" s="47" t="b">
        <v>1</v>
      </c>
      <c r="L231" s="47"/>
      <c r="M231" s="47"/>
      <c r="N231" s="12"/>
      <c r="O231" s="49"/>
      <c r="P231" s="47">
        <v>1</v>
      </c>
      <c r="Q231" s="49">
        <v>1</v>
      </c>
      <c r="R231" s="12">
        <v>2</v>
      </c>
      <c r="S231" s="49">
        <v>2</v>
      </c>
      <c r="T231" s="12"/>
      <c r="U231" s="49"/>
      <c r="V231" s="2">
        <v>45658</v>
      </c>
      <c r="W231" s="2">
        <v>1</v>
      </c>
      <c r="X231" s="2">
        <v>45688</v>
      </c>
      <c r="Y231" s="2"/>
      <c r="Z231" s="2"/>
      <c r="AA231" s="47" t="s">
        <v>278</v>
      </c>
      <c r="AB231" s="2">
        <v>45657</v>
      </c>
      <c r="AC231" s="2"/>
      <c r="AD231" s="47">
        <f>IF(_tbl_odoo_datos2[[#This Row],[Finf2]]="",0,1)</f>
        <v>1</v>
      </c>
      <c r="AE231" s="47">
        <f>IF(_tbl_odoo_datos2[[#This Row],[FGer2]]="",0,1)</f>
        <v>0</v>
      </c>
      <c r="AF231" s="2">
        <f>IF(_tbl_odoo_datos2[[#This Row],[Finf2]]="",_tbl_odoo_datos2[[#This Row],[FGer2]],_tbl_odoo_datos2[[#This Row],[Finf2]])</f>
        <v>45657</v>
      </c>
    </row>
    <row r="232" spans="1:32" x14ac:dyDescent="0.25">
      <c r="A232" s="12" t="s">
        <v>445</v>
      </c>
      <c r="B232" s="12">
        <v>336</v>
      </c>
      <c r="C232" s="47" t="s">
        <v>279</v>
      </c>
      <c r="D232" s="47"/>
      <c r="E232" s="49"/>
      <c r="F232" s="12">
        <v>30</v>
      </c>
      <c r="G232" s="49" t="s">
        <v>44</v>
      </c>
      <c r="H232" s="12">
        <v>3203</v>
      </c>
      <c r="I232" s="47" t="s">
        <v>127</v>
      </c>
      <c r="J232" t="s">
        <v>46</v>
      </c>
      <c r="K232" s="47"/>
      <c r="L232" s="47"/>
      <c r="M232" s="47"/>
      <c r="N232" s="12"/>
      <c r="O232" s="49"/>
      <c r="P232" s="47">
        <v>3</v>
      </c>
      <c r="Q232" s="49">
        <v>3</v>
      </c>
      <c r="R232" s="12">
        <v>2</v>
      </c>
      <c r="S232" s="49">
        <v>2</v>
      </c>
      <c r="T232" s="12"/>
      <c r="U232" s="49"/>
      <c r="V232" s="2">
        <v>45658</v>
      </c>
      <c r="W232" s="2">
        <v>1</v>
      </c>
      <c r="X232" s="2">
        <v>45716</v>
      </c>
      <c r="Y232" s="2"/>
      <c r="Z232" s="2"/>
      <c r="AA232" s="47"/>
      <c r="AB232" s="2">
        <v>45688</v>
      </c>
      <c r="AC232" s="2"/>
      <c r="AD232" s="47">
        <f>IF(_tbl_odoo_datos2[[#This Row],[Finf2]]="",0,1)</f>
        <v>1</v>
      </c>
      <c r="AE232" s="47">
        <f>IF(_tbl_odoo_datos2[[#This Row],[FGer2]]="",0,1)</f>
        <v>0</v>
      </c>
      <c r="AF232" s="2">
        <f>IF(_tbl_odoo_datos2[[#This Row],[Finf2]]="",_tbl_odoo_datos2[[#This Row],[FGer2]],_tbl_odoo_datos2[[#This Row],[Finf2]])</f>
        <v>45688</v>
      </c>
    </row>
    <row r="233" spans="1:32" x14ac:dyDescent="0.25">
      <c r="A233" s="12" t="s">
        <v>445</v>
      </c>
      <c r="B233" s="12">
        <v>371</v>
      </c>
      <c r="C233" s="47" t="s">
        <v>280</v>
      </c>
      <c r="D233" s="47"/>
      <c r="E233" s="49"/>
      <c r="F233" s="12">
        <v>21</v>
      </c>
      <c r="G233" s="49" t="s">
        <v>69</v>
      </c>
      <c r="H233" s="12">
        <v>195</v>
      </c>
      <c r="I233" s="47" t="s">
        <v>78</v>
      </c>
      <c r="J233" t="s">
        <v>46</v>
      </c>
      <c r="K233" s="47" t="b">
        <v>1</v>
      </c>
      <c r="L233" s="47"/>
      <c r="M233" s="47"/>
      <c r="N233" s="12"/>
      <c r="O233" s="49"/>
      <c r="P233" s="47"/>
      <c r="Q233" s="49"/>
      <c r="R233" s="12">
        <v>1</v>
      </c>
      <c r="S233" s="49">
        <v>1</v>
      </c>
      <c r="T233" s="12"/>
      <c r="U233" s="49"/>
      <c r="V233" s="2">
        <v>45663</v>
      </c>
      <c r="W233" s="2">
        <v>1</v>
      </c>
      <c r="X233" s="2">
        <v>45688</v>
      </c>
      <c r="Y233" s="2"/>
      <c r="Z233" s="2"/>
      <c r="AA233" s="47"/>
      <c r="AB233" s="2">
        <v>45657</v>
      </c>
      <c r="AC233" s="2"/>
      <c r="AD233" s="47">
        <f>IF(_tbl_odoo_datos2[[#This Row],[Finf2]]="",0,1)</f>
        <v>1</v>
      </c>
      <c r="AE233" s="47">
        <f>IF(_tbl_odoo_datos2[[#This Row],[FGer2]]="",0,1)</f>
        <v>0</v>
      </c>
      <c r="AF233" s="2">
        <f>IF(_tbl_odoo_datos2[[#This Row],[Finf2]]="",_tbl_odoo_datos2[[#This Row],[FGer2]],_tbl_odoo_datos2[[#This Row],[Finf2]])</f>
        <v>45657</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A9B811-220D-4012-93E9-4ED0FD739489}">
  <sheetPr codeName="Hoja1">
    <tabColor theme="7" tint="-0.249977111117893"/>
  </sheetPr>
  <dimension ref="A1:AA117"/>
  <sheetViews>
    <sheetView showGridLines="0" topLeftCell="A93" zoomScaleNormal="100" workbookViewId="0">
      <selection activeCell="A117" sqref="A117"/>
    </sheetView>
  </sheetViews>
  <sheetFormatPr baseColWidth="10" defaultColWidth="11.42578125" defaultRowHeight="15" x14ac:dyDescent="0.25"/>
  <cols>
    <col min="1" max="3" width="12" customWidth="1"/>
    <col min="4" max="7" width="18.140625" bestFit="1" customWidth="1"/>
    <col min="8" max="8" width="24.140625" bestFit="1" customWidth="1"/>
    <col min="9" max="9" width="18.140625" bestFit="1" customWidth="1"/>
    <col min="10" max="10" width="13" customWidth="1"/>
    <col min="11" max="11" width="18.140625" bestFit="1" customWidth="1"/>
    <col min="12" max="12" width="13" customWidth="1"/>
    <col min="13" max="14" width="18.140625" bestFit="1" customWidth="1"/>
    <col min="15" max="15" width="13" customWidth="1"/>
    <col min="16" max="18" width="18.140625" bestFit="1" customWidth="1"/>
    <col min="19" max="22" width="13" customWidth="1"/>
    <col min="23" max="23" width="19.5703125" customWidth="1"/>
    <col min="24" max="27" width="13" customWidth="1"/>
  </cols>
  <sheetData>
    <row r="1" spans="1:27" x14ac:dyDescent="0.25">
      <c r="A1" t="s">
        <v>38</v>
      </c>
      <c r="B1" s="12" t="s">
        <v>5</v>
      </c>
      <c r="C1" s="7" t="s">
        <v>6</v>
      </c>
      <c r="D1" t="s">
        <v>7</v>
      </c>
      <c r="E1" s="8" t="s">
        <v>8</v>
      </c>
      <c r="F1" s="12" t="s">
        <v>9</v>
      </c>
      <c r="G1" s="13" t="s">
        <v>10</v>
      </c>
      <c r="H1" s="12" t="s">
        <v>11</v>
      </c>
      <c r="I1" s="6" t="s">
        <v>12</v>
      </c>
      <c r="J1" s="2" t="s">
        <v>13</v>
      </c>
      <c r="K1" s="7" t="s">
        <v>14</v>
      </c>
      <c r="L1" s="2" t="s">
        <v>15</v>
      </c>
      <c r="M1" s="6" t="s">
        <v>16</v>
      </c>
      <c r="N1" s="12" t="s">
        <v>17</v>
      </c>
      <c r="O1" s="13" t="s">
        <v>18</v>
      </c>
      <c r="P1" s="6" t="s">
        <v>19</v>
      </c>
      <c r="Q1" s="8" t="s">
        <v>20</v>
      </c>
      <c r="R1" s="12" t="s">
        <v>21</v>
      </c>
      <c r="S1" s="13" t="s">
        <v>22</v>
      </c>
      <c r="T1" s="12" t="s">
        <v>23</v>
      </c>
      <c r="U1" s="8" t="s">
        <v>24</v>
      </c>
      <c r="V1" s="2" t="s">
        <v>25</v>
      </c>
      <c r="W1" s="2" t="s">
        <v>26</v>
      </c>
      <c r="X1" s="2" t="s">
        <v>27</v>
      </c>
      <c r="Y1" s="2" t="s">
        <v>28</v>
      </c>
      <c r="Z1" s="2" t="s">
        <v>29</v>
      </c>
      <c r="AA1" t="s">
        <v>30</v>
      </c>
    </row>
    <row r="2" spans="1:27" x14ac:dyDescent="0.25">
      <c r="A2" s="12">
        <v>8392</v>
      </c>
      <c r="B2" s="12">
        <v>275</v>
      </c>
      <c r="C2" t="s">
        <v>42</v>
      </c>
      <c r="D2">
        <v>247828</v>
      </c>
      <c r="E2" s="8" t="s">
        <v>43</v>
      </c>
      <c r="F2" s="12">
        <v>30</v>
      </c>
      <c r="G2" s="8" t="s">
        <v>44</v>
      </c>
      <c r="H2" s="12">
        <v>3233</v>
      </c>
      <c r="I2" t="s">
        <v>45</v>
      </c>
      <c r="J2" t="s">
        <v>46</v>
      </c>
      <c r="N2" s="12"/>
      <c r="O2" s="8"/>
      <c r="P2">
        <v>1</v>
      </c>
      <c r="Q2" s="8">
        <v>1</v>
      </c>
      <c r="R2" s="12">
        <v>1</v>
      </c>
      <c r="S2" s="8">
        <v>1</v>
      </c>
      <c r="T2" s="12"/>
      <c r="U2" s="8"/>
      <c r="V2" s="2">
        <v>45658</v>
      </c>
      <c r="W2" s="2">
        <v>1</v>
      </c>
      <c r="X2" s="2">
        <v>45688</v>
      </c>
      <c r="Y2" s="2">
        <v>45688</v>
      </c>
      <c r="Z2" s="2"/>
      <c r="AA2" t="s">
        <v>47</v>
      </c>
    </row>
    <row r="3" spans="1:27" x14ac:dyDescent="0.25">
      <c r="A3" s="12">
        <v>8395</v>
      </c>
      <c r="B3" s="12">
        <v>278</v>
      </c>
      <c r="C3" t="s">
        <v>48</v>
      </c>
      <c r="D3">
        <v>247828</v>
      </c>
      <c r="E3" s="8" t="s">
        <v>43</v>
      </c>
      <c r="F3" s="12">
        <v>30</v>
      </c>
      <c r="G3" s="8" t="s">
        <v>44</v>
      </c>
      <c r="H3" s="12">
        <v>3233</v>
      </c>
      <c r="I3" t="s">
        <v>45</v>
      </c>
      <c r="J3" t="s">
        <v>46</v>
      </c>
      <c r="K3" t="b">
        <v>1</v>
      </c>
      <c r="N3" s="12"/>
      <c r="O3" s="8"/>
      <c r="P3">
        <v>1</v>
      </c>
      <c r="Q3" s="8">
        <v>1</v>
      </c>
      <c r="R3" s="12">
        <v>3</v>
      </c>
      <c r="S3" s="8">
        <v>3</v>
      </c>
      <c r="T3" s="12"/>
      <c r="U3" s="8"/>
      <c r="V3" s="2">
        <v>45658</v>
      </c>
      <c r="W3" s="2">
        <v>1</v>
      </c>
      <c r="X3" s="2">
        <v>45685</v>
      </c>
      <c r="Y3" s="2">
        <v>45716</v>
      </c>
      <c r="Z3" s="2"/>
      <c r="AA3" t="s">
        <v>49</v>
      </c>
    </row>
    <row r="4" spans="1:27" x14ac:dyDescent="0.25">
      <c r="A4" s="12">
        <v>8396</v>
      </c>
      <c r="B4" s="12">
        <v>280</v>
      </c>
      <c r="C4" t="s">
        <v>50</v>
      </c>
      <c r="D4">
        <v>247541</v>
      </c>
      <c r="E4" s="8" t="s">
        <v>51</v>
      </c>
      <c r="F4" s="12">
        <v>28</v>
      </c>
      <c r="G4" s="8" t="s">
        <v>52</v>
      </c>
      <c r="H4" s="12">
        <v>3198</v>
      </c>
      <c r="I4" t="s">
        <v>53</v>
      </c>
      <c r="J4" t="s">
        <v>46</v>
      </c>
      <c r="N4" s="12"/>
      <c r="O4" s="8"/>
      <c r="P4">
        <v>3</v>
      </c>
      <c r="Q4" s="8">
        <v>3</v>
      </c>
      <c r="R4" s="12">
        <v>3</v>
      </c>
      <c r="S4" s="8">
        <v>3</v>
      </c>
      <c r="T4" s="12"/>
      <c r="U4" s="8"/>
      <c r="V4" s="2">
        <v>45658</v>
      </c>
      <c r="W4" s="2">
        <v>1</v>
      </c>
      <c r="X4" s="2">
        <v>45744</v>
      </c>
      <c r="Y4" s="2">
        <v>45744</v>
      </c>
      <c r="Z4" s="2"/>
      <c r="AA4" t="s">
        <v>54</v>
      </c>
    </row>
    <row r="5" spans="1:27" x14ac:dyDescent="0.25">
      <c r="A5" s="12">
        <v>8397</v>
      </c>
      <c r="B5" s="12">
        <v>281</v>
      </c>
      <c r="C5" t="s">
        <v>55</v>
      </c>
      <c r="D5">
        <v>247795</v>
      </c>
      <c r="E5" s="8" t="s">
        <v>56</v>
      </c>
      <c r="F5" s="12">
        <v>28</v>
      </c>
      <c r="G5" s="8" t="s">
        <v>52</v>
      </c>
      <c r="H5" s="12">
        <v>3233</v>
      </c>
      <c r="I5" t="s">
        <v>45</v>
      </c>
      <c r="J5" t="s">
        <v>46</v>
      </c>
      <c r="N5" s="12"/>
      <c r="O5" s="8"/>
      <c r="P5">
        <v>1</v>
      </c>
      <c r="Q5" s="8">
        <v>1</v>
      </c>
      <c r="R5" s="12">
        <v>1</v>
      </c>
      <c r="S5" s="8">
        <v>1</v>
      </c>
      <c r="T5" s="12"/>
      <c r="U5" s="8"/>
      <c r="V5" s="2">
        <v>45658</v>
      </c>
      <c r="W5" s="2">
        <v>1</v>
      </c>
      <c r="X5" s="2">
        <v>45744</v>
      </c>
      <c r="Y5" s="2">
        <v>45744</v>
      </c>
      <c r="Z5" s="2"/>
      <c r="AA5" t="s">
        <v>57</v>
      </c>
    </row>
    <row r="6" spans="1:27" x14ac:dyDescent="0.25">
      <c r="A6" s="12">
        <v>8398</v>
      </c>
      <c r="B6" s="12">
        <v>282</v>
      </c>
      <c r="C6" t="s">
        <v>58</v>
      </c>
      <c r="D6">
        <v>247556</v>
      </c>
      <c r="E6" s="8" t="s">
        <v>59</v>
      </c>
      <c r="F6" s="12">
        <v>28</v>
      </c>
      <c r="G6" s="8" t="s">
        <v>52</v>
      </c>
      <c r="H6" s="12">
        <v>3233</v>
      </c>
      <c r="I6" t="s">
        <v>45</v>
      </c>
      <c r="J6" t="s">
        <v>46</v>
      </c>
      <c r="N6" s="12"/>
      <c r="O6" s="8"/>
      <c r="P6">
        <v>1</v>
      </c>
      <c r="Q6" s="8">
        <v>1</v>
      </c>
      <c r="R6" s="12">
        <v>3</v>
      </c>
      <c r="S6" s="8">
        <v>3</v>
      </c>
      <c r="T6" s="12"/>
      <c r="U6" s="8"/>
      <c r="V6" s="2">
        <v>45658</v>
      </c>
      <c r="W6" s="2">
        <v>1</v>
      </c>
      <c r="X6" s="2">
        <v>45716</v>
      </c>
      <c r="Y6" s="2">
        <v>45716</v>
      </c>
      <c r="Z6" s="2"/>
      <c r="AA6" t="s">
        <v>60</v>
      </c>
    </row>
    <row r="7" spans="1:27" x14ac:dyDescent="0.25">
      <c r="A7" s="12">
        <v>8399</v>
      </c>
      <c r="B7" s="12">
        <v>283</v>
      </c>
      <c r="C7" t="s">
        <v>61</v>
      </c>
      <c r="D7">
        <v>247857</v>
      </c>
      <c r="E7" s="8" t="s">
        <v>62</v>
      </c>
      <c r="F7" s="12">
        <v>28</v>
      </c>
      <c r="G7" s="8" t="s">
        <v>52</v>
      </c>
      <c r="H7" s="12"/>
      <c r="J7" t="s">
        <v>46</v>
      </c>
      <c r="N7" s="12"/>
      <c r="O7" s="8"/>
      <c r="P7">
        <v>1</v>
      </c>
      <c r="Q7" s="8">
        <v>1</v>
      </c>
      <c r="R7" s="12">
        <v>2</v>
      </c>
      <c r="S7" s="8">
        <v>2</v>
      </c>
      <c r="T7" s="12"/>
      <c r="U7" s="8"/>
      <c r="V7" s="2">
        <v>45658</v>
      </c>
      <c r="W7" s="2">
        <v>1</v>
      </c>
      <c r="X7" s="2">
        <v>45688</v>
      </c>
      <c r="Y7" s="2">
        <v>45688</v>
      </c>
      <c r="Z7" s="2"/>
      <c r="AA7" t="s">
        <v>63</v>
      </c>
    </row>
    <row r="8" spans="1:27" x14ac:dyDescent="0.25">
      <c r="A8" s="12">
        <v>8400</v>
      </c>
      <c r="B8" s="12">
        <v>284</v>
      </c>
      <c r="C8" t="s">
        <v>64</v>
      </c>
      <c r="D8">
        <v>247885</v>
      </c>
      <c r="E8" s="8" t="s">
        <v>65</v>
      </c>
      <c r="F8" s="12">
        <v>28</v>
      </c>
      <c r="G8" s="8" t="s">
        <v>52</v>
      </c>
      <c r="H8" s="12">
        <v>3233</v>
      </c>
      <c r="I8" t="s">
        <v>45</v>
      </c>
      <c r="J8" t="s">
        <v>46</v>
      </c>
      <c r="N8" s="12"/>
      <c r="O8" s="8"/>
      <c r="P8">
        <v>1</v>
      </c>
      <c r="Q8" s="8">
        <v>1</v>
      </c>
      <c r="R8" s="12">
        <v>1</v>
      </c>
      <c r="S8" s="8">
        <v>1</v>
      </c>
      <c r="T8" s="12"/>
      <c r="U8" s="8"/>
      <c r="V8" s="2">
        <v>45658</v>
      </c>
      <c r="W8" s="2">
        <v>1</v>
      </c>
      <c r="X8" s="2">
        <v>45777</v>
      </c>
      <c r="Y8" s="2">
        <v>45777</v>
      </c>
      <c r="Z8" s="2"/>
      <c r="AA8" t="s">
        <v>66</v>
      </c>
    </row>
    <row r="9" spans="1:27" x14ac:dyDescent="0.25">
      <c r="A9" s="12">
        <v>8401</v>
      </c>
      <c r="B9" s="12">
        <v>285</v>
      </c>
      <c r="C9" t="s">
        <v>67</v>
      </c>
      <c r="D9">
        <v>247277</v>
      </c>
      <c r="E9" s="8" t="s">
        <v>68</v>
      </c>
      <c r="F9" s="12">
        <v>21</v>
      </c>
      <c r="G9" s="8" t="s">
        <v>69</v>
      </c>
      <c r="H9" s="12">
        <v>3233</v>
      </c>
      <c r="I9" t="s">
        <v>45</v>
      </c>
      <c r="J9" t="s">
        <v>46</v>
      </c>
      <c r="N9" s="12"/>
      <c r="O9" s="8"/>
      <c r="P9">
        <v>1</v>
      </c>
      <c r="Q9" s="8">
        <v>1</v>
      </c>
      <c r="R9" s="12">
        <v>1</v>
      </c>
      <c r="S9" s="8">
        <v>1</v>
      </c>
      <c r="T9" s="12"/>
      <c r="U9" s="8"/>
      <c r="V9" s="2">
        <v>45658</v>
      </c>
      <c r="W9" s="2">
        <v>1</v>
      </c>
      <c r="X9" s="2">
        <v>45688</v>
      </c>
      <c r="Y9" s="2">
        <v>45688</v>
      </c>
      <c r="Z9" s="2"/>
      <c r="AA9" t="s">
        <v>70</v>
      </c>
    </row>
    <row r="10" spans="1:27" x14ac:dyDescent="0.25">
      <c r="A10" s="12">
        <v>8402</v>
      </c>
      <c r="B10" s="12">
        <v>286</v>
      </c>
      <c r="C10" t="s">
        <v>71</v>
      </c>
      <c r="D10">
        <v>247795</v>
      </c>
      <c r="E10" s="8" t="s">
        <v>56</v>
      </c>
      <c r="F10" s="12">
        <v>28</v>
      </c>
      <c r="G10" s="8" t="s">
        <v>52</v>
      </c>
      <c r="H10" s="12"/>
      <c r="J10" t="s">
        <v>46</v>
      </c>
      <c r="N10" s="12"/>
      <c r="O10" s="8"/>
      <c r="P10">
        <v>2</v>
      </c>
      <c r="Q10" s="8">
        <v>2</v>
      </c>
      <c r="R10" s="12">
        <v>2</v>
      </c>
      <c r="S10" s="8">
        <v>2</v>
      </c>
      <c r="T10" s="12"/>
      <c r="U10" s="8"/>
      <c r="V10" s="2">
        <v>45658</v>
      </c>
      <c r="W10" s="2">
        <v>1</v>
      </c>
      <c r="X10" s="2">
        <v>45716</v>
      </c>
      <c r="Y10" s="2">
        <v>45716</v>
      </c>
      <c r="Z10" s="2"/>
      <c r="AA10" t="s">
        <v>72</v>
      </c>
    </row>
    <row r="11" spans="1:27" x14ac:dyDescent="0.25">
      <c r="A11" s="12">
        <v>8403</v>
      </c>
      <c r="B11" s="12">
        <v>287</v>
      </c>
      <c r="C11" t="s">
        <v>73</v>
      </c>
      <c r="D11">
        <v>289004</v>
      </c>
      <c r="E11" s="8" t="s">
        <v>59</v>
      </c>
      <c r="F11" s="12">
        <v>28</v>
      </c>
      <c r="G11" s="8" t="s">
        <v>52</v>
      </c>
      <c r="H11" s="12"/>
      <c r="J11" t="s">
        <v>46</v>
      </c>
      <c r="N11" s="12"/>
      <c r="O11" s="8"/>
      <c r="P11">
        <v>2</v>
      </c>
      <c r="Q11" s="8">
        <v>2</v>
      </c>
      <c r="R11" s="12">
        <v>2</v>
      </c>
      <c r="S11" s="8">
        <v>2</v>
      </c>
      <c r="T11" s="12"/>
      <c r="U11" s="8"/>
      <c r="V11" s="2">
        <v>45658</v>
      </c>
      <c r="W11" s="2">
        <v>1</v>
      </c>
      <c r="X11" s="2">
        <v>45716</v>
      </c>
      <c r="Y11" s="2">
        <v>45716</v>
      </c>
      <c r="Z11" s="2"/>
      <c r="AA11" t="s">
        <v>74</v>
      </c>
    </row>
    <row r="12" spans="1:27" x14ac:dyDescent="0.25">
      <c r="A12" s="12">
        <v>8404</v>
      </c>
      <c r="B12" s="12">
        <v>288</v>
      </c>
      <c r="C12" t="s">
        <v>75</v>
      </c>
      <c r="D12">
        <v>289006</v>
      </c>
      <c r="E12" s="8" t="s">
        <v>76</v>
      </c>
      <c r="F12" s="12">
        <v>22</v>
      </c>
      <c r="G12" s="8" t="s">
        <v>77</v>
      </c>
      <c r="H12" s="12">
        <v>195</v>
      </c>
      <c r="I12" t="s">
        <v>78</v>
      </c>
      <c r="J12" t="s">
        <v>46</v>
      </c>
      <c r="K12" t="b">
        <v>1</v>
      </c>
      <c r="N12" s="12"/>
      <c r="O12" s="8"/>
      <c r="P12">
        <v>1</v>
      </c>
      <c r="Q12" s="8">
        <v>1</v>
      </c>
      <c r="R12" s="12">
        <v>1</v>
      </c>
      <c r="S12" s="8">
        <v>1</v>
      </c>
      <c r="T12" s="12"/>
      <c r="U12" s="8"/>
      <c r="V12" s="2">
        <v>45658</v>
      </c>
      <c r="W12" s="2">
        <v>1</v>
      </c>
      <c r="X12" s="2">
        <v>45688</v>
      </c>
      <c r="Y12" s="2">
        <v>45744</v>
      </c>
      <c r="Z12" s="2"/>
      <c r="AA12" t="s">
        <v>79</v>
      </c>
    </row>
    <row r="13" spans="1:27" x14ac:dyDescent="0.25">
      <c r="A13" s="12">
        <v>8405</v>
      </c>
      <c r="B13" s="12">
        <v>289</v>
      </c>
      <c r="C13" t="s">
        <v>80</v>
      </c>
      <c r="D13">
        <v>247729</v>
      </c>
      <c r="E13" s="8" t="s">
        <v>81</v>
      </c>
      <c r="F13" s="12">
        <v>28</v>
      </c>
      <c r="G13" s="8" t="s">
        <v>52</v>
      </c>
      <c r="H13" s="12"/>
      <c r="J13" t="s">
        <v>46</v>
      </c>
      <c r="N13" s="12"/>
      <c r="O13" s="8"/>
      <c r="P13">
        <v>3</v>
      </c>
      <c r="Q13" s="8">
        <v>3</v>
      </c>
      <c r="R13" s="12">
        <v>3</v>
      </c>
      <c r="S13" s="8">
        <v>3</v>
      </c>
      <c r="T13" s="12"/>
      <c r="U13" s="8"/>
      <c r="V13" s="2">
        <v>45658</v>
      </c>
      <c r="W13" s="2">
        <v>1</v>
      </c>
      <c r="X13" s="2">
        <v>45744</v>
      </c>
      <c r="Y13" s="2">
        <v>45744</v>
      </c>
      <c r="Z13" s="2"/>
      <c r="AA13" t="s">
        <v>82</v>
      </c>
    </row>
    <row r="14" spans="1:27" x14ac:dyDescent="0.25">
      <c r="A14" s="12">
        <v>8406</v>
      </c>
      <c r="B14" s="12">
        <v>291</v>
      </c>
      <c r="C14" t="s">
        <v>83</v>
      </c>
      <c r="D14">
        <v>247393</v>
      </c>
      <c r="E14" s="8" t="s">
        <v>84</v>
      </c>
      <c r="F14" s="12">
        <v>28</v>
      </c>
      <c r="G14" s="8" t="s">
        <v>52</v>
      </c>
      <c r="H14" s="12"/>
      <c r="J14" t="s">
        <v>46</v>
      </c>
      <c r="N14" s="12"/>
      <c r="O14" s="8"/>
      <c r="P14">
        <v>3</v>
      </c>
      <c r="Q14" s="8">
        <v>3</v>
      </c>
      <c r="R14" s="12">
        <v>3</v>
      </c>
      <c r="S14" s="8">
        <v>3</v>
      </c>
      <c r="T14" s="12"/>
      <c r="U14" s="8"/>
      <c r="V14" s="2">
        <v>45658</v>
      </c>
      <c r="W14" s="2">
        <v>1</v>
      </c>
      <c r="X14" s="2">
        <v>45761</v>
      </c>
      <c r="Y14" s="2">
        <v>45761</v>
      </c>
      <c r="Z14" s="2"/>
      <c r="AA14" t="s">
        <v>85</v>
      </c>
    </row>
    <row r="15" spans="1:27" x14ac:dyDescent="0.25">
      <c r="A15" s="12">
        <v>8407</v>
      </c>
      <c r="B15" s="12">
        <v>293</v>
      </c>
      <c r="C15" t="s">
        <v>86</v>
      </c>
      <c r="D15">
        <v>247795</v>
      </c>
      <c r="E15" s="8" t="s">
        <v>56</v>
      </c>
      <c r="F15" s="12">
        <v>28</v>
      </c>
      <c r="G15" s="8" t="s">
        <v>52</v>
      </c>
      <c r="H15" s="12"/>
      <c r="J15" t="s">
        <v>46</v>
      </c>
      <c r="N15" s="12"/>
      <c r="O15" s="8"/>
      <c r="P15">
        <v>2</v>
      </c>
      <c r="Q15" s="8">
        <v>2</v>
      </c>
      <c r="R15" s="12">
        <v>2</v>
      </c>
      <c r="S15" s="8">
        <v>2</v>
      </c>
      <c r="T15" s="12"/>
      <c r="U15" s="8"/>
      <c r="V15" s="2">
        <v>45658</v>
      </c>
      <c r="W15" s="2">
        <v>1</v>
      </c>
      <c r="X15" s="2">
        <v>45744</v>
      </c>
      <c r="Y15" s="2">
        <v>45775</v>
      </c>
      <c r="Z15" s="2"/>
      <c r="AA15" t="s">
        <v>87</v>
      </c>
    </row>
    <row r="16" spans="1:27" x14ac:dyDescent="0.25">
      <c r="A16" s="12">
        <v>8408</v>
      </c>
      <c r="B16" s="12">
        <v>294</v>
      </c>
      <c r="C16" t="s">
        <v>88</v>
      </c>
      <c r="D16">
        <v>247795</v>
      </c>
      <c r="E16" s="8" t="s">
        <v>56</v>
      </c>
      <c r="F16" s="12">
        <v>28</v>
      </c>
      <c r="G16" s="8" t="s">
        <v>52</v>
      </c>
      <c r="H16" s="12"/>
      <c r="J16" t="s">
        <v>46</v>
      </c>
      <c r="N16" s="12"/>
      <c r="O16" s="8"/>
      <c r="P16">
        <v>1</v>
      </c>
      <c r="Q16" s="8">
        <v>1</v>
      </c>
      <c r="R16" s="12">
        <v>2</v>
      </c>
      <c r="S16" s="8">
        <v>2</v>
      </c>
      <c r="T16" s="12"/>
      <c r="U16" s="8"/>
      <c r="V16" s="2">
        <v>45658</v>
      </c>
      <c r="W16" s="2">
        <v>1</v>
      </c>
      <c r="X16" s="2">
        <v>45761</v>
      </c>
      <c r="Y16" s="2">
        <v>45791</v>
      </c>
      <c r="Z16" s="2"/>
      <c r="AA16" t="s">
        <v>89</v>
      </c>
    </row>
    <row r="17" spans="1:27" x14ac:dyDescent="0.25">
      <c r="A17" s="12">
        <v>8410</v>
      </c>
      <c r="B17" s="12">
        <v>300</v>
      </c>
      <c r="C17" t="s">
        <v>90</v>
      </c>
      <c r="D17">
        <v>293171</v>
      </c>
      <c r="E17" s="8" t="s">
        <v>91</v>
      </c>
      <c r="F17" s="12">
        <v>21</v>
      </c>
      <c r="G17" s="8" t="s">
        <v>69</v>
      </c>
      <c r="H17" s="12">
        <v>195</v>
      </c>
      <c r="I17" t="s">
        <v>78</v>
      </c>
      <c r="J17" t="s">
        <v>46</v>
      </c>
      <c r="K17" t="b">
        <v>1</v>
      </c>
      <c r="N17" s="12"/>
      <c r="O17" s="8"/>
      <c r="P17">
        <v>1</v>
      </c>
      <c r="Q17" s="8">
        <v>1</v>
      </c>
      <c r="R17" s="12">
        <v>2</v>
      </c>
      <c r="S17" s="8">
        <v>2</v>
      </c>
      <c r="T17" s="12"/>
      <c r="U17" s="8"/>
      <c r="V17" s="2">
        <v>45658</v>
      </c>
      <c r="W17" s="2">
        <v>1</v>
      </c>
      <c r="X17" s="2">
        <v>45726</v>
      </c>
      <c r="Y17" s="2">
        <v>45726</v>
      </c>
      <c r="Z17" s="2"/>
      <c r="AA17" t="s">
        <v>92</v>
      </c>
    </row>
    <row r="18" spans="1:27" x14ac:dyDescent="0.25">
      <c r="A18" s="12">
        <v>8411</v>
      </c>
      <c r="B18" s="12">
        <v>305</v>
      </c>
      <c r="C18" t="s">
        <v>93</v>
      </c>
      <c r="D18">
        <v>247795</v>
      </c>
      <c r="E18" s="8" t="s">
        <v>56</v>
      </c>
      <c r="F18" s="12">
        <v>28</v>
      </c>
      <c r="G18" s="8" t="s">
        <v>52</v>
      </c>
      <c r="H18" s="12">
        <v>195</v>
      </c>
      <c r="I18" t="s">
        <v>78</v>
      </c>
      <c r="J18" t="s">
        <v>46</v>
      </c>
      <c r="N18" s="12"/>
      <c r="O18" s="8"/>
      <c r="P18">
        <v>1</v>
      </c>
      <c r="Q18" s="8">
        <v>1</v>
      </c>
      <c r="R18" s="12">
        <v>1</v>
      </c>
      <c r="S18" s="8">
        <v>1</v>
      </c>
      <c r="T18" s="12"/>
      <c r="U18" s="8"/>
      <c r="V18" s="2">
        <v>45658</v>
      </c>
      <c r="W18" s="2">
        <v>1</v>
      </c>
      <c r="X18" s="2">
        <v>45726</v>
      </c>
      <c r="Y18" s="2">
        <v>45757</v>
      </c>
      <c r="Z18" s="2"/>
      <c r="AA18" t="s">
        <v>94</v>
      </c>
    </row>
    <row r="19" spans="1:27" x14ac:dyDescent="0.25">
      <c r="A19" s="12">
        <v>8412</v>
      </c>
      <c r="B19" s="12">
        <v>309</v>
      </c>
      <c r="C19" t="s">
        <v>95</v>
      </c>
      <c r="D19">
        <v>247795</v>
      </c>
      <c r="E19" s="8" t="s">
        <v>56</v>
      </c>
      <c r="F19" s="12">
        <v>21</v>
      </c>
      <c r="G19" s="8" t="s">
        <v>69</v>
      </c>
      <c r="H19" s="12"/>
      <c r="J19" t="s">
        <v>46</v>
      </c>
      <c r="N19" s="12"/>
      <c r="O19" s="8"/>
      <c r="P19">
        <v>1</v>
      </c>
      <c r="Q19" s="8">
        <v>1</v>
      </c>
      <c r="R19" s="12">
        <v>1</v>
      </c>
      <c r="S19" s="8">
        <v>1</v>
      </c>
      <c r="T19" s="12"/>
      <c r="U19" s="8"/>
      <c r="V19" s="2">
        <v>45658</v>
      </c>
      <c r="W19" s="2">
        <v>1</v>
      </c>
      <c r="X19" s="2">
        <v>45688</v>
      </c>
      <c r="Y19" s="2">
        <v>45688</v>
      </c>
      <c r="Z19" s="2"/>
      <c r="AA19" t="s">
        <v>96</v>
      </c>
    </row>
    <row r="20" spans="1:27" x14ac:dyDescent="0.25">
      <c r="A20" s="12">
        <v>8413</v>
      </c>
      <c r="B20" s="12">
        <v>312</v>
      </c>
      <c r="C20" t="s">
        <v>97</v>
      </c>
      <c r="D20">
        <v>247807</v>
      </c>
      <c r="E20" s="8" t="s">
        <v>98</v>
      </c>
      <c r="F20" s="12">
        <v>28</v>
      </c>
      <c r="G20" s="8" t="s">
        <v>52</v>
      </c>
      <c r="H20" s="12"/>
      <c r="J20" t="s">
        <v>46</v>
      </c>
      <c r="K20" t="b">
        <v>1</v>
      </c>
      <c r="N20" s="12"/>
      <c r="O20" s="8"/>
      <c r="P20">
        <v>2</v>
      </c>
      <c r="Q20" s="8">
        <v>2</v>
      </c>
      <c r="R20" s="12">
        <v>2</v>
      </c>
      <c r="S20" s="8">
        <v>2</v>
      </c>
      <c r="T20" s="12"/>
      <c r="U20" s="8"/>
      <c r="V20" s="2">
        <v>45658</v>
      </c>
      <c r="W20" s="2">
        <v>1</v>
      </c>
      <c r="X20" s="2">
        <v>45688</v>
      </c>
      <c r="Y20" s="2">
        <v>45791</v>
      </c>
      <c r="Z20" s="2"/>
      <c r="AA20" t="s">
        <v>99</v>
      </c>
    </row>
    <row r="21" spans="1:27" x14ac:dyDescent="0.25">
      <c r="A21" s="12">
        <v>8451</v>
      </c>
      <c r="B21" s="12">
        <v>313</v>
      </c>
      <c r="C21" t="s">
        <v>428</v>
      </c>
      <c r="E21" s="8"/>
      <c r="F21" s="12">
        <v>28</v>
      </c>
      <c r="G21" s="8" t="s">
        <v>52</v>
      </c>
      <c r="H21" s="12">
        <v>3199</v>
      </c>
      <c r="I21" t="s">
        <v>104</v>
      </c>
      <c r="J21" t="s">
        <v>46</v>
      </c>
      <c r="N21" s="12"/>
      <c r="O21" s="8"/>
      <c r="P21">
        <v>1</v>
      </c>
      <c r="Q21" s="8">
        <v>1</v>
      </c>
      <c r="R21" s="12">
        <v>1</v>
      </c>
      <c r="S21" s="8">
        <v>1</v>
      </c>
      <c r="T21" s="12"/>
      <c r="U21" s="8"/>
      <c r="V21" s="2">
        <v>45658</v>
      </c>
      <c r="W21" s="2">
        <v>1</v>
      </c>
      <c r="X21" s="2">
        <v>45709</v>
      </c>
      <c r="Y21" s="2">
        <v>45757</v>
      </c>
      <c r="Z21" s="2"/>
    </row>
    <row r="22" spans="1:27" x14ac:dyDescent="0.25">
      <c r="A22" s="12">
        <v>8414</v>
      </c>
      <c r="B22" s="12">
        <v>314</v>
      </c>
      <c r="C22" t="s">
        <v>100</v>
      </c>
      <c r="D22">
        <v>247857</v>
      </c>
      <c r="E22" s="8" t="s">
        <v>62</v>
      </c>
      <c r="F22" s="12">
        <v>28</v>
      </c>
      <c r="G22" s="8" t="s">
        <v>52</v>
      </c>
      <c r="H22" s="12"/>
      <c r="J22" t="s">
        <v>46</v>
      </c>
      <c r="N22" s="12"/>
      <c r="O22" s="8"/>
      <c r="P22">
        <v>2</v>
      </c>
      <c r="Q22" s="8">
        <v>2</v>
      </c>
      <c r="R22" s="12">
        <v>2</v>
      </c>
      <c r="S22" s="8">
        <v>2</v>
      </c>
      <c r="T22" s="12"/>
      <c r="U22" s="8"/>
      <c r="V22" s="2">
        <v>45658</v>
      </c>
      <c r="W22" s="2">
        <v>1</v>
      </c>
      <c r="X22" s="2">
        <v>45702</v>
      </c>
      <c r="Y22" s="2">
        <v>45726</v>
      </c>
      <c r="Z22" s="2"/>
      <c r="AA22" t="s">
        <v>101</v>
      </c>
    </row>
    <row r="23" spans="1:27" x14ac:dyDescent="0.25">
      <c r="A23" s="12">
        <v>8415</v>
      </c>
      <c r="B23" s="12">
        <v>315</v>
      </c>
      <c r="C23" t="s">
        <v>102</v>
      </c>
      <c r="D23">
        <v>247651</v>
      </c>
      <c r="E23" s="8" t="s">
        <v>103</v>
      </c>
      <c r="F23" s="12">
        <v>21</v>
      </c>
      <c r="G23" s="8" t="s">
        <v>69</v>
      </c>
      <c r="H23" s="12">
        <v>3199</v>
      </c>
      <c r="I23" t="s">
        <v>104</v>
      </c>
      <c r="J23" t="s">
        <v>46</v>
      </c>
      <c r="N23" s="12"/>
      <c r="O23" s="8"/>
      <c r="P23">
        <v>1</v>
      </c>
      <c r="Q23" s="8">
        <v>1</v>
      </c>
      <c r="R23" s="12">
        <v>3</v>
      </c>
      <c r="S23" s="8">
        <v>3</v>
      </c>
      <c r="T23" s="12"/>
      <c r="U23" s="8"/>
      <c r="V23" s="2">
        <v>45658</v>
      </c>
      <c r="W23" s="2">
        <v>1</v>
      </c>
      <c r="X23" s="2">
        <v>45716</v>
      </c>
      <c r="Y23" s="2">
        <v>45726</v>
      </c>
      <c r="Z23" s="2"/>
      <c r="AA23" t="s">
        <v>105</v>
      </c>
    </row>
    <row r="24" spans="1:27" x14ac:dyDescent="0.25">
      <c r="A24" s="12">
        <v>8416</v>
      </c>
      <c r="B24" s="12">
        <v>316</v>
      </c>
      <c r="C24" t="s">
        <v>106</v>
      </c>
      <c r="D24">
        <v>247770</v>
      </c>
      <c r="E24" s="8" t="s">
        <v>107</v>
      </c>
      <c r="F24" s="12">
        <v>28</v>
      </c>
      <c r="G24" s="8" t="s">
        <v>52</v>
      </c>
      <c r="H24" s="12"/>
      <c r="J24" t="s">
        <v>46</v>
      </c>
      <c r="N24" s="12"/>
      <c r="O24" s="8"/>
      <c r="P24">
        <v>2</v>
      </c>
      <c r="Q24" s="8">
        <v>2</v>
      </c>
      <c r="R24" s="12">
        <v>2</v>
      </c>
      <c r="S24" s="8">
        <v>2</v>
      </c>
      <c r="T24" s="12"/>
      <c r="U24" s="8"/>
      <c r="V24" s="2">
        <v>45658</v>
      </c>
      <c r="W24" s="2">
        <v>1</v>
      </c>
      <c r="X24" s="2">
        <v>45702</v>
      </c>
      <c r="Y24" s="2">
        <v>45726</v>
      </c>
      <c r="Z24" s="2"/>
      <c r="AA24" t="s">
        <v>108</v>
      </c>
    </row>
    <row r="25" spans="1:27" x14ac:dyDescent="0.25">
      <c r="A25" s="12">
        <v>8418</v>
      </c>
      <c r="B25" s="12">
        <v>318</v>
      </c>
      <c r="C25" t="s">
        <v>109</v>
      </c>
      <c r="D25">
        <v>247068</v>
      </c>
      <c r="E25" s="8" t="s">
        <v>110</v>
      </c>
      <c r="F25" s="12">
        <v>28</v>
      </c>
      <c r="G25" s="8" t="s">
        <v>52</v>
      </c>
      <c r="H25" s="12"/>
      <c r="J25" t="s">
        <v>46</v>
      </c>
      <c r="N25" s="12"/>
      <c r="O25" s="8"/>
      <c r="P25">
        <v>2</v>
      </c>
      <c r="Q25" s="8">
        <v>2</v>
      </c>
      <c r="R25" s="12">
        <v>2</v>
      </c>
      <c r="S25" s="8">
        <v>2</v>
      </c>
      <c r="T25" s="12"/>
      <c r="U25" s="8"/>
      <c r="V25" s="2">
        <v>45659</v>
      </c>
      <c r="W25" s="2">
        <v>1</v>
      </c>
      <c r="X25" s="2">
        <v>45712</v>
      </c>
      <c r="Y25" s="2">
        <v>45712</v>
      </c>
      <c r="Z25" s="2"/>
      <c r="AA25" t="s">
        <v>111</v>
      </c>
    </row>
    <row r="26" spans="1:27" x14ac:dyDescent="0.25">
      <c r="A26" s="12">
        <v>8419</v>
      </c>
      <c r="B26" s="12">
        <v>320</v>
      </c>
      <c r="C26" t="s">
        <v>112</v>
      </c>
      <c r="D26">
        <v>247556</v>
      </c>
      <c r="E26" s="8" t="s">
        <v>59</v>
      </c>
      <c r="F26" s="12">
        <v>28</v>
      </c>
      <c r="G26" s="8" t="s">
        <v>52</v>
      </c>
      <c r="H26" s="12"/>
      <c r="J26" t="s">
        <v>46</v>
      </c>
      <c r="N26" s="12"/>
      <c r="O26" s="8"/>
      <c r="P26">
        <v>3</v>
      </c>
      <c r="Q26" s="8">
        <v>3</v>
      </c>
      <c r="R26" s="12">
        <v>3</v>
      </c>
      <c r="S26" s="8">
        <v>3</v>
      </c>
      <c r="T26" s="12"/>
      <c r="U26" s="8"/>
      <c r="V26" s="2">
        <v>45658</v>
      </c>
      <c r="W26" s="2">
        <v>1</v>
      </c>
      <c r="X26" s="2">
        <v>45761</v>
      </c>
      <c r="Y26" s="2">
        <v>45761</v>
      </c>
      <c r="Z26" s="2"/>
      <c r="AA26" t="s">
        <v>113</v>
      </c>
    </row>
    <row r="27" spans="1:27" x14ac:dyDescent="0.25">
      <c r="A27" s="12">
        <v>8420</v>
      </c>
      <c r="B27" s="12">
        <v>322</v>
      </c>
      <c r="C27" t="s">
        <v>114</v>
      </c>
      <c r="D27">
        <v>247857</v>
      </c>
      <c r="E27" s="8" t="s">
        <v>62</v>
      </c>
      <c r="F27" s="12">
        <v>28</v>
      </c>
      <c r="G27" s="8" t="s">
        <v>52</v>
      </c>
      <c r="H27" s="12"/>
      <c r="J27" t="s">
        <v>46</v>
      </c>
      <c r="N27" s="12"/>
      <c r="O27" s="8"/>
      <c r="P27">
        <v>3</v>
      </c>
      <c r="Q27" s="8">
        <v>3</v>
      </c>
      <c r="R27" s="12">
        <v>1</v>
      </c>
      <c r="S27" s="8">
        <v>1</v>
      </c>
      <c r="T27" s="12"/>
      <c r="U27" s="8"/>
      <c r="V27" s="2">
        <v>45658</v>
      </c>
      <c r="W27" s="2">
        <v>1</v>
      </c>
      <c r="X27" s="2">
        <v>45761</v>
      </c>
      <c r="Y27" s="2">
        <v>45761</v>
      </c>
      <c r="Z27" s="2"/>
      <c r="AA27" t="s">
        <v>115</v>
      </c>
    </row>
    <row r="28" spans="1:27" x14ac:dyDescent="0.25">
      <c r="A28" s="12">
        <v>8421</v>
      </c>
      <c r="B28" s="12">
        <v>323</v>
      </c>
      <c r="C28" t="s">
        <v>116</v>
      </c>
      <c r="D28">
        <v>247722</v>
      </c>
      <c r="E28" s="8" t="s">
        <v>117</v>
      </c>
      <c r="F28" s="12">
        <v>28</v>
      </c>
      <c r="G28" s="8" t="s">
        <v>52</v>
      </c>
      <c r="H28" s="12">
        <v>2767</v>
      </c>
      <c r="I28" t="s">
        <v>118</v>
      </c>
      <c r="J28" t="s">
        <v>46</v>
      </c>
      <c r="N28" s="12"/>
      <c r="O28" s="8"/>
      <c r="P28">
        <v>1</v>
      </c>
      <c r="Q28" s="8">
        <v>1</v>
      </c>
      <c r="R28" s="12">
        <v>3</v>
      </c>
      <c r="S28" s="8">
        <v>3</v>
      </c>
      <c r="T28" s="12"/>
      <c r="U28" s="8"/>
      <c r="V28" s="2">
        <v>45658</v>
      </c>
      <c r="W28" s="2">
        <v>1</v>
      </c>
      <c r="X28" s="2">
        <v>45744</v>
      </c>
      <c r="Y28" s="2">
        <v>45775</v>
      </c>
      <c r="Z28" s="2"/>
      <c r="AA28" t="s">
        <v>119</v>
      </c>
    </row>
    <row r="29" spans="1:27" x14ac:dyDescent="0.25">
      <c r="A29" s="12">
        <v>8422</v>
      </c>
      <c r="B29" s="12">
        <v>324</v>
      </c>
      <c r="C29" t="s">
        <v>120</v>
      </c>
      <c r="D29">
        <v>247374</v>
      </c>
      <c r="E29" s="8" t="s">
        <v>121</v>
      </c>
      <c r="F29" s="12">
        <v>28</v>
      </c>
      <c r="G29" s="8" t="s">
        <v>52</v>
      </c>
      <c r="H29" s="12"/>
      <c r="J29" t="s">
        <v>46</v>
      </c>
      <c r="N29" s="12"/>
      <c r="O29" s="8"/>
      <c r="P29">
        <v>2</v>
      </c>
      <c r="Q29" s="8">
        <v>2</v>
      </c>
      <c r="R29" s="12">
        <v>2</v>
      </c>
      <c r="S29" s="8">
        <v>2</v>
      </c>
      <c r="T29" s="12"/>
      <c r="U29" s="8"/>
      <c r="V29" s="2">
        <v>45658</v>
      </c>
      <c r="W29" s="2">
        <v>1</v>
      </c>
      <c r="X29" s="2">
        <v>45744</v>
      </c>
      <c r="Y29" s="2">
        <v>45791</v>
      </c>
      <c r="Z29" s="2"/>
      <c r="AA29" t="s">
        <v>122</v>
      </c>
    </row>
    <row r="30" spans="1:27" x14ac:dyDescent="0.25">
      <c r="A30" s="12">
        <v>8423</v>
      </c>
      <c r="B30" s="12">
        <v>326</v>
      </c>
      <c r="C30" t="s">
        <v>123</v>
      </c>
      <c r="D30">
        <v>247828</v>
      </c>
      <c r="E30" s="8" t="s">
        <v>43</v>
      </c>
      <c r="F30" s="12">
        <v>28</v>
      </c>
      <c r="G30" s="8" t="s">
        <v>52</v>
      </c>
      <c r="H30" s="12"/>
      <c r="J30" t="s">
        <v>46</v>
      </c>
      <c r="N30" s="12"/>
      <c r="O30" s="8"/>
      <c r="P30">
        <v>2</v>
      </c>
      <c r="Q30" s="8">
        <v>2</v>
      </c>
      <c r="R30" s="12">
        <v>2</v>
      </c>
      <c r="S30" s="8">
        <v>2</v>
      </c>
      <c r="T30" s="12"/>
      <c r="U30" s="8"/>
      <c r="V30" s="2">
        <v>45658</v>
      </c>
      <c r="W30" s="2">
        <v>1</v>
      </c>
      <c r="X30" s="2">
        <v>45744</v>
      </c>
      <c r="Y30" s="2">
        <v>45761</v>
      </c>
      <c r="Z30" s="2"/>
      <c r="AA30" t="s">
        <v>124</v>
      </c>
    </row>
    <row r="31" spans="1:27" x14ac:dyDescent="0.25">
      <c r="A31" s="12">
        <v>8426</v>
      </c>
      <c r="B31" s="12">
        <v>331</v>
      </c>
      <c r="C31" t="s">
        <v>125</v>
      </c>
      <c r="D31">
        <v>289092</v>
      </c>
      <c r="E31" s="8" t="s">
        <v>126</v>
      </c>
      <c r="F31" s="12">
        <v>21</v>
      </c>
      <c r="G31" s="8" t="s">
        <v>69</v>
      </c>
      <c r="H31" s="12">
        <v>3203</v>
      </c>
      <c r="I31" t="s">
        <v>127</v>
      </c>
      <c r="J31" t="s">
        <v>46</v>
      </c>
      <c r="K31" t="b">
        <v>1</v>
      </c>
      <c r="N31" s="12"/>
      <c r="O31" s="8"/>
      <c r="P31">
        <v>1</v>
      </c>
      <c r="Q31" s="8">
        <v>1</v>
      </c>
      <c r="R31" s="12">
        <v>1</v>
      </c>
      <c r="S31" s="8">
        <v>1</v>
      </c>
      <c r="T31" s="12"/>
      <c r="U31" s="8"/>
      <c r="V31" s="2">
        <v>45658</v>
      </c>
      <c r="W31" s="2">
        <v>1</v>
      </c>
      <c r="X31" s="2">
        <v>45688</v>
      </c>
      <c r="Y31" s="2">
        <v>45761</v>
      </c>
      <c r="Z31" s="2"/>
      <c r="AA31" t="s">
        <v>128</v>
      </c>
    </row>
    <row r="32" spans="1:27" x14ac:dyDescent="0.25">
      <c r="A32" s="12">
        <v>8428</v>
      </c>
      <c r="B32" s="12">
        <v>337</v>
      </c>
      <c r="C32" t="s">
        <v>129</v>
      </c>
      <c r="D32">
        <v>289092</v>
      </c>
      <c r="E32" s="8" t="s">
        <v>126</v>
      </c>
      <c r="F32" s="12">
        <v>21</v>
      </c>
      <c r="G32" s="8" t="s">
        <v>69</v>
      </c>
      <c r="H32" s="12">
        <v>3203</v>
      </c>
      <c r="I32" t="s">
        <v>127</v>
      </c>
      <c r="J32" t="s">
        <v>46</v>
      </c>
      <c r="K32" t="b">
        <v>1</v>
      </c>
      <c r="N32" s="12"/>
      <c r="O32" s="8"/>
      <c r="P32">
        <v>1</v>
      </c>
      <c r="Q32" s="8">
        <v>1</v>
      </c>
      <c r="R32" s="12">
        <v>1</v>
      </c>
      <c r="S32" s="8">
        <v>1</v>
      </c>
      <c r="T32" s="12"/>
      <c r="U32" s="8"/>
      <c r="V32" s="2">
        <v>45658</v>
      </c>
      <c r="W32" s="2">
        <v>1</v>
      </c>
      <c r="X32" s="2">
        <v>45681</v>
      </c>
      <c r="Y32" s="2">
        <v>45740</v>
      </c>
      <c r="Z32" s="2"/>
      <c r="AA32" t="s">
        <v>130</v>
      </c>
    </row>
    <row r="33" spans="1:27" x14ac:dyDescent="0.25">
      <c r="A33" s="12">
        <v>8429</v>
      </c>
      <c r="B33" s="12">
        <v>341</v>
      </c>
      <c r="C33" t="s">
        <v>131</v>
      </c>
      <c r="D33">
        <v>247904</v>
      </c>
      <c r="E33" s="8" t="s">
        <v>132</v>
      </c>
      <c r="F33" s="12">
        <v>28</v>
      </c>
      <c r="G33" s="8" t="s">
        <v>52</v>
      </c>
      <c r="H33" s="12">
        <v>312</v>
      </c>
      <c r="I33" t="s">
        <v>133</v>
      </c>
      <c r="J33" t="s">
        <v>46</v>
      </c>
      <c r="N33" s="12"/>
      <c r="O33" s="8"/>
      <c r="P33">
        <v>1</v>
      </c>
      <c r="Q33" s="8">
        <v>1</v>
      </c>
      <c r="R33" s="12">
        <v>1</v>
      </c>
      <c r="S33" s="8">
        <v>1</v>
      </c>
      <c r="T33" s="12"/>
      <c r="U33" s="8"/>
      <c r="V33" s="2">
        <v>45658</v>
      </c>
      <c r="W33" s="2">
        <v>1</v>
      </c>
      <c r="X33" s="2">
        <v>45869</v>
      </c>
      <c r="Y33" s="2">
        <v>45869</v>
      </c>
      <c r="Z33" s="2"/>
      <c r="AA33" t="s">
        <v>134</v>
      </c>
    </row>
    <row r="34" spans="1:27" x14ac:dyDescent="0.25">
      <c r="A34" s="12">
        <v>8430</v>
      </c>
      <c r="B34" s="12">
        <v>343</v>
      </c>
      <c r="C34" t="s">
        <v>135</v>
      </c>
      <c r="D34">
        <v>247885</v>
      </c>
      <c r="E34" s="8" t="s">
        <v>65</v>
      </c>
      <c r="F34" s="12">
        <v>28</v>
      </c>
      <c r="G34" s="8" t="s">
        <v>52</v>
      </c>
      <c r="H34" s="12">
        <v>312</v>
      </c>
      <c r="I34" t="s">
        <v>133</v>
      </c>
      <c r="J34" t="s">
        <v>46</v>
      </c>
      <c r="N34" s="12"/>
      <c r="O34" s="8"/>
      <c r="P34">
        <v>1</v>
      </c>
      <c r="Q34" s="8">
        <v>1</v>
      </c>
      <c r="R34" s="12">
        <v>1</v>
      </c>
      <c r="S34" s="8">
        <v>1</v>
      </c>
      <c r="T34" s="12"/>
      <c r="U34" s="8"/>
      <c r="V34" s="2">
        <v>45658</v>
      </c>
      <c r="W34" s="2">
        <v>1</v>
      </c>
      <c r="X34" s="2">
        <v>45760</v>
      </c>
      <c r="Y34" s="2">
        <v>45760</v>
      </c>
      <c r="Z34" s="2"/>
      <c r="AA34" t="s">
        <v>136</v>
      </c>
    </row>
    <row r="35" spans="1:27" x14ac:dyDescent="0.25">
      <c r="A35" s="12">
        <v>8431</v>
      </c>
      <c r="B35" s="12">
        <v>345</v>
      </c>
      <c r="C35" t="s">
        <v>137</v>
      </c>
      <c r="D35">
        <v>247885</v>
      </c>
      <c r="E35" s="8" t="s">
        <v>65</v>
      </c>
      <c r="F35" s="12">
        <v>28</v>
      </c>
      <c r="G35" s="8" t="s">
        <v>52</v>
      </c>
      <c r="H35" s="12">
        <v>312</v>
      </c>
      <c r="I35" t="s">
        <v>133</v>
      </c>
      <c r="J35" t="s">
        <v>46</v>
      </c>
      <c r="N35" s="12"/>
      <c r="O35" s="8"/>
      <c r="P35">
        <v>1</v>
      </c>
      <c r="Q35" s="8">
        <v>1</v>
      </c>
      <c r="R35" s="12">
        <v>1</v>
      </c>
      <c r="S35" s="8">
        <v>1</v>
      </c>
      <c r="T35" s="12"/>
      <c r="U35" s="8"/>
      <c r="V35" s="2">
        <v>45658</v>
      </c>
      <c r="W35" s="2">
        <v>1</v>
      </c>
      <c r="X35" s="2">
        <v>45760</v>
      </c>
      <c r="Y35" s="2">
        <v>45790</v>
      </c>
      <c r="Z35" s="2"/>
      <c r="AA35" t="s">
        <v>138</v>
      </c>
    </row>
    <row r="36" spans="1:27" x14ac:dyDescent="0.25">
      <c r="A36" s="12">
        <v>8432</v>
      </c>
      <c r="B36" s="12">
        <v>346</v>
      </c>
      <c r="C36" t="s">
        <v>139</v>
      </c>
      <c r="D36">
        <v>247828</v>
      </c>
      <c r="E36" s="8" t="s">
        <v>43</v>
      </c>
      <c r="F36" s="12">
        <v>21</v>
      </c>
      <c r="G36" s="8" t="s">
        <v>69</v>
      </c>
      <c r="H36" s="12">
        <v>3234</v>
      </c>
      <c r="I36" t="s">
        <v>140</v>
      </c>
      <c r="J36" t="s">
        <v>46</v>
      </c>
      <c r="N36" s="12"/>
      <c r="O36" s="8"/>
      <c r="P36">
        <v>1</v>
      </c>
      <c r="Q36" s="8">
        <v>1</v>
      </c>
      <c r="R36" s="12">
        <v>1</v>
      </c>
      <c r="S36" s="8">
        <v>1</v>
      </c>
      <c r="T36" s="12"/>
      <c r="U36" s="8"/>
      <c r="V36" s="2">
        <v>45658</v>
      </c>
      <c r="W36" s="2">
        <v>1</v>
      </c>
      <c r="X36" s="2">
        <v>45688</v>
      </c>
      <c r="Y36" s="2">
        <v>45688</v>
      </c>
      <c r="Z36" s="2"/>
      <c r="AA36" t="s">
        <v>141</v>
      </c>
    </row>
    <row r="37" spans="1:27" x14ac:dyDescent="0.25">
      <c r="A37" s="12">
        <v>8433</v>
      </c>
      <c r="B37" s="12">
        <v>347</v>
      </c>
      <c r="C37" t="s">
        <v>142</v>
      </c>
      <c r="D37">
        <v>247857</v>
      </c>
      <c r="E37" s="8" t="s">
        <v>62</v>
      </c>
      <c r="F37" s="12">
        <v>28</v>
      </c>
      <c r="G37" s="8" t="s">
        <v>52</v>
      </c>
      <c r="H37" s="12">
        <v>3234</v>
      </c>
      <c r="I37" t="s">
        <v>140</v>
      </c>
      <c r="J37" t="s">
        <v>46</v>
      </c>
      <c r="N37" s="12"/>
      <c r="O37" s="8"/>
      <c r="P37">
        <v>3</v>
      </c>
      <c r="Q37" s="8">
        <v>3</v>
      </c>
      <c r="R37" s="12">
        <v>1</v>
      </c>
      <c r="S37" s="8">
        <v>1</v>
      </c>
      <c r="T37" s="12"/>
      <c r="U37" s="8"/>
      <c r="V37" s="2">
        <v>45658</v>
      </c>
      <c r="W37" s="2">
        <v>1</v>
      </c>
      <c r="X37" s="2">
        <v>45716</v>
      </c>
      <c r="Y37" s="2">
        <v>45761</v>
      </c>
      <c r="Z37" s="2"/>
      <c r="AA37" t="s">
        <v>143</v>
      </c>
    </row>
    <row r="38" spans="1:27" x14ac:dyDescent="0.25">
      <c r="A38" s="12">
        <v>8434</v>
      </c>
      <c r="B38" s="12">
        <v>348</v>
      </c>
      <c r="C38" t="s">
        <v>144</v>
      </c>
      <c r="D38">
        <v>247722</v>
      </c>
      <c r="E38" s="8" t="s">
        <v>117</v>
      </c>
      <c r="F38" s="12">
        <v>21</v>
      </c>
      <c r="G38" s="8" t="s">
        <v>69</v>
      </c>
      <c r="H38" s="12">
        <v>3234</v>
      </c>
      <c r="I38" t="s">
        <v>140</v>
      </c>
      <c r="J38" t="s">
        <v>46</v>
      </c>
      <c r="N38" s="12"/>
      <c r="O38" s="8"/>
      <c r="P38">
        <v>1</v>
      </c>
      <c r="Q38" s="8">
        <v>1</v>
      </c>
      <c r="R38" s="12">
        <v>1</v>
      </c>
      <c r="S38" s="8">
        <v>1</v>
      </c>
      <c r="T38" s="12"/>
      <c r="U38" s="8"/>
      <c r="V38" s="2">
        <v>45658</v>
      </c>
      <c r="W38" s="2">
        <v>1</v>
      </c>
      <c r="X38" s="2">
        <v>45688</v>
      </c>
      <c r="Y38" s="2">
        <v>45688</v>
      </c>
      <c r="Z38" s="2"/>
      <c r="AA38" t="s">
        <v>145</v>
      </c>
    </row>
    <row r="39" spans="1:27" x14ac:dyDescent="0.25">
      <c r="A39" s="12">
        <v>8435</v>
      </c>
      <c r="B39" s="12">
        <v>349</v>
      </c>
      <c r="C39" t="s">
        <v>146</v>
      </c>
      <c r="D39">
        <v>247828</v>
      </c>
      <c r="E39" s="8" t="s">
        <v>43</v>
      </c>
      <c r="F39" s="12">
        <v>28</v>
      </c>
      <c r="G39" s="8" t="s">
        <v>52</v>
      </c>
      <c r="H39" s="12">
        <v>3234</v>
      </c>
      <c r="I39" t="s">
        <v>140</v>
      </c>
      <c r="J39" t="s">
        <v>46</v>
      </c>
      <c r="N39" s="12"/>
      <c r="O39" s="8"/>
      <c r="P39">
        <v>3</v>
      </c>
      <c r="Q39" s="8">
        <v>3</v>
      </c>
      <c r="R39" s="12">
        <v>3</v>
      </c>
      <c r="S39" s="8">
        <v>3</v>
      </c>
      <c r="T39" s="12"/>
      <c r="U39" s="8"/>
      <c r="V39" s="2">
        <v>45658</v>
      </c>
      <c r="W39" s="2">
        <v>1</v>
      </c>
      <c r="X39" s="2">
        <v>45726</v>
      </c>
      <c r="Y39" s="2">
        <v>45726</v>
      </c>
      <c r="Z39" s="2"/>
      <c r="AA39" t="s">
        <v>147</v>
      </c>
    </row>
    <row r="40" spans="1:27" x14ac:dyDescent="0.25">
      <c r="A40" s="12">
        <v>8436</v>
      </c>
      <c r="B40" s="12">
        <v>350</v>
      </c>
      <c r="C40" t="s">
        <v>148</v>
      </c>
      <c r="D40">
        <v>247857</v>
      </c>
      <c r="E40" s="8" t="s">
        <v>62</v>
      </c>
      <c r="F40" s="12">
        <v>28</v>
      </c>
      <c r="G40" s="8" t="s">
        <v>52</v>
      </c>
      <c r="H40" s="12">
        <v>3234</v>
      </c>
      <c r="I40" t="s">
        <v>140</v>
      </c>
      <c r="J40" t="s">
        <v>46</v>
      </c>
      <c r="N40" s="12"/>
      <c r="O40" s="8"/>
      <c r="P40">
        <v>1</v>
      </c>
      <c r="Q40" s="8">
        <v>1</v>
      </c>
      <c r="R40" s="12">
        <v>1</v>
      </c>
      <c r="S40" s="8">
        <v>1</v>
      </c>
      <c r="T40" s="12"/>
      <c r="U40" s="8"/>
      <c r="V40" s="2">
        <v>45658</v>
      </c>
      <c r="W40" s="2">
        <v>1</v>
      </c>
      <c r="X40" s="2">
        <v>45702</v>
      </c>
      <c r="Y40" s="2">
        <v>45702</v>
      </c>
      <c r="Z40" s="2"/>
      <c r="AA40" t="s">
        <v>149</v>
      </c>
    </row>
    <row r="41" spans="1:27" x14ac:dyDescent="0.25">
      <c r="A41" s="12">
        <v>8437</v>
      </c>
      <c r="B41" s="12">
        <v>351</v>
      </c>
      <c r="C41" t="s">
        <v>150</v>
      </c>
      <c r="D41">
        <v>247828</v>
      </c>
      <c r="E41" s="8" t="s">
        <v>43</v>
      </c>
      <c r="F41" s="12">
        <v>28</v>
      </c>
      <c r="G41" s="8" t="s">
        <v>52</v>
      </c>
      <c r="H41" s="12">
        <v>3234</v>
      </c>
      <c r="I41" t="s">
        <v>140</v>
      </c>
      <c r="J41" t="s">
        <v>46</v>
      </c>
      <c r="N41" s="12"/>
      <c r="O41" s="8"/>
      <c r="P41">
        <v>3</v>
      </c>
      <c r="Q41" s="8">
        <v>3</v>
      </c>
      <c r="R41" s="12">
        <v>1</v>
      </c>
      <c r="S41" s="8">
        <v>1</v>
      </c>
      <c r="T41" s="12"/>
      <c r="U41" s="8"/>
      <c r="V41" s="2">
        <v>45658</v>
      </c>
      <c r="W41" s="2">
        <v>1</v>
      </c>
      <c r="X41" s="2">
        <v>45716</v>
      </c>
      <c r="Y41" s="2">
        <v>45757</v>
      </c>
      <c r="Z41" s="2"/>
      <c r="AA41" t="s">
        <v>151</v>
      </c>
    </row>
    <row r="42" spans="1:27" x14ac:dyDescent="0.25">
      <c r="A42" s="12">
        <v>8443</v>
      </c>
      <c r="B42" s="12">
        <v>367</v>
      </c>
      <c r="C42" t="s">
        <v>152</v>
      </c>
      <c r="D42">
        <v>247605</v>
      </c>
      <c r="E42" s="8" t="s">
        <v>153</v>
      </c>
      <c r="F42" s="12">
        <v>29</v>
      </c>
      <c r="G42" s="8" t="s">
        <v>154</v>
      </c>
      <c r="H42" s="12"/>
      <c r="J42" t="s">
        <v>46</v>
      </c>
      <c r="N42" s="12"/>
      <c r="O42" s="8"/>
      <c r="P42">
        <v>2</v>
      </c>
      <c r="Q42" s="8">
        <v>2</v>
      </c>
      <c r="R42" s="12">
        <v>2</v>
      </c>
      <c r="S42" s="8">
        <v>2</v>
      </c>
      <c r="T42" s="12"/>
      <c r="U42" s="8"/>
      <c r="V42" s="2">
        <v>45685</v>
      </c>
      <c r="W42" s="2">
        <v>1</v>
      </c>
      <c r="X42" s="2">
        <v>45716</v>
      </c>
      <c r="Y42" s="2">
        <v>45723</v>
      </c>
      <c r="Z42" s="2"/>
      <c r="AA42" t="s">
        <v>155</v>
      </c>
    </row>
    <row r="43" spans="1:27" x14ac:dyDescent="0.25">
      <c r="A43" s="12">
        <v>8444</v>
      </c>
      <c r="B43" s="12">
        <v>368</v>
      </c>
      <c r="C43" t="s">
        <v>156</v>
      </c>
      <c r="D43">
        <v>247888</v>
      </c>
      <c r="E43" s="8" t="s">
        <v>157</v>
      </c>
      <c r="F43" s="12">
        <v>22</v>
      </c>
      <c r="G43" s="8" t="s">
        <v>77</v>
      </c>
      <c r="H43" s="12">
        <v>3233</v>
      </c>
      <c r="I43" t="s">
        <v>45</v>
      </c>
      <c r="J43" t="s">
        <v>46</v>
      </c>
      <c r="N43" s="12"/>
      <c r="O43" s="8"/>
      <c r="P43">
        <v>1</v>
      </c>
      <c r="Q43" s="8">
        <v>1</v>
      </c>
      <c r="R43" s="12">
        <v>1</v>
      </c>
      <c r="S43" s="8">
        <v>1</v>
      </c>
      <c r="T43" s="12"/>
      <c r="U43" s="8"/>
      <c r="V43" s="2">
        <v>45653</v>
      </c>
      <c r="W43" s="2">
        <v>1</v>
      </c>
      <c r="X43" s="2">
        <v>45695</v>
      </c>
      <c r="Y43" s="2">
        <v>45695</v>
      </c>
      <c r="Z43" s="2"/>
      <c r="AA43" t="s">
        <v>158</v>
      </c>
    </row>
    <row r="44" spans="1:27" x14ac:dyDescent="0.25">
      <c r="A44" s="12">
        <v>8453</v>
      </c>
      <c r="B44" s="12">
        <v>372</v>
      </c>
      <c r="C44" t="s">
        <v>429</v>
      </c>
      <c r="D44">
        <v>289036</v>
      </c>
      <c r="E44" s="8" t="s">
        <v>262</v>
      </c>
      <c r="F44" s="12">
        <v>29</v>
      </c>
      <c r="G44" s="8" t="s">
        <v>154</v>
      </c>
      <c r="H44" s="12">
        <v>195</v>
      </c>
      <c r="I44" t="s">
        <v>78</v>
      </c>
      <c r="J44" t="s">
        <v>46</v>
      </c>
      <c r="K44" t="b">
        <v>1</v>
      </c>
      <c r="N44" s="12"/>
      <c r="O44" s="8"/>
      <c r="Q44" s="8"/>
      <c r="R44" s="12">
        <v>1</v>
      </c>
      <c r="S44" s="8">
        <v>1</v>
      </c>
      <c r="T44" s="12"/>
      <c r="U44" s="8"/>
      <c r="V44" s="2">
        <v>45673</v>
      </c>
      <c r="W44" s="2">
        <v>1</v>
      </c>
      <c r="X44" s="2">
        <v>45675</v>
      </c>
      <c r="Y44" s="2">
        <v>45675</v>
      </c>
      <c r="Z44" s="2"/>
    </row>
    <row r="45" spans="1:27" x14ac:dyDescent="0.25">
      <c r="A45" s="12">
        <v>8245</v>
      </c>
      <c r="B45" s="12">
        <v>0</v>
      </c>
      <c r="C45" t="s">
        <v>159</v>
      </c>
      <c r="E45" s="8"/>
      <c r="F45" s="12">
        <v>29</v>
      </c>
      <c r="G45" s="8" t="s">
        <v>154</v>
      </c>
      <c r="H45" s="12">
        <v>252</v>
      </c>
      <c r="I45" t="s">
        <v>160</v>
      </c>
      <c r="J45" t="s">
        <v>46</v>
      </c>
      <c r="L45">
        <v>1</v>
      </c>
      <c r="M45" t="s">
        <v>161</v>
      </c>
      <c r="N45" s="12"/>
      <c r="O45" s="8"/>
      <c r="Q45" s="8"/>
      <c r="R45" s="12"/>
      <c r="S45" s="8"/>
      <c r="T45" s="12"/>
      <c r="U45" s="8"/>
      <c r="V45" s="2"/>
      <c r="W45" s="2"/>
      <c r="X45" s="2"/>
      <c r="Y45" s="2"/>
      <c r="Z45" s="2"/>
    </row>
    <row r="46" spans="1:27" x14ac:dyDescent="0.25">
      <c r="A46" s="12">
        <v>8329</v>
      </c>
      <c r="B46" s="12">
        <v>0</v>
      </c>
      <c r="C46" t="s">
        <v>162</v>
      </c>
      <c r="D46">
        <v>247047</v>
      </c>
      <c r="E46" s="8" t="s">
        <v>163</v>
      </c>
      <c r="F46" s="12">
        <v>29</v>
      </c>
      <c r="G46" s="8" t="s">
        <v>154</v>
      </c>
      <c r="H46" s="12">
        <v>312</v>
      </c>
      <c r="I46" t="s">
        <v>133</v>
      </c>
      <c r="J46" t="s">
        <v>46</v>
      </c>
      <c r="K46" t="b">
        <v>1</v>
      </c>
      <c r="N46" s="12"/>
      <c r="O46" s="8"/>
      <c r="Q46" s="8"/>
      <c r="R46" s="12"/>
      <c r="S46" s="8"/>
      <c r="T46" s="12"/>
      <c r="U46" s="8"/>
      <c r="V46" s="2"/>
      <c r="W46" s="2"/>
      <c r="X46" s="2"/>
      <c r="Y46" s="2"/>
      <c r="Z46" s="2"/>
    </row>
    <row r="47" spans="1:27" x14ac:dyDescent="0.25">
      <c r="A47" s="12">
        <v>8263</v>
      </c>
      <c r="B47" s="12">
        <v>296</v>
      </c>
      <c r="C47" t="s">
        <v>164</v>
      </c>
      <c r="E47" s="8"/>
      <c r="F47" s="12">
        <v>29</v>
      </c>
      <c r="G47" s="8" t="s">
        <v>154</v>
      </c>
      <c r="H47" s="12">
        <v>3202</v>
      </c>
      <c r="I47" t="s">
        <v>165</v>
      </c>
      <c r="J47" t="s">
        <v>46</v>
      </c>
      <c r="N47" s="12"/>
      <c r="O47" s="8"/>
      <c r="P47">
        <v>3</v>
      </c>
      <c r="Q47" s="8">
        <v>3</v>
      </c>
      <c r="R47" s="12">
        <v>1</v>
      </c>
      <c r="S47" s="8">
        <v>1</v>
      </c>
      <c r="T47" s="12"/>
      <c r="U47" s="8"/>
      <c r="V47" s="2">
        <v>45658</v>
      </c>
      <c r="W47" s="2">
        <v>1</v>
      </c>
      <c r="X47" s="2">
        <v>45730</v>
      </c>
      <c r="Y47" s="2">
        <v>45761</v>
      </c>
      <c r="Z47" s="2"/>
    </row>
    <row r="48" spans="1:27" x14ac:dyDescent="0.25">
      <c r="A48" s="12">
        <v>8256</v>
      </c>
      <c r="B48" s="12">
        <v>362</v>
      </c>
      <c r="C48" t="s">
        <v>166</v>
      </c>
      <c r="D48">
        <v>247002</v>
      </c>
      <c r="E48" s="8" t="s">
        <v>167</v>
      </c>
      <c r="F48" s="12">
        <v>21</v>
      </c>
      <c r="G48" s="8" t="s">
        <v>69</v>
      </c>
      <c r="H48" s="12">
        <v>3202</v>
      </c>
      <c r="I48" t="s">
        <v>165</v>
      </c>
      <c r="J48" t="s">
        <v>46</v>
      </c>
      <c r="K48" t="b">
        <v>1</v>
      </c>
      <c r="N48" s="12"/>
      <c r="O48" s="8"/>
      <c r="P48">
        <v>1</v>
      </c>
      <c r="Q48" s="8">
        <v>1</v>
      </c>
      <c r="R48" s="12">
        <v>2</v>
      </c>
      <c r="S48" s="8">
        <v>2</v>
      </c>
      <c r="T48" s="12"/>
      <c r="U48" s="8"/>
      <c r="V48" s="2">
        <v>45677</v>
      </c>
      <c r="W48" s="2">
        <v>1</v>
      </c>
      <c r="X48" s="2">
        <v>45681</v>
      </c>
      <c r="Y48" s="2">
        <v>45684</v>
      </c>
      <c r="Z48" s="2">
        <v>45717</v>
      </c>
    </row>
    <row r="49" spans="1:27" x14ac:dyDescent="0.25">
      <c r="A49" s="12">
        <v>8259</v>
      </c>
      <c r="B49" s="12">
        <v>298</v>
      </c>
      <c r="C49" t="s">
        <v>168</v>
      </c>
      <c r="D49">
        <v>247002</v>
      </c>
      <c r="E49" s="8" t="s">
        <v>167</v>
      </c>
      <c r="F49" s="12">
        <v>22</v>
      </c>
      <c r="G49" s="8" t="s">
        <v>77</v>
      </c>
      <c r="H49" s="12">
        <v>3202</v>
      </c>
      <c r="I49" t="s">
        <v>165</v>
      </c>
      <c r="J49" t="s">
        <v>46</v>
      </c>
      <c r="N49" s="12"/>
      <c r="O49" s="8"/>
      <c r="P49">
        <v>1</v>
      </c>
      <c r="Q49" s="8">
        <v>1</v>
      </c>
      <c r="R49" s="12">
        <v>1</v>
      </c>
      <c r="S49" s="8">
        <v>1</v>
      </c>
      <c r="T49" s="12"/>
      <c r="U49" s="8"/>
      <c r="V49" s="2">
        <v>45658</v>
      </c>
      <c r="W49" s="2">
        <v>1</v>
      </c>
      <c r="X49" s="2">
        <v>45691</v>
      </c>
      <c r="Y49" s="2">
        <v>45688</v>
      </c>
      <c r="Z49" s="2"/>
    </row>
    <row r="50" spans="1:27" x14ac:dyDescent="0.25">
      <c r="A50" s="12">
        <v>8325</v>
      </c>
      <c r="B50" s="12">
        <v>0</v>
      </c>
      <c r="C50" t="s">
        <v>169</v>
      </c>
      <c r="D50">
        <v>247857</v>
      </c>
      <c r="E50" s="8" t="s">
        <v>62</v>
      </c>
      <c r="F50" s="12">
        <v>29</v>
      </c>
      <c r="G50" s="8" t="s">
        <v>154</v>
      </c>
      <c r="H50" s="12">
        <v>252</v>
      </c>
      <c r="I50" t="s">
        <v>160</v>
      </c>
      <c r="J50" t="s">
        <v>46</v>
      </c>
      <c r="K50" t="b">
        <v>1</v>
      </c>
      <c r="L50">
        <v>3</v>
      </c>
      <c r="M50" t="s">
        <v>170</v>
      </c>
      <c r="N50" s="12">
        <v>2</v>
      </c>
      <c r="O50" s="8" t="s">
        <v>171</v>
      </c>
      <c r="P50">
        <v>2</v>
      </c>
      <c r="Q50" s="8">
        <v>2</v>
      </c>
      <c r="R50" s="12">
        <v>2</v>
      </c>
      <c r="S50" s="8">
        <v>2</v>
      </c>
      <c r="T50" s="12">
        <v>1</v>
      </c>
      <c r="U50" s="8" t="s">
        <v>172</v>
      </c>
      <c r="V50" s="2">
        <v>45699</v>
      </c>
      <c r="W50" s="2">
        <v>45705</v>
      </c>
      <c r="X50" s="2"/>
      <c r="Y50" s="2"/>
      <c r="Z50" s="2"/>
    </row>
    <row r="51" spans="1:27" x14ac:dyDescent="0.25">
      <c r="A51" s="12">
        <v>8264</v>
      </c>
      <c r="B51" s="12">
        <v>301</v>
      </c>
      <c r="C51" t="s">
        <v>173</v>
      </c>
      <c r="E51" s="8"/>
      <c r="F51" s="12">
        <v>29</v>
      </c>
      <c r="G51" s="8" t="s">
        <v>154</v>
      </c>
      <c r="H51" s="12">
        <v>3202</v>
      </c>
      <c r="I51" t="s">
        <v>165</v>
      </c>
      <c r="J51" t="s">
        <v>46</v>
      </c>
      <c r="N51" s="12"/>
      <c r="O51" s="8"/>
      <c r="P51">
        <v>3</v>
      </c>
      <c r="Q51" s="8">
        <v>3</v>
      </c>
      <c r="R51" s="12">
        <v>3</v>
      </c>
      <c r="S51" s="8">
        <v>3</v>
      </c>
      <c r="T51" s="12"/>
      <c r="U51" s="8"/>
      <c r="V51" s="2">
        <v>45658</v>
      </c>
      <c r="W51" s="2">
        <v>1</v>
      </c>
      <c r="X51" s="2">
        <v>45744</v>
      </c>
      <c r="Y51" s="2">
        <v>45791</v>
      </c>
      <c r="Z51" s="2"/>
    </row>
    <row r="52" spans="1:27" x14ac:dyDescent="0.25">
      <c r="A52" s="12">
        <v>8326</v>
      </c>
      <c r="B52" s="12">
        <v>0</v>
      </c>
      <c r="C52" t="s">
        <v>174</v>
      </c>
      <c r="D52">
        <v>289006</v>
      </c>
      <c r="E52" s="8" t="s">
        <v>76</v>
      </c>
      <c r="F52" s="12">
        <v>30</v>
      </c>
      <c r="G52" s="8" t="s">
        <v>44</v>
      </c>
      <c r="H52" s="12">
        <v>3202</v>
      </c>
      <c r="I52" t="s">
        <v>165</v>
      </c>
      <c r="J52" t="s">
        <v>46</v>
      </c>
      <c r="K52" t="b">
        <v>1</v>
      </c>
      <c r="L52">
        <v>4</v>
      </c>
      <c r="M52" t="s">
        <v>175</v>
      </c>
      <c r="N52" s="12">
        <v>1</v>
      </c>
      <c r="O52" s="8" t="s">
        <v>176</v>
      </c>
      <c r="P52">
        <v>2</v>
      </c>
      <c r="Q52" s="8">
        <v>2</v>
      </c>
      <c r="R52" s="12">
        <v>2</v>
      </c>
      <c r="S52" s="8">
        <v>2</v>
      </c>
      <c r="T52" s="12">
        <v>1</v>
      </c>
      <c r="U52" s="8" t="s">
        <v>172</v>
      </c>
      <c r="V52" s="2">
        <v>45694</v>
      </c>
      <c r="W52" s="2">
        <v>45701</v>
      </c>
      <c r="X52" s="2">
        <v>45716</v>
      </c>
      <c r="Y52" s="2">
        <v>45716</v>
      </c>
      <c r="Z52" s="2"/>
    </row>
    <row r="53" spans="1:27" x14ac:dyDescent="0.25">
      <c r="A53" s="12">
        <v>8253</v>
      </c>
      <c r="B53" s="12">
        <v>310</v>
      </c>
      <c r="C53" t="s">
        <v>177</v>
      </c>
      <c r="E53" s="8"/>
      <c r="F53" s="12">
        <v>27</v>
      </c>
      <c r="G53" s="8" t="s">
        <v>178</v>
      </c>
      <c r="H53" s="12">
        <v>3200</v>
      </c>
      <c r="I53" t="s">
        <v>179</v>
      </c>
      <c r="J53" t="s">
        <v>46</v>
      </c>
      <c r="N53" s="12"/>
      <c r="O53" s="8"/>
      <c r="P53">
        <v>1</v>
      </c>
      <c r="Q53" s="8">
        <v>1</v>
      </c>
      <c r="R53" s="12">
        <v>2</v>
      </c>
      <c r="S53" s="8">
        <v>2</v>
      </c>
      <c r="T53" s="12"/>
      <c r="U53" s="8"/>
      <c r="V53" s="2">
        <v>45658</v>
      </c>
      <c r="W53" s="2">
        <v>1</v>
      </c>
      <c r="X53" s="2">
        <v>45712</v>
      </c>
      <c r="Y53" s="2">
        <v>45712</v>
      </c>
      <c r="Z53" s="2"/>
      <c r="AA53" t="s">
        <v>180</v>
      </c>
    </row>
    <row r="54" spans="1:27" x14ac:dyDescent="0.25">
      <c r="A54" s="12">
        <v>8327</v>
      </c>
      <c r="B54" s="12">
        <v>0</v>
      </c>
      <c r="C54" t="s">
        <v>181</v>
      </c>
      <c r="D54">
        <v>247791</v>
      </c>
      <c r="E54" s="8" t="s">
        <v>182</v>
      </c>
      <c r="F54" s="12">
        <v>29</v>
      </c>
      <c r="G54" s="8" t="s">
        <v>154</v>
      </c>
      <c r="H54" s="12">
        <v>3201</v>
      </c>
      <c r="I54" t="s">
        <v>183</v>
      </c>
      <c r="J54" t="s">
        <v>46</v>
      </c>
      <c r="L54">
        <v>2</v>
      </c>
      <c r="M54" t="s">
        <v>184</v>
      </c>
      <c r="N54" s="12">
        <v>2</v>
      </c>
      <c r="O54" s="8" t="s">
        <v>171</v>
      </c>
      <c r="P54">
        <v>2</v>
      </c>
      <c r="Q54" s="8">
        <v>2</v>
      </c>
      <c r="R54" s="12">
        <v>2</v>
      </c>
      <c r="S54" s="8">
        <v>2</v>
      </c>
      <c r="T54" s="12">
        <v>2</v>
      </c>
      <c r="U54" s="8" t="s">
        <v>185</v>
      </c>
      <c r="V54" s="2">
        <v>45689</v>
      </c>
      <c r="W54" s="2"/>
      <c r="X54" s="2"/>
      <c r="Y54" s="2"/>
      <c r="Z54" s="2"/>
    </row>
    <row r="55" spans="1:27" x14ac:dyDescent="0.25">
      <c r="A55" s="12">
        <v>8261</v>
      </c>
      <c r="B55" s="12">
        <v>304</v>
      </c>
      <c r="C55" t="s">
        <v>186</v>
      </c>
      <c r="D55">
        <v>247795</v>
      </c>
      <c r="E55" s="8" t="s">
        <v>56</v>
      </c>
      <c r="F55" s="12">
        <v>21</v>
      </c>
      <c r="G55" s="8" t="s">
        <v>69</v>
      </c>
      <c r="H55" s="12">
        <v>3202</v>
      </c>
      <c r="I55" t="s">
        <v>165</v>
      </c>
      <c r="J55" t="s">
        <v>46</v>
      </c>
      <c r="N55" s="12"/>
      <c r="O55" s="8"/>
      <c r="P55">
        <v>1</v>
      </c>
      <c r="Q55" s="8">
        <v>1</v>
      </c>
      <c r="R55" s="12">
        <v>3</v>
      </c>
      <c r="S55" s="8">
        <v>3</v>
      </c>
      <c r="T55" s="12"/>
      <c r="U55" s="8"/>
      <c r="V55" s="2">
        <v>45658</v>
      </c>
      <c r="W55" s="2">
        <v>1</v>
      </c>
      <c r="X55" s="2">
        <v>45702</v>
      </c>
      <c r="Y55" s="2">
        <v>45791</v>
      </c>
      <c r="Z55" s="2">
        <v>45692</v>
      </c>
    </row>
    <row r="56" spans="1:27" x14ac:dyDescent="0.25">
      <c r="A56" s="12">
        <v>8247</v>
      </c>
      <c r="B56" s="12">
        <v>363</v>
      </c>
      <c r="C56" t="s">
        <v>187</v>
      </c>
      <c r="D56">
        <v>247651</v>
      </c>
      <c r="E56" s="8" t="s">
        <v>103</v>
      </c>
      <c r="F56" s="12">
        <v>28</v>
      </c>
      <c r="G56" s="8" t="s">
        <v>52</v>
      </c>
      <c r="H56" s="12">
        <v>3199</v>
      </c>
      <c r="I56" t="s">
        <v>104</v>
      </c>
      <c r="J56" t="s">
        <v>46</v>
      </c>
      <c r="N56" s="12"/>
      <c r="O56" s="8"/>
      <c r="P56">
        <v>2</v>
      </c>
      <c r="Q56" s="8">
        <v>2</v>
      </c>
      <c r="R56" s="12">
        <v>2</v>
      </c>
      <c r="S56" s="8">
        <v>2</v>
      </c>
      <c r="T56" s="12"/>
      <c r="U56" s="8"/>
      <c r="V56" s="2">
        <v>45679</v>
      </c>
      <c r="W56" s="2">
        <v>1</v>
      </c>
      <c r="X56" s="2">
        <v>45693</v>
      </c>
      <c r="Y56" s="2">
        <v>45694</v>
      </c>
      <c r="Z56" s="2"/>
      <c r="AA56" t="s">
        <v>188</v>
      </c>
    </row>
    <row r="57" spans="1:27" x14ac:dyDescent="0.25">
      <c r="A57" s="12">
        <v>8270</v>
      </c>
      <c r="B57" s="12">
        <v>321</v>
      </c>
      <c r="C57" t="s">
        <v>189</v>
      </c>
      <c r="E57" s="8"/>
      <c r="F57" s="12">
        <v>22</v>
      </c>
      <c r="G57" s="8" t="s">
        <v>77</v>
      </c>
      <c r="H57" s="12">
        <v>2767</v>
      </c>
      <c r="I57" t="s">
        <v>118</v>
      </c>
      <c r="J57" t="s">
        <v>46</v>
      </c>
      <c r="N57" s="12"/>
      <c r="O57" s="8"/>
      <c r="P57">
        <v>1</v>
      </c>
      <c r="Q57" s="8">
        <v>1</v>
      </c>
      <c r="R57" s="12">
        <v>1</v>
      </c>
      <c r="S57" s="8">
        <v>1</v>
      </c>
      <c r="T57" s="12"/>
      <c r="U57" s="8"/>
      <c r="V57" s="2">
        <v>45658</v>
      </c>
      <c r="W57" s="2">
        <v>1</v>
      </c>
      <c r="X57" s="2">
        <v>45688</v>
      </c>
      <c r="Y57" s="2">
        <v>45688</v>
      </c>
      <c r="Z57" s="2"/>
      <c r="AA57" t="s">
        <v>190</v>
      </c>
    </row>
    <row r="58" spans="1:27" x14ac:dyDescent="0.25">
      <c r="A58" s="12">
        <v>8288</v>
      </c>
      <c r="B58" s="12">
        <v>329</v>
      </c>
      <c r="C58" t="s">
        <v>191</v>
      </c>
      <c r="E58" s="8"/>
      <c r="F58" s="12">
        <v>29</v>
      </c>
      <c r="G58" s="8" t="s">
        <v>154</v>
      </c>
      <c r="H58" s="12">
        <v>3201</v>
      </c>
      <c r="I58" t="s">
        <v>183</v>
      </c>
      <c r="J58" t="s">
        <v>46</v>
      </c>
      <c r="N58" s="12"/>
      <c r="O58" s="8"/>
      <c r="P58">
        <v>2</v>
      </c>
      <c r="Q58" s="8">
        <v>2</v>
      </c>
      <c r="R58" s="12">
        <v>2</v>
      </c>
      <c r="S58" s="8">
        <v>2</v>
      </c>
      <c r="T58" s="12"/>
      <c r="U58" s="8"/>
      <c r="V58" s="2">
        <v>45658</v>
      </c>
      <c r="W58" s="2">
        <v>1</v>
      </c>
      <c r="X58" s="2">
        <v>45702</v>
      </c>
      <c r="Y58" s="2">
        <v>45726</v>
      </c>
      <c r="Z58" s="2"/>
    </row>
    <row r="59" spans="1:27" x14ac:dyDescent="0.25">
      <c r="A59" s="12">
        <v>8292</v>
      </c>
      <c r="B59" s="12">
        <v>360</v>
      </c>
      <c r="C59" t="s">
        <v>192</v>
      </c>
      <c r="D59">
        <v>246895</v>
      </c>
      <c r="E59" s="8" t="s">
        <v>193</v>
      </c>
      <c r="F59" s="12">
        <v>29</v>
      </c>
      <c r="G59" s="8" t="s">
        <v>154</v>
      </c>
      <c r="H59" s="12">
        <v>3201</v>
      </c>
      <c r="I59" t="s">
        <v>183</v>
      </c>
      <c r="J59" t="s">
        <v>46</v>
      </c>
      <c r="N59" s="12"/>
      <c r="O59" s="8"/>
      <c r="P59">
        <v>1</v>
      </c>
      <c r="Q59" s="8">
        <v>1</v>
      </c>
      <c r="R59" s="12">
        <v>2</v>
      </c>
      <c r="S59" s="8">
        <v>2</v>
      </c>
      <c r="T59" s="12"/>
      <c r="U59" s="8"/>
      <c r="V59" s="2">
        <v>45698</v>
      </c>
      <c r="W59" s="2">
        <v>1</v>
      </c>
      <c r="X59" s="2">
        <v>45747</v>
      </c>
      <c r="Y59" s="2">
        <v>45747</v>
      </c>
      <c r="Z59" s="2"/>
    </row>
    <row r="60" spans="1:27" x14ac:dyDescent="0.25">
      <c r="A60" s="12">
        <v>8313</v>
      </c>
      <c r="B60" s="12">
        <v>0</v>
      </c>
      <c r="C60" t="s">
        <v>194</v>
      </c>
      <c r="D60">
        <v>254970</v>
      </c>
      <c r="E60" s="8" t="s">
        <v>195</v>
      </c>
      <c r="F60" s="12">
        <v>21</v>
      </c>
      <c r="G60" s="8" t="s">
        <v>69</v>
      </c>
      <c r="H60" s="12">
        <v>3204</v>
      </c>
      <c r="I60" t="s">
        <v>196</v>
      </c>
      <c r="J60" t="s">
        <v>46</v>
      </c>
      <c r="L60">
        <v>4</v>
      </c>
      <c r="M60" t="s">
        <v>175</v>
      </c>
      <c r="N60" s="12">
        <v>2</v>
      </c>
      <c r="O60" s="8" t="s">
        <v>171</v>
      </c>
      <c r="P60">
        <v>2</v>
      </c>
      <c r="Q60" s="8">
        <v>2</v>
      </c>
      <c r="R60" s="12">
        <v>2</v>
      </c>
      <c r="S60" s="8">
        <v>2</v>
      </c>
      <c r="T60" s="12">
        <v>1</v>
      </c>
      <c r="U60" s="8" t="s">
        <v>172</v>
      </c>
      <c r="V60" s="2">
        <v>45693</v>
      </c>
      <c r="W60" s="2">
        <v>45693</v>
      </c>
      <c r="X60" s="2"/>
      <c r="Y60" s="2"/>
      <c r="Z60" s="2"/>
    </row>
    <row r="61" spans="1:27" x14ac:dyDescent="0.25">
      <c r="A61" s="12">
        <v>8280</v>
      </c>
      <c r="B61" s="12">
        <v>340</v>
      </c>
      <c r="C61" t="s">
        <v>197</v>
      </c>
      <c r="E61" s="8"/>
      <c r="F61" s="12">
        <v>29</v>
      </c>
      <c r="G61" s="8" t="s">
        <v>154</v>
      </c>
      <c r="H61" s="12">
        <v>3204</v>
      </c>
      <c r="I61" t="s">
        <v>196</v>
      </c>
      <c r="J61" t="s">
        <v>46</v>
      </c>
      <c r="N61" s="12"/>
      <c r="O61" s="8"/>
      <c r="P61">
        <v>1</v>
      </c>
      <c r="Q61" s="8">
        <v>1</v>
      </c>
      <c r="R61" s="12">
        <v>1</v>
      </c>
      <c r="S61" s="8">
        <v>1</v>
      </c>
      <c r="T61" s="12"/>
      <c r="U61" s="8"/>
      <c r="V61" s="2">
        <v>45658</v>
      </c>
      <c r="W61" s="2">
        <v>1</v>
      </c>
      <c r="X61" s="2">
        <v>45716</v>
      </c>
      <c r="Y61" s="2">
        <v>45716</v>
      </c>
      <c r="Z61" s="2"/>
    </row>
    <row r="62" spans="1:27" x14ac:dyDescent="0.25">
      <c r="A62" s="12">
        <v>8250</v>
      </c>
      <c r="B62" s="12">
        <v>279</v>
      </c>
      <c r="C62" t="s">
        <v>198</v>
      </c>
      <c r="E62" s="8"/>
      <c r="F62" s="12">
        <v>29</v>
      </c>
      <c r="G62" s="8" t="s">
        <v>154</v>
      </c>
      <c r="H62" s="12">
        <v>3198</v>
      </c>
      <c r="I62" t="s">
        <v>53</v>
      </c>
      <c r="J62" t="s">
        <v>46</v>
      </c>
      <c r="N62" s="12"/>
      <c r="O62" s="8"/>
      <c r="P62">
        <v>1</v>
      </c>
      <c r="Q62" s="8">
        <v>1</v>
      </c>
      <c r="R62" s="12">
        <v>3</v>
      </c>
      <c r="S62" s="8">
        <v>3</v>
      </c>
      <c r="T62" s="12"/>
      <c r="U62" s="8"/>
      <c r="V62" s="2">
        <v>45658</v>
      </c>
      <c r="W62" s="2">
        <v>1</v>
      </c>
      <c r="X62" s="2">
        <v>45716</v>
      </c>
      <c r="Y62" s="2">
        <v>45716</v>
      </c>
      <c r="Z62" s="2"/>
    </row>
    <row r="63" spans="1:27" x14ac:dyDescent="0.25">
      <c r="A63" s="12">
        <v>8286</v>
      </c>
      <c r="B63" s="12">
        <v>353</v>
      </c>
      <c r="C63" t="s">
        <v>199</v>
      </c>
      <c r="D63">
        <v>247795</v>
      </c>
      <c r="E63" s="8" t="s">
        <v>56</v>
      </c>
      <c r="F63" s="12">
        <v>28</v>
      </c>
      <c r="G63" s="8" t="s">
        <v>52</v>
      </c>
      <c r="H63" s="12">
        <v>3201</v>
      </c>
      <c r="I63" t="s">
        <v>183</v>
      </c>
      <c r="J63" t="s">
        <v>46</v>
      </c>
      <c r="N63" s="12"/>
      <c r="O63" s="8"/>
      <c r="P63">
        <v>1</v>
      </c>
      <c r="Q63" s="8">
        <v>1</v>
      </c>
      <c r="R63" s="12">
        <v>1</v>
      </c>
      <c r="S63" s="8">
        <v>1</v>
      </c>
      <c r="T63" s="12"/>
      <c r="U63" s="8"/>
      <c r="V63" s="2">
        <v>45658</v>
      </c>
      <c r="W63" s="2">
        <v>1</v>
      </c>
      <c r="X63" s="2">
        <v>45688</v>
      </c>
      <c r="Y63" s="2">
        <v>45688</v>
      </c>
      <c r="Z63" s="2"/>
      <c r="AA63" t="s">
        <v>200</v>
      </c>
    </row>
    <row r="64" spans="1:27" x14ac:dyDescent="0.25">
      <c r="A64" s="12">
        <v>8305</v>
      </c>
      <c r="B64" s="12">
        <v>344</v>
      </c>
      <c r="C64" t="s">
        <v>201</v>
      </c>
      <c r="E64" s="8"/>
      <c r="F64" s="12">
        <v>30</v>
      </c>
      <c r="G64" s="8" t="s">
        <v>44</v>
      </c>
      <c r="H64" s="12">
        <v>3204</v>
      </c>
      <c r="I64" t="s">
        <v>196</v>
      </c>
      <c r="J64" t="s">
        <v>46</v>
      </c>
      <c r="N64" s="12"/>
      <c r="O64" s="8"/>
      <c r="P64">
        <v>1</v>
      </c>
      <c r="Q64" s="8">
        <v>1</v>
      </c>
      <c r="R64" s="12">
        <v>3</v>
      </c>
      <c r="S64" s="8">
        <v>3</v>
      </c>
      <c r="T64" s="12"/>
      <c r="U64" s="8"/>
      <c r="V64" s="2">
        <v>45658</v>
      </c>
      <c r="W64" s="2">
        <v>1</v>
      </c>
      <c r="X64" s="2">
        <v>45716</v>
      </c>
      <c r="Y64" s="2">
        <v>45726</v>
      </c>
      <c r="Z64" s="2"/>
    </row>
    <row r="65" spans="1:27" x14ac:dyDescent="0.25">
      <c r="A65" s="12">
        <v>8306</v>
      </c>
      <c r="B65" s="12">
        <v>342</v>
      </c>
      <c r="C65" t="s">
        <v>202</v>
      </c>
      <c r="E65" s="8"/>
      <c r="F65" s="12">
        <v>29</v>
      </c>
      <c r="G65" s="8" t="s">
        <v>154</v>
      </c>
      <c r="H65" s="12">
        <v>3204</v>
      </c>
      <c r="I65" t="s">
        <v>196</v>
      </c>
      <c r="J65" t="s">
        <v>46</v>
      </c>
      <c r="N65" s="12"/>
      <c r="O65" s="8"/>
      <c r="P65">
        <v>1</v>
      </c>
      <c r="Q65" s="8">
        <v>1</v>
      </c>
      <c r="R65" s="12">
        <v>3</v>
      </c>
      <c r="S65" s="8">
        <v>3</v>
      </c>
      <c r="T65" s="12"/>
      <c r="U65" s="8"/>
      <c r="V65" s="2">
        <v>45658</v>
      </c>
      <c r="W65" s="2">
        <v>1</v>
      </c>
      <c r="X65" s="2">
        <v>45744</v>
      </c>
      <c r="Y65" s="2">
        <v>45744</v>
      </c>
      <c r="Z65" s="2"/>
    </row>
    <row r="66" spans="1:27" x14ac:dyDescent="0.25">
      <c r="A66" s="12">
        <v>8328</v>
      </c>
      <c r="B66" s="12">
        <v>330</v>
      </c>
      <c r="C66" t="s">
        <v>203</v>
      </c>
      <c r="D66">
        <v>246933</v>
      </c>
      <c r="E66" s="8" t="s">
        <v>204</v>
      </c>
      <c r="F66" s="12">
        <v>28</v>
      </c>
      <c r="G66" s="8" t="s">
        <v>52</v>
      </c>
      <c r="H66" s="12">
        <v>2767</v>
      </c>
      <c r="I66" t="s">
        <v>118</v>
      </c>
      <c r="J66" t="s">
        <v>46</v>
      </c>
      <c r="N66" s="12"/>
      <c r="O66" s="8"/>
      <c r="P66">
        <v>1</v>
      </c>
      <c r="Q66" s="8">
        <v>1</v>
      </c>
      <c r="R66" s="12">
        <v>2</v>
      </c>
      <c r="S66" s="8">
        <v>2</v>
      </c>
      <c r="T66" s="12"/>
      <c r="U66" s="8"/>
      <c r="V66" s="2">
        <v>45658</v>
      </c>
      <c r="W66" s="2">
        <v>1</v>
      </c>
      <c r="X66" s="2">
        <v>45744</v>
      </c>
      <c r="Y66" s="2">
        <v>45744</v>
      </c>
      <c r="Z66" s="2"/>
    </row>
    <row r="67" spans="1:27" x14ac:dyDescent="0.25">
      <c r="A67" s="12">
        <v>8452</v>
      </c>
      <c r="B67" s="12">
        <v>328</v>
      </c>
      <c r="C67" t="s">
        <v>430</v>
      </c>
      <c r="D67">
        <v>247722</v>
      </c>
      <c r="E67" s="8" t="s">
        <v>117</v>
      </c>
      <c r="F67" s="12">
        <v>21</v>
      </c>
      <c r="G67" s="8" t="s">
        <v>69</v>
      </c>
      <c r="H67" s="12">
        <v>195</v>
      </c>
      <c r="I67" t="s">
        <v>78</v>
      </c>
      <c r="J67" t="s">
        <v>46</v>
      </c>
      <c r="N67" s="12"/>
      <c r="O67" s="8"/>
      <c r="P67">
        <v>1</v>
      </c>
      <c r="Q67" s="8">
        <v>1</v>
      </c>
      <c r="R67" s="12">
        <v>2</v>
      </c>
      <c r="S67" s="8">
        <v>2</v>
      </c>
      <c r="T67" s="12"/>
      <c r="U67" s="8"/>
      <c r="V67" s="2">
        <v>45658</v>
      </c>
      <c r="W67" s="2">
        <v>1</v>
      </c>
      <c r="X67" s="2">
        <v>45688</v>
      </c>
      <c r="Y67" s="2">
        <v>45688</v>
      </c>
      <c r="Z67" s="2"/>
    </row>
    <row r="68" spans="1:27" x14ac:dyDescent="0.25">
      <c r="A68" s="12">
        <v>8335</v>
      </c>
      <c r="B68" s="12">
        <v>0</v>
      </c>
      <c r="C68" t="s">
        <v>205</v>
      </c>
      <c r="D68">
        <v>247884</v>
      </c>
      <c r="E68" s="8" t="s">
        <v>206</v>
      </c>
      <c r="F68" s="12">
        <v>22</v>
      </c>
      <c r="G68" s="8" t="s">
        <v>77</v>
      </c>
      <c r="H68" s="12">
        <v>3204</v>
      </c>
      <c r="I68" t="s">
        <v>196</v>
      </c>
      <c r="J68" t="s">
        <v>46</v>
      </c>
      <c r="L68">
        <v>3</v>
      </c>
      <c r="M68" t="s">
        <v>170</v>
      </c>
      <c r="N68" s="12"/>
      <c r="O68" s="8"/>
      <c r="Q68" s="8"/>
      <c r="R68" s="12"/>
      <c r="S68" s="8"/>
      <c r="T68" s="12"/>
      <c r="U68" s="8"/>
      <c r="V68" s="2">
        <v>45701</v>
      </c>
      <c r="W68" s="2">
        <v>45701</v>
      </c>
      <c r="X68" s="2">
        <v>45701</v>
      </c>
      <c r="Y68" s="2">
        <v>45701</v>
      </c>
      <c r="Z68" s="2">
        <v>45701</v>
      </c>
    </row>
    <row r="69" spans="1:27" x14ac:dyDescent="0.25">
      <c r="A69" s="12">
        <v>8262</v>
      </c>
      <c r="B69" s="12">
        <v>302</v>
      </c>
      <c r="C69" t="s">
        <v>207</v>
      </c>
      <c r="E69" s="8"/>
      <c r="F69" s="12">
        <v>29</v>
      </c>
      <c r="G69" s="8" t="s">
        <v>154</v>
      </c>
      <c r="H69" s="12">
        <v>3202</v>
      </c>
      <c r="I69" t="s">
        <v>165</v>
      </c>
      <c r="J69" t="s">
        <v>46</v>
      </c>
      <c r="N69" s="12"/>
      <c r="O69" s="8"/>
      <c r="P69">
        <v>3</v>
      </c>
      <c r="Q69" s="8">
        <v>3</v>
      </c>
      <c r="R69" s="12">
        <v>1</v>
      </c>
      <c r="S69" s="8">
        <v>1</v>
      </c>
      <c r="T69" s="12"/>
      <c r="U69" s="8"/>
      <c r="V69" s="2">
        <v>45658</v>
      </c>
      <c r="W69" s="2">
        <v>1</v>
      </c>
      <c r="X69" s="2">
        <v>45716</v>
      </c>
      <c r="Y69" s="2">
        <v>45726</v>
      </c>
      <c r="Z69" s="2"/>
    </row>
    <row r="70" spans="1:27" x14ac:dyDescent="0.25">
      <c r="A70" s="12">
        <v>8297</v>
      </c>
      <c r="B70" s="12">
        <v>373</v>
      </c>
      <c r="C70" t="s">
        <v>208</v>
      </c>
      <c r="E70" s="8"/>
      <c r="F70" s="12">
        <v>21</v>
      </c>
      <c r="G70" s="8" t="s">
        <v>69</v>
      </c>
      <c r="H70" s="12">
        <v>195</v>
      </c>
      <c r="I70" t="s">
        <v>78</v>
      </c>
      <c r="J70" t="s">
        <v>46</v>
      </c>
      <c r="K70" t="b">
        <v>1</v>
      </c>
      <c r="N70" s="12"/>
      <c r="O70" s="8"/>
      <c r="Q70" s="8"/>
      <c r="R70" s="12">
        <v>1</v>
      </c>
      <c r="S70" s="8">
        <v>1</v>
      </c>
      <c r="T70" s="12"/>
      <c r="U70" s="8"/>
      <c r="V70" s="2">
        <v>45658</v>
      </c>
      <c r="W70" s="2">
        <v>1</v>
      </c>
      <c r="X70" s="2">
        <v>45672</v>
      </c>
      <c r="Y70" s="2">
        <v>45675</v>
      </c>
      <c r="Z70" s="2"/>
    </row>
    <row r="71" spans="1:27" x14ac:dyDescent="0.25">
      <c r="A71" s="12">
        <v>8448</v>
      </c>
      <c r="B71" s="12">
        <v>0</v>
      </c>
      <c r="C71" t="s">
        <v>209</v>
      </c>
      <c r="D71">
        <v>247647</v>
      </c>
      <c r="E71" s="8" t="s">
        <v>210</v>
      </c>
      <c r="F71" s="12">
        <v>22</v>
      </c>
      <c r="G71" s="8" t="s">
        <v>77</v>
      </c>
      <c r="H71" s="12">
        <v>3233</v>
      </c>
      <c r="I71" t="s">
        <v>45</v>
      </c>
      <c r="J71" t="s">
        <v>46</v>
      </c>
      <c r="K71" t="b">
        <v>1</v>
      </c>
      <c r="L71">
        <v>3</v>
      </c>
      <c r="M71" t="s">
        <v>170</v>
      </c>
      <c r="N71" s="12">
        <v>2</v>
      </c>
      <c r="O71" s="8" t="s">
        <v>171</v>
      </c>
      <c r="P71">
        <v>1</v>
      </c>
      <c r="Q71" s="8">
        <v>1</v>
      </c>
      <c r="R71" s="12">
        <v>1</v>
      </c>
      <c r="S71" s="8">
        <v>1</v>
      </c>
      <c r="T71" s="12">
        <v>2</v>
      </c>
      <c r="U71" s="8" t="s">
        <v>185</v>
      </c>
      <c r="V71" s="2">
        <v>45698</v>
      </c>
      <c r="W71" s="2">
        <v>45699</v>
      </c>
      <c r="X71" s="2">
        <v>45706</v>
      </c>
      <c r="Y71" s="2"/>
      <c r="Z71" s="2"/>
      <c r="AA71" t="s">
        <v>211</v>
      </c>
    </row>
    <row r="72" spans="1:27" x14ac:dyDescent="0.25">
      <c r="A72" s="12">
        <v>8447</v>
      </c>
      <c r="B72" s="12">
        <v>0</v>
      </c>
      <c r="C72" t="s">
        <v>212</v>
      </c>
      <c r="D72">
        <v>289030</v>
      </c>
      <c r="E72" s="8" t="s">
        <v>213</v>
      </c>
      <c r="F72" s="12">
        <v>29</v>
      </c>
      <c r="G72" s="8" t="s">
        <v>154</v>
      </c>
      <c r="H72" s="12">
        <v>3198</v>
      </c>
      <c r="I72" t="s">
        <v>53</v>
      </c>
      <c r="J72" t="s">
        <v>46</v>
      </c>
      <c r="K72" t="b">
        <v>1</v>
      </c>
      <c r="L72">
        <v>3</v>
      </c>
      <c r="M72" t="s">
        <v>170</v>
      </c>
      <c r="N72" s="12">
        <v>1</v>
      </c>
      <c r="O72" s="8" t="s">
        <v>176</v>
      </c>
      <c r="P72">
        <v>2</v>
      </c>
      <c r="Q72" s="8">
        <v>2</v>
      </c>
      <c r="R72" s="12">
        <v>1</v>
      </c>
      <c r="S72" s="8">
        <v>1</v>
      </c>
      <c r="T72" s="12">
        <v>1</v>
      </c>
      <c r="U72" s="8" t="s">
        <v>172</v>
      </c>
      <c r="V72" s="2">
        <v>45705</v>
      </c>
      <c r="W72" s="2">
        <v>45705</v>
      </c>
      <c r="X72" s="2">
        <v>45705</v>
      </c>
      <c r="Y72" s="2"/>
      <c r="Z72" s="2"/>
    </row>
    <row r="73" spans="1:27" x14ac:dyDescent="0.25">
      <c r="A73" s="12">
        <v>8248</v>
      </c>
      <c r="B73" s="12">
        <v>277</v>
      </c>
      <c r="C73" t="s">
        <v>214</v>
      </c>
      <c r="D73">
        <v>247857</v>
      </c>
      <c r="E73" s="8" t="s">
        <v>62</v>
      </c>
      <c r="F73" s="12">
        <v>21</v>
      </c>
      <c r="G73" s="8" t="s">
        <v>69</v>
      </c>
      <c r="H73" s="12">
        <v>3198</v>
      </c>
      <c r="I73" t="s">
        <v>53</v>
      </c>
      <c r="J73" t="s">
        <v>46</v>
      </c>
      <c r="N73" s="12"/>
      <c r="O73" s="8"/>
      <c r="P73">
        <v>1</v>
      </c>
      <c r="Q73" s="8">
        <v>1</v>
      </c>
      <c r="R73" s="12">
        <v>2</v>
      </c>
      <c r="S73" s="8">
        <v>2</v>
      </c>
      <c r="T73" s="12"/>
      <c r="U73" s="8"/>
      <c r="V73" s="2">
        <v>45658</v>
      </c>
      <c r="W73" s="2">
        <v>1</v>
      </c>
      <c r="X73" s="2">
        <v>45688</v>
      </c>
      <c r="Y73" s="2">
        <v>45688</v>
      </c>
      <c r="Z73" s="2"/>
      <c r="AA73" t="s">
        <v>215</v>
      </c>
    </row>
    <row r="74" spans="1:27" x14ac:dyDescent="0.25">
      <c r="A74" s="12">
        <v>8284</v>
      </c>
      <c r="B74" s="12">
        <v>0</v>
      </c>
      <c r="C74" t="s">
        <v>216</v>
      </c>
      <c r="E74" s="8"/>
      <c r="F74" s="12">
        <v>21</v>
      </c>
      <c r="G74" s="8" t="s">
        <v>69</v>
      </c>
      <c r="H74" s="12">
        <v>3198</v>
      </c>
      <c r="I74" t="s">
        <v>53</v>
      </c>
      <c r="J74" t="s">
        <v>46</v>
      </c>
      <c r="N74" s="12"/>
      <c r="O74" s="8"/>
      <c r="Q74" s="8"/>
      <c r="R74" s="12"/>
      <c r="S74" s="8"/>
      <c r="T74" s="12"/>
      <c r="U74" s="8"/>
      <c r="V74" s="2"/>
      <c r="W74" s="2"/>
      <c r="X74" s="2"/>
      <c r="Y74" s="2"/>
      <c r="Z74" s="2"/>
    </row>
    <row r="75" spans="1:27" x14ac:dyDescent="0.25">
      <c r="A75" s="12">
        <v>8255</v>
      </c>
      <c r="B75" s="12">
        <v>359</v>
      </c>
      <c r="C75" t="s">
        <v>217</v>
      </c>
      <c r="E75" s="8"/>
      <c r="F75" s="12">
        <v>21</v>
      </c>
      <c r="G75" s="8" t="s">
        <v>69</v>
      </c>
      <c r="H75" s="12">
        <v>3201</v>
      </c>
      <c r="I75" t="s">
        <v>183</v>
      </c>
      <c r="J75" t="s">
        <v>46</v>
      </c>
      <c r="K75" t="b">
        <v>1</v>
      </c>
      <c r="N75" s="12"/>
      <c r="O75" s="8"/>
      <c r="P75">
        <v>1</v>
      </c>
      <c r="Q75" s="8">
        <v>1</v>
      </c>
      <c r="R75" s="12">
        <v>1</v>
      </c>
      <c r="S75" s="8">
        <v>1</v>
      </c>
      <c r="T75" s="12"/>
      <c r="U75" s="8"/>
      <c r="V75" s="2">
        <v>45677</v>
      </c>
      <c r="W75" s="2">
        <v>1</v>
      </c>
      <c r="X75" s="2">
        <v>45688</v>
      </c>
      <c r="Y75" s="2">
        <v>45688</v>
      </c>
      <c r="Z75" s="2"/>
    </row>
    <row r="76" spans="1:27" x14ac:dyDescent="0.25">
      <c r="A76" s="12">
        <v>8331</v>
      </c>
      <c r="B76" s="12">
        <v>319</v>
      </c>
      <c r="C76" t="s">
        <v>218</v>
      </c>
      <c r="D76">
        <v>247857</v>
      </c>
      <c r="E76" s="8" t="s">
        <v>62</v>
      </c>
      <c r="F76" s="12">
        <v>28</v>
      </c>
      <c r="G76" s="8" t="s">
        <v>52</v>
      </c>
      <c r="H76" s="12">
        <v>2767</v>
      </c>
      <c r="I76" t="s">
        <v>118</v>
      </c>
      <c r="J76" t="s">
        <v>46</v>
      </c>
      <c r="N76" s="12"/>
      <c r="O76" s="8"/>
      <c r="P76">
        <v>1</v>
      </c>
      <c r="Q76" s="8">
        <v>1</v>
      </c>
      <c r="R76" s="12">
        <v>1</v>
      </c>
      <c r="S76" s="8">
        <v>1</v>
      </c>
      <c r="T76" s="12"/>
      <c r="U76" s="8"/>
      <c r="V76" s="2">
        <v>45658</v>
      </c>
      <c r="W76" s="2">
        <v>1</v>
      </c>
      <c r="X76" s="2">
        <v>45744</v>
      </c>
      <c r="Y76" s="2">
        <v>45775</v>
      </c>
      <c r="Z76" s="2"/>
      <c r="AA76" t="s">
        <v>219</v>
      </c>
    </row>
    <row r="77" spans="1:27" x14ac:dyDescent="0.25">
      <c r="A77" s="12">
        <v>8289</v>
      </c>
      <c r="B77" s="12">
        <v>0</v>
      </c>
      <c r="C77" t="s">
        <v>220</v>
      </c>
      <c r="E77" s="8"/>
      <c r="F77" s="12">
        <v>28</v>
      </c>
      <c r="G77" s="8" t="s">
        <v>52</v>
      </c>
      <c r="H77" s="12">
        <v>3203</v>
      </c>
      <c r="I77" t="s">
        <v>127</v>
      </c>
      <c r="J77" t="s">
        <v>46</v>
      </c>
      <c r="N77" s="12"/>
      <c r="O77" s="8"/>
      <c r="Q77" s="8"/>
      <c r="R77" s="12"/>
      <c r="S77" s="8"/>
      <c r="T77" s="12"/>
      <c r="U77" s="8"/>
      <c r="V77" s="2">
        <v>45691</v>
      </c>
      <c r="W77" s="2">
        <v>45691</v>
      </c>
      <c r="X77" s="2"/>
      <c r="Y77" s="2"/>
      <c r="Z77" s="2"/>
    </row>
    <row r="78" spans="1:27" x14ac:dyDescent="0.25">
      <c r="A78" s="12">
        <v>8309</v>
      </c>
      <c r="B78" s="12">
        <v>0</v>
      </c>
      <c r="C78" t="s">
        <v>221</v>
      </c>
      <c r="D78">
        <v>247417</v>
      </c>
      <c r="E78" s="8" t="s">
        <v>222</v>
      </c>
      <c r="F78" s="12">
        <v>21</v>
      </c>
      <c r="G78" s="8" t="s">
        <v>69</v>
      </c>
      <c r="H78" s="12">
        <v>3202</v>
      </c>
      <c r="I78" t="s">
        <v>165</v>
      </c>
      <c r="J78" t="s">
        <v>46</v>
      </c>
      <c r="L78">
        <v>4</v>
      </c>
      <c r="M78" t="s">
        <v>175</v>
      </c>
      <c r="N78" s="12">
        <v>1</v>
      </c>
      <c r="O78" s="8" t="s">
        <v>176</v>
      </c>
      <c r="P78">
        <v>1</v>
      </c>
      <c r="Q78" s="8">
        <v>1</v>
      </c>
      <c r="R78" s="12">
        <v>2</v>
      </c>
      <c r="S78" s="8">
        <v>2</v>
      </c>
      <c r="T78" s="12">
        <v>1</v>
      </c>
      <c r="U78" s="8" t="s">
        <v>172</v>
      </c>
      <c r="V78" s="2">
        <v>45692</v>
      </c>
      <c r="W78" s="2">
        <v>45692</v>
      </c>
      <c r="X78" s="2">
        <v>45693</v>
      </c>
      <c r="Y78" s="2">
        <v>45693</v>
      </c>
      <c r="Z78" s="2">
        <v>45693</v>
      </c>
    </row>
    <row r="79" spans="1:27" x14ac:dyDescent="0.25">
      <c r="A79" s="12">
        <v>8321</v>
      </c>
      <c r="B79" s="12">
        <v>0</v>
      </c>
      <c r="C79" t="s">
        <v>223</v>
      </c>
      <c r="D79">
        <v>247804</v>
      </c>
      <c r="E79" s="8" t="s">
        <v>224</v>
      </c>
      <c r="F79" s="12">
        <v>22</v>
      </c>
      <c r="G79" s="8" t="s">
        <v>77</v>
      </c>
      <c r="H79" s="12">
        <v>3204</v>
      </c>
      <c r="I79" t="s">
        <v>196</v>
      </c>
      <c r="J79" t="s">
        <v>46</v>
      </c>
      <c r="N79" s="12"/>
      <c r="O79" s="8"/>
      <c r="Q79" s="8"/>
      <c r="R79" s="12"/>
      <c r="S79" s="8"/>
      <c r="T79" s="12"/>
      <c r="U79" s="8"/>
      <c r="V79" s="2">
        <v>45698</v>
      </c>
      <c r="W79" s="2">
        <v>45698</v>
      </c>
      <c r="X79" s="2">
        <v>45698</v>
      </c>
      <c r="Y79" s="2">
        <v>45698</v>
      </c>
      <c r="Z79" s="2">
        <v>45698</v>
      </c>
    </row>
    <row r="80" spans="1:27" x14ac:dyDescent="0.25">
      <c r="A80" s="12">
        <v>8336</v>
      </c>
      <c r="B80" s="12">
        <v>0</v>
      </c>
      <c r="C80" t="s">
        <v>225</v>
      </c>
      <c r="D80">
        <v>247897</v>
      </c>
      <c r="E80" s="8" t="s">
        <v>226</v>
      </c>
      <c r="F80" s="12">
        <v>21</v>
      </c>
      <c r="G80" s="8" t="s">
        <v>69</v>
      </c>
      <c r="H80" s="12">
        <v>3202</v>
      </c>
      <c r="I80" t="s">
        <v>165</v>
      </c>
      <c r="J80" t="s">
        <v>46</v>
      </c>
      <c r="K80" t="b">
        <v>1</v>
      </c>
      <c r="L80">
        <v>4</v>
      </c>
      <c r="M80" t="s">
        <v>175</v>
      </c>
      <c r="N80" s="12">
        <v>1</v>
      </c>
      <c r="O80" s="8" t="s">
        <v>176</v>
      </c>
      <c r="P80">
        <v>2</v>
      </c>
      <c r="Q80" s="8">
        <v>2</v>
      </c>
      <c r="R80" s="12">
        <v>2</v>
      </c>
      <c r="S80" s="8">
        <v>2</v>
      </c>
      <c r="T80" s="12">
        <v>1</v>
      </c>
      <c r="U80" s="8" t="s">
        <v>172</v>
      </c>
      <c r="V80" s="2">
        <v>45701</v>
      </c>
      <c r="W80" s="2">
        <v>45701</v>
      </c>
      <c r="X80" s="2">
        <v>45701</v>
      </c>
      <c r="Y80" s="2">
        <v>45701</v>
      </c>
      <c r="Z80" s="2">
        <v>45701</v>
      </c>
    </row>
    <row r="81" spans="1:27" x14ac:dyDescent="0.25">
      <c r="A81" s="12">
        <v>8290</v>
      </c>
      <c r="B81" s="12">
        <v>0</v>
      </c>
      <c r="C81" t="s">
        <v>227</v>
      </c>
      <c r="E81" s="8"/>
      <c r="F81" s="12">
        <v>21</v>
      </c>
      <c r="G81" s="8" t="s">
        <v>69</v>
      </c>
      <c r="H81" s="12">
        <v>3201</v>
      </c>
      <c r="I81" t="s">
        <v>183</v>
      </c>
      <c r="J81" t="s">
        <v>46</v>
      </c>
      <c r="L81">
        <v>4</v>
      </c>
      <c r="M81" t="s">
        <v>175</v>
      </c>
      <c r="N81" s="12">
        <v>1</v>
      </c>
      <c r="O81" s="8" t="s">
        <v>176</v>
      </c>
      <c r="P81">
        <v>2</v>
      </c>
      <c r="Q81" s="8">
        <v>2</v>
      </c>
      <c r="R81" s="12">
        <v>3</v>
      </c>
      <c r="S81" s="8">
        <v>3</v>
      </c>
      <c r="T81" s="12">
        <v>2</v>
      </c>
      <c r="U81" s="8" t="s">
        <v>185</v>
      </c>
      <c r="V81" s="2">
        <v>45658</v>
      </c>
      <c r="W81" s="2">
        <v>45658</v>
      </c>
      <c r="X81" s="2">
        <v>45688</v>
      </c>
      <c r="Y81" s="2">
        <v>45688</v>
      </c>
      <c r="Z81" s="2">
        <v>45688</v>
      </c>
    </row>
    <row r="82" spans="1:27" x14ac:dyDescent="0.25">
      <c r="A82" s="12">
        <v>8314</v>
      </c>
      <c r="B82" s="12">
        <v>0</v>
      </c>
      <c r="C82" t="s">
        <v>228</v>
      </c>
      <c r="E82" s="8"/>
      <c r="F82" s="12">
        <v>22</v>
      </c>
      <c r="G82" s="8" t="s">
        <v>77</v>
      </c>
      <c r="H82" s="12">
        <v>3201</v>
      </c>
      <c r="I82" t="s">
        <v>183</v>
      </c>
      <c r="J82" t="s">
        <v>46</v>
      </c>
      <c r="L82">
        <v>4</v>
      </c>
      <c r="M82" t="s">
        <v>175</v>
      </c>
      <c r="N82" s="12">
        <v>1</v>
      </c>
      <c r="O82" s="8" t="s">
        <v>176</v>
      </c>
      <c r="P82">
        <v>2</v>
      </c>
      <c r="Q82" s="8">
        <v>2</v>
      </c>
      <c r="R82" s="12">
        <v>3</v>
      </c>
      <c r="S82" s="8">
        <v>3</v>
      </c>
      <c r="T82" s="12">
        <v>1</v>
      </c>
      <c r="U82" s="8" t="s">
        <v>172</v>
      </c>
      <c r="V82" s="2">
        <v>45689</v>
      </c>
      <c r="W82" s="2">
        <v>45689</v>
      </c>
      <c r="X82" s="2">
        <v>45716</v>
      </c>
      <c r="Y82" s="2">
        <v>45716</v>
      </c>
      <c r="Z82" s="2"/>
    </row>
    <row r="83" spans="1:27" x14ac:dyDescent="0.25">
      <c r="A83" s="12">
        <v>8324</v>
      </c>
      <c r="B83" s="12">
        <v>0</v>
      </c>
      <c r="C83" t="s">
        <v>229</v>
      </c>
      <c r="D83">
        <v>246832</v>
      </c>
      <c r="E83" s="8" t="s">
        <v>230</v>
      </c>
      <c r="F83" s="12">
        <v>22</v>
      </c>
      <c r="G83" s="8" t="s">
        <v>77</v>
      </c>
      <c r="H83" s="12">
        <v>3204</v>
      </c>
      <c r="I83" t="s">
        <v>196</v>
      </c>
      <c r="J83" t="s">
        <v>46</v>
      </c>
      <c r="L83">
        <v>4</v>
      </c>
      <c r="M83" t="s">
        <v>175</v>
      </c>
      <c r="N83" s="12"/>
      <c r="O83" s="8"/>
      <c r="Q83" s="8"/>
      <c r="R83" s="12"/>
      <c r="S83" s="8"/>
      <c r="T83" s="12"/>
      <c r="U83" s="8"/>
      <c r="V83" s="2">
        <v>45700</v>
      </c>
      <c r="W83" s="2">
        <v>45700</v>
      </c>
      <c r="X83" s="2">
        <v>45700</v>
      </c>
      <c r="Y83" s="2">
        <v>45700</v>
      </c>
      <c r="Z83" s="2">
        <v>45700</v>
      </c>
    </row>
    <row r="84" spans="1:27" x14ac:dyDescent="0.25">
      <c r="A84" s="12">
        <v>8307</v>
      </c>
      <c r="B84" s="12">
        <v>0</v>
      </c>
      <c r="C84" t="s">
        <v>231</v>
      </c>
      <c r="E84" s="8"/>
      <c r="F84" s="12">
        <v>30</v>
      </c>
      <c r="G84" s="8" t="s">
        <v>44</v>
      </c>
      <c r="H84" s="12">
        <v>195</v>
      </c>
      <c r="I84" t="s">
        <v>78</v>
      </c>
      <c r="J84" t="s">
        <v>46</v>
      </c>
      <c r="N84" s="12"/>
      <c r="O84" s="8"/>
      <c r="Q84" s="8"/>
      <c r="R84" s="12"/>
      <c r="S84" s="8"/>
      <c r="T84" s="12"/>
      <c r="U84" s="8"/>
      <c r="V84" s="2"/>
      <c r="W84" s="2"/>
      <c r="X84" s="2"/>
      <c r="Y84" s="2"/>
      <c r="Z84" s="2"/>
    </row>
    <row r="85" spans="1:27" x14ac:dyDescent="0.25">
      <c r="A85" s="12">
        <v>8293</v>
      </c>
      <c r="B85" s="12">
        <v>354</v>
      </c>
      <c r="C85" t="s">
        <v>232</v>
      </c>
      <c r="D85">
        <v>247791</v>
      </c>
      <c r="E85" s="8" t="s">
        <v>182</v>
      </c>
      <c r="F85" s="12">
        <v>27</v>
      </c>
      <c r="G85" s="8" t="s">
        <v>178</v>
      </c>
      <c r="H85" s="12">
        <v>3201</v>
      </c>
      <c r="I85" t="s">
        <v>183</v>
      </c>
      <c r="J85" t="s">
        <v>46</v>
      </c>
      <c r="N85" s="12"/>
      <c r="O85" s="8"/>
      <c r="P85">
        <v>1</v>
      </c>
      <c r="Q85" s="8">
        <v>1</v>
      </c>
      <c r="R85" s="12">
        <v>1</v>
      </c>
      <c r="S85" s="8">
        <v>1</v>
      </c>
      <c r="T85" s="12"/>
      <c r="U85" s="8"/>
      <c r="V85" s="2">
        <v>45658</v>
      </c>
      <c r="W85" s="2">
        <v>1</v>
      </c>
      <c r="X85" s="2">
        <v>45747</v>
      </c>
      <c r="Y85" s="2">
        <v>45747</v>
      </c>
      <c r="Z85" s="2"/>
    </row>
    <row r="86" spans="1:27" x14ac:dyDescent="0.25">
      <c r="A86" s="12">
        <v>8333</v>
      </c>
      <c r="B86" s="12">
        <v>297</v>
      </c>
      <c r="C86" t="s">
        <v>233</v>
      </c>
      <c r="D86">
        <v>289006</v>
      </c>
      <c r="E86" s="8" t="s">
        <v>76</v>
      </c>
      <c r="F86" s="12">
        <v>30</v>
      </c>
      <c r="G86" s="8" t="s">
        <v>44</v>
      </c>
      <c r="H86" s="12">
        <v>195</v>
      </c>
      <c r="I86" t="s">
        <v>78</v>
      </c>
      <c r="J86" t="s">
        <v>46</v>
      </c>
      <c r="N86" s="12"/>
      <c r="O86" s="8"/>
      <c r="P86">
        <v>1</v>
      </c>
      <c r="Q86" s="8">
        <v>1</v>
      </c>
      <c r="R86" s="12">
        <v>1</v>
      </c>
      <c r="S86" s="8">
        <v>1</v>
      </c>
      <c r="T86" s="12"/>
      <c r="U86" s="8"/>
      <c r="V86" s="2">
        <v>45658</v>
      </c>
      <c r="W86" s="2">
        <v>1</v>
      </c>
      <c r="X86" s="2">
        <v>45702</v>
      </c>
      <c r="Y86" s="2">
        <v>45702</v>
      </c>
      <c r="Z86" s="2"/>
    </row>
    <row r="87" spans="1:27" x14ac:dyDescent="0.25">
      <c r="A87" s="12">
        <v>8334</v>
      </c>
      <c r="B87" s="12">
        <v>0</v>
      </c>
      <c r="C87" t="s">
        <v>234</v>
      </c>
      <c r="D87">
        <v>247857</v>
      </c>
      <c r="E87" s="8" t="s">
        <v>62</v>
      </c>
      <c r="F87" s="12">
        <v>22</v>
      </c>
      <c r="G87" s="8" t="s">
        <v>77</v>
      </c>
      <c r="H87" s="12">
        <v>195</v>
      </c>
      <c r="I87" t="s">
        <v>78</v>
      </c>
      <c r="J87" t="s">
        <v>46</v>
      </c>
      <c r="K87" t="b">
        <v>1</v>
      </c>
      <c r="L87">
        <v>2</v>
      </c>
      <c r="M87" t="s">
        <v>184</v>
      </c>
      <c r="N87" s="12">
        <v>2</v>
      </c>
      <c r="O87" s="8" t="s">
        <v>171</v>
      </c>
      <c r="P87">
        <v>2</v>
      </c>
      <c r="Q87" s="8">
        <v>2</v>
      </c>
      <c r="R87" s="12">
        <v>2</v>
      </c>
      <c r="S87" s="8">
        <v>2</v>
      </c>
      <c r="T87" s="12">
        <v>2</v>
      </c>
      <c r="U87" s="8" t="s">
        <v>185</v>
      </c>
      <c r="V87" s="2">
        <v>45689</v>
      </c>
      <c r="W87" s="2">
        <v>45689</v>
      </c>
      <c r="X87" s="2">
        <v>45702</v>
      </c>
      <c r="Y87" s="2">
        <v>45702</v>
      </c>
      <c r="Z87" s="2"/>
      <c r="AA87" t="s">
        <v>235</v>
      </c>
    </row>
    <row r="88" spans="1:27" x14ac:dyDescent="0.25">
      <c r="A88" s="12">
        <v>8260</v>
      </c>
      <c r="B88" s="12">
        <v>299</v>
      </c>
      <c r="C88" t="s">
        <v>236</v>
      </c>
      <c r="E88" s="8"/>
      <c r="F88" s="12">
        <v>22</v>
      </c>
      <c r="G88" s="8" t="s">
        <v>77</v>
      </c>
      <c r="H88" s="12">
        <v>3202</v>
      </c>
      <c r="I88" t="s">
        <v>165</v>
      </c>
      <c r="J88" t="s">
        <v>46</v>
      </c>
      <c r="N88" s="12"/>
      <c r="O88" s="8"/>
      <c r="P88">
        <v>1</v>
      </c>
      <c r="Q88" s="8">
        <v>1</v>
      </c>
      <c r="R88" s="12">
        <v>1</v>
      </c>
      <c r="S88" s="8">
        <v>1</v>
      </c>
      <c r="T88" s="12"/>
      <c r="U88" s="8"/>
      <c r="V88" s="2">
        <v>45658</v>
      </c>
      <c r="W88" s="2">
        <v>1</v>
      </c>
      <c r="X88" s="2">
        <v>45702</v>
      </c>
      <c r="Y88" s="2">
        <v>45702</v>
      </c>
      <c r="Z88" s="2"/>
    </row>
    <row r="89" spans="1:27" x14ac:dyDescent="0.25">
      <c r="A89" s="12">
        <v>8299</v>
      </c>
      <c r="B89" s="12">
        <v>370</v>
      </c>
      <c r="C89" t="s">
        <v>237</v>
      </c>
      <c r="D89">
        <v>247614</v>
      </c>
      <c r="E89" s="8" t="s">
        <v>238</v>
      </c>
      <c r="F89" s="12">
        <v>21</v>
      </c>
      <c r="G89" s="8" t="s">
        <v>69</v>
      </c>
      <c r="H89" s="12">
        <v>195</v>
      </c>
      <c r="I89" t="s">
        <v>78</v>
      </c>
      <c r="J89" t="s">
        <v>46</v>
      </c>
      <c r="K89" t="b">
        <v>1</v>
      </c>
      <c r="N89" s="12"/>
      <c r="O89" s="8"/>
      <c r="Q89" s="8"/>
      <c r="R89" s="12">
        <v>2</v>
      </c>
      <c r="S89" s="8">
        <v>2</v>
      </c>
      <c r="T89" s="12"/>
      <c r="U89" s="8"/>
      <c r="V89" s="2">
        <v>45678</v>
      </c>
      <c r="W89" s="2">
        <v>1</v>
      </c>
      <c r="X89" s="2">
        <v>45678</v>
      </c>
      <c r="Y89" s="2">
        <v>45688</v>
      </c>
      <c r="Z89" s="2">
        <v>45695</v>
      </c>
    </row>
    <row r="90" spans="1:27" x14ac:dyDescent="0.25">
      <c r="A90" s="12">
        <v>8330</v>
      </c>
      <c r="B90" s="12">
        <v>303</v>
      </c>
      <c r="C90" t="s">
        <v>239</v>
      </c>
      <c r="D90">
        <v>247614</v>
      </c>
      <c r="E90" s="8" t="s">
        <v>238</v>
      </c>
      <c r="F90" s="12">
        <v>30</v>
      </c>
      <c r="G90" s="8" t="s">
        <v>44</v>
      </c>
      <c r="H90" s="12">
        <v>195</v>
      </c>
      <c r="I90" t="s">
        <v>78</v>
      </c>
      <c r="J90" t="s">
        <v>46</v>
      </c>
      <c r="N90" s="12"/>
      <c r="O90" s="8"/>
      <c r="P90">
        <v>1</v>
      </c>
      <c r="Q90" s="8">
        <v>1</v>
      </c>
      <c r="R90" s="12">
        <v>1</v>
      </c>
      <c r="S90" s="8">
        <v>1</v>
      </c>
      <c r="T90" s="12"/>
      <c r="U90" s="8"/>
      <c r="V90" s="2">
        <v>45658</v>
      </c>
      <c r="W90" s="2">
        <v>1</v>
      </c>
      <c r="X90" s="2">
        <v>45716</v>
      </c>
      <c r="Y90" s="2">
        <v>45775</v>
      </c>
      <c r="Z90" s="2"/>
    </row>
    <row r="91" spans="1:27" x14ac:dyDescent="0.25">
      <c r="A91" s="12">
        <v>8287</v>
      </c>
      <c r="B91" s="12">
        <v>327</v>
      </c>
      <c r="C91" t="s">
        <v>240</v>
      </c>
      <c r="D91">
        <v>247795</v>
      </c>
      <c r="E91" s="8" t="s">
        <v>56</v>
      </c>
      <c r="F91" s="12">
        <v>22</v>
      </c>
      <c r="G91" s="8" t="s">
        <v>77</v>
      </c>
      <c r="H91" s="12">
        <v>3201</v>
      </c>
      <c r="I91" t="s">
        <v>183</v>
      </c>
      <c r="J91" t="s">
        <v>46</v>
      </c>
      <c r="N91" s="12"/>
      <c r="O91" s="8"/>
      <c r="P91">
        <v>1</v>
      </c>
      <c r="Q91" s="8">
        <v>1</v>
      </c>
      <c r="R91" s="12">
        <v>1</v>
      </c>
      <c r="S91" s="8">
        <v>1</v>
      </c>
      <c r="T91" s="12"/>
      <c r="U91" s="8"/>
      <c r="V91" s="2">
        <v>45658</v>
      </c>
      <c r="W91" s="2">
        <v>1</v>
      </c>
      <c r="X91" s="2">
        <v>45702</v>
      </c>
      <c r="Y91" s="2">
        <v>45702</v>
      </c>
      <c r="Z91" s="2"/>
      <c r="AA91" t="s">
        <v>241</v>
      </c>
    </row>
    <row r="92" spans="1:27" x14ac:dyDescent="0.25">
      <c r="A92" s="12">
        <v>8294</v>
      </c>
      <c r="B92" s="12">
        <v>361</v>
      </c>
      <c r="C92" t="s">
        <v>242</v>
      </c>
      <c r="D92">
        <v>247556</v>
      </c>
      <c r="E92" s="8" t="s">
        <v>59</v>
      </c>
      <c r="F92" s="12">
        <v>27</v>
      </c>
      <c r="G92" s="8" t="s">
        <v>178</v>
      </c>
      <c r="H92" s="12">
        <v>3201</v>
      </c>
      <c r="I92" t="s">
        <v>183</v>
      </c>
      <c r="J92" t="s">
        <v>46</v>
      </c>
      <c r="N92" s="12"/>
      <c r="O92" s="8"/>
      <c r="P92">
        <v>1</v>
      </c>
      <c r="Q92" s="8">
        <v>1</v>
      </c>
      <c r="R92" s="12">
        <v>1</v>
      </c>
      <c r="S92" s="8">
        <v>1</v>
      </c>
      <c r="T92" s="12"/>
      <c r="U92" s="8"/>
      <c r="V92" s="2">
        <v>45687</v>
      </c>
      <c r="W92" s="2">
        <v>1</v>
      </c>
      <c r="X92" s="2">
        <v>45777</v>
      </c>
      <c r="Y92" s="2">
        <v>45777</v>
      </c>
      <c r="Z92" s="2"/>
      <c r="AA92" t="s">
        <v>243</v>
      </c>
    </row>
    <row r="93" spans="1:27" x14ac:dyDescent="0.25">
      <c r="A93" s="12">
        <v>8254</v>
      </c>
      <c r="B93" s="12">
        <v>352</v>
      </c>
      <c r="C93" t="s">
        <v>244</v>
      </c>
      <c r="E93" s="8"/>
      <c r="F93" s="12">
        <v>21</v>
      </c>
      <c r="G93" s="8" t="s">
        <v>69</v>
      </c>
      <c r="H93" s="12">
        <v>3201</v>
      </c>
      <c r="I93" t="s">
        <v>183</v>
      </c>
      <c r="J93" t="s">
        <v>46</v>
      </c>
      <c r="N93" s="12"/>
      <c r="O93" s="8"/>
      <c r="P93">
        <v>1</v>
      </c>
      <c r="Q93" s="8">
        <v>1</v>
      </c>
      <c r="R93" s="12">
        <v>1</v>
      </c>
      <c r="S93" s="8">
        <v>1</v>
      </c>
      <c r="T93" s="12"/>
      <c r="U93" s="8"/>
      <c r="V93" s="2">
        <v>45658</v>
      </c>
      <c r="W93" s="2">
        <v>1</v>
      </c>
      <c r="X93" s="2">
        <v>45688</v>
      </c>
      <c r="Y93" s="2">
        <v>45688</v>
      </c>
      <c r="Z93" s="2"/>
    </row>
    <row r="94" spans="1:27" x14ac:dyDescent="0.25">
      <c r="A94" s="12">
        <v>8273</v>
      </c>
      <c r="B94" s="12">
        <v>338</v>
      </c>
      <c r="C94" t="s">
        <v>245</v>
      </c>
      <c r="D94">
        <v>247857</v>
      </c>
      <c r="E94" s="8" t="s">
        <v>62</v>
      </c>
      <c r="F94" s="12">
        <v>21</v>
      </c>
      <c r="G94" s="8" t="s">
        <v>69</v>
      </c>
      <c r="H94" s="12">
        <v>3204</v>
      </c>
      <c r="I94" t="s">
        <v>196</v>
      </c>
      <c r="J94" t="s">
        <v>46</v>
      </c>
      <c r="N94" s="12"/>
      <c r="O94" s="8"/>
      <c r="P94">
        <v>1</v>
      </c>
      <c r="Q94" s="8">
        <v>1</v>
      </c>
      <c r="R94" s="12">
        <v>1</v>
      </c>
      <c r="S94" s="8">
        <v>1</v>
      </c>
      <c r="T94" s="12"/>
      <c r="U94" s="8"/>
      <c r="V94" s="2">
        <v>45658</v>
      </c>
      <c r="W94" s="2">
        <v>1</v>
      </c>
      <c r="X94" s="2">
        <v>45688</v>
      </c>
      <c r="Y94" s="2">
        <v>45688</v>
      </c>
      <c r="Z94" s="2"/>
    </row>
    <row r="95" spans="1:27" x14ac:dyDescent="0.25">
      <c r="A95" s="12">
        <v>8281</v>
      </c>
      <c r="B95" s="12">
        <v>369</v>
      </c>
      <c r="C95" t="s">
        <v>246</v>
      </c>
      <c r="D95">
        <v>289006</v>
      </c>
      <c r="E95" s="8" t="s">
        <v>76</v>
      </c>
      <c r="F95" s="12">
        <v>21</v>
      </c>
      <c r="G95" s="8" t="s">
        <v>69</v>
      </c>
      <c r="H95" s="12">
        <v>3200</v>
      </c>
      <c r="I95" t="s">
        <v>179</v>
      </c>
      <c r="J95" t="s">
        <v>46</v>
      </c>
      <c r="N95" s="12"/>
      <c r="O95" s="8"/>
      <c r="P95">
        <v>2</v>
      </c>
      <c r="Q95" s="8">
        <v>2</v>
      </c>
      <c r="R95" s="12">
        <v>2</v>
      </c>
      <c r="S95" s="8">
        <v>2</v>
      </c>
      <c r="T95" s="12"/>
      <c r="U95" s="8"/>
      <c r="V95" s="2">
        <v>45685</v>
      </c>
      <c r="W95" s="2">
        <v>1</v>
      </c>
      <c r="X95" s="2">
        <v>45700</v>
      </c>
      <c r="Y95" s="2">
        <v>45700</v>
      </c>
      <c r="Z95" s="2"/>
      <c r="AA95" t="s">
        <v>247</v>
      </c>
    </row>
    <row r="96" spans="1:27" x14ac:dyDescent="0.25">
      <c r="A96" s="12">
        <v>8449</v>
      </c>
      <c r="B96" s="12">
        <v>0</v>
      </c>
      <c r="C96" t="s">
        <v>248</v>
      </c>
      <c r="D96">
        <v>247791</v>
      </c>
      <c r="E96" s="8" t="s">
        <v>182</v>
      </c>
      <c r="F96" s="12">
        <v>28</v>
      </c>
      <c r="G96" s="8" t="s">
        <v>52</v>
      </c>
      <c r="H96" s="12">
        <v>3201</v>
      </c>
      <c r="I96" t="s">
        <v>183</v>
      </c>
      <c r="J96" t="s">
        <v>46</v>
      </c>
      <c r="L96">
        <v>2</v>
      </c>
      <c r="M96" t="s">
        <v>184</v>
      </c>
      <c r="N96" s="12">
        <v>2</v>
      </c>
      <c r="O96" s="8" t="s">
        <v>171</v>
      </c>
      <c r="P96">
        <v>2</v>
      </c>
      <c r="Q96" s="8">
        <v>2</v>
      </c>
      <c r="R96" s="12">
        <v>2</v>
      </c>
      <c r="S96" s="8">
        <v>2</v>
      </c>
      <c r="T96" s="12">
        <v>1</v>
      </c>
      <c r="U96" s="8" t="s">
        <v>172</v>
      </c>
      <c r="V96" s="2">
        <v>45705</v>
      </c>
      <c r="W96" s="2"/>
      <c r="X96" s="2"/>
      <c r="Y96" s="2"/>
      <c r="Z96" s="2"/>
    </row>
    <row r="97" spans="1:27" x14ac:dyDescent="0.25">
      <c r="A97" s="12">
        <v>8316</v>
      </c>
      <c r="B97" s="12">
        <v>325</v>
      </c>
      <c r="C97" t="s">
        <v>249</v>
      </c>
      <c r="E97" s="8"/>
      <c r="F97" s="12">
        <v>22</v>
      </c>
      <c r="G97" s="8" t="s">
        <v>77</v>
      </c>
      <c r="H97" s="12">
        <v>2767</v>
      </c>
      <c r="I97" t="s">
        <v>118</v>
      </c>
      <c r="J97" t="s">
        <v>46</v>
      </c>
      <c r="K97" t="b">
        <v>1</v>
      </c>
      <c r="N97" s="12"/>
      <c r="O97" s="8"/>
      <c r="P97">
        <v>1</v>
      </c>
      <c r="Q97" s="8">
        <v>1</v>
      </c>
      <c r="R97" s="12">
        <v>1</v>
      </c>
      <c r="S97" s="8">
        <v>1</v>
      </c>
      <c r="T97" s="12"/>
      <c r="U97" s="8"/>
      <c r="V97" s="2">
        <v>45658</v>
      </c>
      <c r="W97" s="2">
        <v>1</v>
      </c>
      <c r="X97" s="2">
        <v>45688</v>
      </c>
      <c r="Y97" s="2">
        <v>45757</v>
      </c>
      <c r="Z97" s="2"/>
      <c r="AA97" t="s">
        <v>250</v>
      </c>
    </row>
    <row r="98" spans="1:27" x14ac:dyDescent="0.25">
      <c r="A98" s="12">
        <v>8322</v>
      </c>
      <c r="B98" s="12">
        <v>0</v>
      </c>
      <c r="C98" t="s">
        <v>251</v>
      </c>
      <c r="D98">
        <v>289006</v>
      </c>
      <c r="E98" s="8" t="s">
        <v>76</v>
      </c>
      <c r="F98" s="12">
        <v>22</v>
      </c>
      <c r="G98" s="8" t="s">
        <v>77</v>
      </c>
      <c r="H98" s="12">
        <v>3204</v>
      </c>
      <c r="I98" t="s">
        <v>196</v>
      </c>
      <c r="J98" t="s">
        <v>46</v>
      </c>
      <c r="N98" s="12"/>
      <c r="O98" s="8"/>
      <c r="Q98" s="8"/>
      <c r="R98" s="12"/>
      <c r="S98" s="8"/>
      <c r="T98" s="12"/>
      <c r="U98" s="8"/>
      <c r="V98" s="2">
        <v>45700</v>
      </c>
      <c r="W98" s="2">
        <v>45700</v>
      </c>
      <c r="X98" s="2">
        <v>45700</v>
      </c>
      <c r="Y98" s="2">
        <v>45700</v>
      </c>
      <c r="Z98" s="2">
        <v>45700</v>
      </c>
    </row>
    <row r="99" spans="1:27" x14ac:dyDescent="0.25">
      <c r="A99" s="12">
        <v>8268</v>
      </c>
      <c r="B99" s="12">
        <v>335</v>
      </c>
      <c r="C99" t="s">
        <v>252</v>
      </c>
      <c r="D99">
        <v>247417</v>
      </c>
      <c r="E99" s="8" t="s">
        <v>222</v>
      </c>
      <c r="F99" s="12">
        <v>21</v>
      </c>
      <c r="G99" s="8" t="s">
        <v>69</v>
      </c>
      <c r="H99" s="12">
        <v>3204</v>
      </c>
      <c r="I99" t="s">
        <v>196</v>
      </c>
      <c r="J99" t="s">
        <v>46</v>
      </c>
      <c r="N99" s="12"/>
      <c r="O99" s="8"/>
      <c r="P99">
        <v>1</v>
      </c>
      <c r="Q99" s="8">
        <v>1</v>
      </c>
      <c r="R99" s="12">
        <v>1</v>
      </c>
      <c r="S99" s="8">
        <v>1</v>
      </c>
      <c r="T99" s="12"/>
      <c r="U99" s="8"/>
      <c r="V99" s="2">
        <v>45658</v>
      </c>
      <c r="W99" s="2">
        <v>1</v>
      </c>
      <c r="X99" s="2">
        <v>45688</v>
      </c>
      <c r="Y99" s="2">
        <v>45688</v>
      </c>
      <c r="Z99" s="2"/>
      <c r="AA99" t="s">
        <v>253</v>
      </c>
    </row>
    <row r="100" spans="1:27" x14ac:dyDescent="0.25">
      <c r="A100" s="12">
        <v>8301</v>
      </c>
      <c r="B100" s="12">
        <v>366</v>
      </c>
      <c r="C100" t="s">
        <v>254</v>
      </c>
      <c r="E100" s="8"/>
      <c r="F100" s="12">
        <v>22</v>
      </c>
      <c r="G100" s="8" t="s">
        <v>77</v>
      </c>
      <c r="H100" s="12">
        <v>195</v>
      </c>
      <c r="I100" t="s">
        <v>78</v>
      </c>
      <c r="J100" t="s">
        <v>46</v>
      </c>
      <c r="K100" t="b">
        <v>1</v>
      </c>
      <c r="N100" s="12"/>
      <c r="O100" s="8"/>
      <c r="Q100" s="8"/>
      <c r="R100" s="12">
        <v>1</v>
      </c>
      <c r="S100" s="8">
        <v>1</v>
      </c>
      <c r="T100" s="12"/>
      <c r="U100" s="8"/>
      <c r="V100" s="2">
        <v>45658</v>
      </c>
      <c r="W100" s="2">
        <v>1</v>
      </c>
      <c r="X100" s="2">
        <v>45688</v>
      </c>
      <c r="Y100" s="2">
        <v>45688</v>
      </c>
      <c r="Z100" s="2"/>
    </row>
    <row r="101" spans="1:27" x14ac:dyDescent="0.25">
      <c r="A101" s="12">
        <v>8265</v>
      </c>
      <c r="B101" s="12">
        <v>333</v>
      </c>
      <c r="C101" t="s">
        <v>255</v>
      </c>
      <c r="E101" s="8"/>
      <c r="F101" s="12">
        <v>21</v>
      </c>
      <c r="G101" s="8" t="s">
        <v>69</v>
      </c>
      <c r="H101" s="12">
        <v>3203</v>
      </c>
      <c r="I101" t="s">
        <v>127</v>
      </c>
      <c r="J101" t="s">
        <v>46</v>
      </c>
      <c r="N101" s="12"/>
      <c r="O101" s="8"/>
      <c r="P101">
        <v>1</v>
      </c>
      <c r="Q101" s="8">
        <v>1</v>
      </c>
      <c r="R101" s="12">
        <v>2</v>
      </c>
      <c r="S101" s="8">
        <v>2</v>
      </c>
      <c r="T101" s="12"/>
      <c r="U101" s="8"/>
      <c r="V101" s="2">
        <v>45658</v>
      </c>
      <c r="W101" s="2">
        <v>1</v>
      </c>
      <c r="X101" s="2">
        <v>45688</v>
      </c>
      <c r="Y101" s="2">
        <v>45688</v>
      </c>
      <c r="Z101" s="2"/>
    </row>
    <row r="102" spans="1:27" x14ac:dyDescent="0.25">
      <c r="A102" s="12">
        <v>8246</v>
      </c>
      <c r="B102" s="12">
        <v>276</v>
      </c>
      <c r="C102" t="s">
        <v>256</v>
      </c>
      <c r="D102">
        <v>247888</v>
      </c>
      <c r="E102" s="8" t="s">
        <v>157</v>
      </c>
      <c r="F102" s="12">
        <v>30</v>
      </c>
      <c r="G102" s="8" t="s">
        <v>44</v>
      </c>
      <c r="H102" s="12">
        <v>3198</v>
      </c>
      <c r="I102" t="s">
        <v>53</v>
      </c>
      <c r="J102" t="s">
        <v>46</v>
      </c>
      <c r="N102" s="12"/>
      <c r="O102" s="8"/>
      <c r="P102">
        <v>1</v>
      </c>
      <c r="Q102" s="8">
        <v>1</v>
      </c>
      <c r="R102" s="12">
        <v>1</v>
      </c>
      <c r="S102" s="8">
        <v>1</v>
      </c>
      <c r="T102" s="12"/>
      <c r="U102" s="8"/>
      <c r="V102" s="2">
        <v>45658</v>
      </c>
      <c r="W102" s="2">
        <v>1</v>
      </c>
      <c r="X102" s="2">
        <v>45961</v>
      </c>
      <c r="Y102" s="2">
        <v>45960</v>
      </c>
      <c r="Z102" s="2"/>
      <c r="AA102" t="s">
        <v>257</v>
      </c>
    </row>
    <row r="103" spans="1:27" x14ac:dyDescent="0.25">
      <c r="A103" s="12">
        <v>8304</v>
      </c>
      <c r="B103" s="12">
        <v>332</v>
      </c>
      <c r="C103" t="s">
        <v>258</v>
      </c>
      <c r="D103">
        <v>247722</v>
      </c>
      <c r="E103" s="8" t="s">
        <v>117</v>
      </c>
      <c r="F103" s="12">
        <v>30</v>
      </c>
      <c r="G103" s="8" t="s">
        <v>44</v>
      </c>
      <c r="H103" s="12">
        <v>195</v>
      </c>
      <c r="I103" t="s">
        <v>78</v>
      </c>
      <c r="J103" t="s">
        <v>46</v>
      </c>
      <c r="N103" s="12"/>
      <c r="O103" s="8"/>
      <c r="P103">
        <v>1</v>
      </c>
      <c r="Q103" s="8">
        <v>1</v>
      </c>
      <c r="R103" s="12">
        <v>2</v>
      </c>
      <c r="S103" s="8">
        <v>2</v>
      </c>
      <c r="T103" s="12"/>
      <c r="U103" s="8"/>
      <c r="V103" s="2">
        <v>45658</v>
      </c>
      <c r="W103" s="2">
        <v>1</v>
      </c>
      <c r="X103" s="2">
        <v>45702</v>
      </c>
      <c r="Y103" s="2">
        <v>45726</v>
      </c>
      <c r="Z103" s="2"/>
      <c r="AA103" t="s">
        <v>259</v>
      </c>
    </row>
    <row r="104" spans="1:27" x14ac:dyDescent="0.25">
      <c r="A104" s="12">
        <v>8303</v>
      </c>
      <c r="B104" s="12">
        <v>292</v>
      </c>
      <c r="C104" t="s">
        <v>260</v>
      </c>
      <c r="E104" s="8"/>
      <c r="F104" s="12">
        <v>21</v>
      </c>
      <c r="G104" s="8" t="s">
        <v>69</v>
      </c>
      <c r="H104" s="12">
        <v>195</v>
      </c>
      <c r="I104" t="s">
        <v>78</v>
      </c>
      <c r="J104" t="s">
        <v>46</v>
      </c>
      <c r="N104" s="12"/>
      <c r="O104" s="8"/>
      <c r="P104">
        <v>1</v>
      </c>
      <c r="Q104" s="8">
        <v>1</v>
      </c>
      <c r="R104" s="12">
        <v>2</v>
      </c>
      <c r="S104" s="8">
        <v>2</v>
      </c>
      <c r="T104" s="12"/>
      <c r="U104" s="8"/>
      <c r="V104" s="2">
        <v>45658</v>
      </c>
      <c r="W104" s="2">
        <v>1</v>
      </c>
      <c r="X104" s="2">
        <v>45688</v>
      </c>
      <c r="Y104" s="2">
        <v>45688</v>
      </c>
      <c r="Z104" s="2"/>
    </row>
    <row r="105" spans="1:27" x14ac:dyDescent="0.25">
      <c r="A105" s="12">
        <v>8320</v>
      </c>
      <c r="B105" s="12">
        <v>0</v>
      </c>
      <c r="C105" t="s">
        <v>261</v>
      </c>
      <c r="D105">
        <v>289036</v>
      </c>
      <c r="E105" s="8" t="s">
        <v>262</v>
      </c>
      <c r="F105" s="12">
        <v>22</v>
      </c>
      <c r="G105" s="8" t="s">
        <v>77</v>
      </c>
      <c r="H105" s="12">
        <v>3204</v>
      </c>
      <c r="I105" t="s">
        <v>196</v>
      </c>
      <c r="J105" t="s">
        <v>46</v>
      </c>
      <c r="L105">
        <v>4</v>
      </c>
      <c r="M105" t="s">
        <v>175</v>
      </c>
      <c r="N105" s="12">
        <v>1</v>
      </c>
      <c r="O105" s="8" t="s">
        <v>176</v>
      </c>
      <c r="P105">
        <v>2</v>
      </c>
      <c r="Q105" s="8">
        <v>2</v>
      </c>
      <c r="R105" s="12">
        <v>2</v>
      </c>
      <c r="S105" s="8">
        <v>2</v>
      </c>
      <c r="T105" s="12">
        <v>1</v>
      </c>
      <c r="U105" s="8" t="s">
        <v>172</v>
      </c>
      <c r="V105" s="2">
        <v>45699</v>
      </c>
      <c r="W105" s="2">
        <v>45699</v>
      </c>
      <c r="X105" s="2">
        <v>45699</v>
      </c>
      <c r="Y105" s="2">
        <v>45699</v>
      </c>
      <c r="Z105" s="2">
        <v>45699</v>
      </c>
    </row>
    <row r="106" spans="1:27" x14ac:dyDescent="0.25">
      <c r="A106" s="12">
        <v>8317</v>
      </c>
      <c r="B106" s="12">
        <v>0</v>
      </c>
      <c r="C106" t="s">
        <v>263</v>
      </c>
      <c r="E106" s="8"/>
      <c r="F106" s="12">
        <v>22</v>
      </c>
      <c r="G106" s="8" t="s">
        <v>77</v>
      </c>
      <c r="H106" s="12">
        <v>2767</v>
      </c>
      <c r="I106" t="s">
        <v>118</v>
      </c>
      <c r="J106" t="s">
        <v>46</v>
      </c>
      <c r="N106" s="12"/>
      <c r="O106" s="8"/>
      <c r="Q106" s="8"/>
      <c r="R106" s="12"/>
      <c r="S106" s="8"/>
      <c r="T106" s="12"/>
      <c r="U106" s="8"/>
      <c r="V106" s="2">
        <v>45694</v>
      </c>
      <c r="W106" s="2"/>
      <c r="X106" s="2">
        <v>45716</v>
      </c>
      <c r="Y106" s="2">
        <v>45716</v>
      </c>
      <c r="Z106" s="2"/>
      <c r="AA106" t="s">
        <v>264</v>
      </c>
    </row>
    <row r="107" spans="1:27" x14ac:dyDescent="0.25">
      <c r="A107" s="12">
        <v>8291</v>
      </c>
      <c r="B107" s="12">
        <v>374</v>
      </c>
      <c r="C107" t="s">
        <v>265</v>
      </c>
      <c r="D107">
        <v>247807</v>
      </c>
      <c r="E107" s="8" t="s">
        <v>98</v>
      </c>
      <c r="F107" s="12">
        <v>22</v>
      </c>
      <c r="G107" s="8" t="s">
        <v>77</v>
      </c>
      <c r="H107" s="12">
        <v>3201</v>
      </c>
      <c r="I107" t="s">
        <v>183</v>
      </c>
      <c r="J107" t="s">
        <v>46</v>
      </c>
      <c r="N107" s="12"/>
      <c r="O107" s="8"/>
      <c r="P107">
        <v>3</v>
      </c>
      <c r="Q107" s="8">
        <v>3</v>
      </c>
      <c r="R107" s="12">
        <v>2</v>
      </c>
      <c r="S107" s="8">
        <v>2</v>
      </c>
      <c r="T107" s="12"/>
      <c r="U107" s="8"/>
      <c r="V107" s="2">
        <v>45688</v>
      </c>
      <c r="W107" s="2">
        <v>1</v>
      </c>
      <c r="X107" s="2">
        <v>45716</v>
      </c>
      <c r="Y107" s="2">
        <v>45716</v>
      </c>
      <c r="Z107" s="2"/>
      <c r="AA107" t="s">
        <v>266</v>
      </c>
    </row>
    <row r="108" spans="1:27" x14ac:dyDescent="0.25">
      <c r="A108" s="12">
        <v>8271</v>
      </c>
      <c r="B108" s="12">
        <v>317</v>
      </c>
      <c r="C108" t="s">
        <v>189</v>
      </c>
      <c r="E108" s="8"/>
      <c r="F108" s="12">
        <v>22</v>
      </c>
      <c r="G108" s="8" t="s">
        <v>77</v>
      </c>
      <c r="H108" s="12">
        <v>2767</v>
      </c>
      <c r="I108" t="s">
        <v>118</v>
      </c>
      <c r="J108" t="s">
        <v>46</v>
      </c>
      <c r="N108" s="12"/>
      <c r="O108" s="8"/>
      <c r="P108">
        <v>1</v>
      </c>
      <c r="Q108" s="8">
        <v>1</v>
      </c>
      <c r="R108" s="12">
        <v>1</v>
      </c>
      <c r="S108" s="8">
        <v>1</v>
      </c>
      <c r="T108" s="12"/>
      <c r="U108" s="8"/>
      <c r="V108" s="2">
        <v>45658</v>
      </c>
      <c r="W108" s="2">
        <v>1</v>
      </c>
      <c r="X108" s="2">
        <v>45702</v>
      </c>
      <c r="Y108" s="2">
        <v>45702</v>
      </c>
      <c r="Z108" s="2"/>
      <c r="AA108" t="s">
        <v>267</v>
      </c>
    </row>
    <row r="109" spans="1:27" x14ac:dyDescent="0.25">
      <c r="A109" s="12">
        <v>8276</v>
      </c>
      <c r="B109" s="12">
        <v>334</v>
      </c>
      <c r="C109" t="s">
        <v>268</v>
      </c>
      <c r="E109" s="8"/>
      <c r="F109" s="12">
        <v>21</v>
      </c>
      <c r="G109" s="8" t="s">
        <v>69</v>
      </c>
      <c r="H109" s="12">
        <v>3203</v>
      </c>
      <c r="I109" t="s">
        <v>127</v>
      </c>
      <c r="J109" t="s">
        <v>46</v>
      </c>
      <c r="K109" t="b">
        <v>1</v>
      </c>
      <c r="N109" s="12"/>
      <c r="O109" s="8"/>
      <c r="P109">
        <v>1</v>
      </c>
      <c r="Q109" s="8">
        <v>1</v>
      </c>
      <c r="R109" s="12">
        <v>3</v>
      </c>
      <c r="S109" s="8">
        <v>3</v>
      </c>
      <c r="T109" s="12"/>
      <c r="U109" s="8"/>
      <c r="V109" s="2">
        <v>45658</v>
      </c>
      <c r="W109" s="2">
        <v>1</v>
      </c>
      <c r="X109" s="2">
        <v>45688</v>
      </c>
      <c r="Y109" s="2">
        <v>45747</v>
      </c>
      <c r="Z109" s="2"/>
    </row>
    <row r="110" spans="1:27" x14ac:dyDescent="0.25">
      <c r="A110" s="12">
        <v>8323</v>
      </c>
      <c r="B110" s="12">
        <v>0</v>
      </c>
      <c r="C110" t="s">
        <v>269</v>
      </c>
      <c r="D110">
        <v>247417</v>
      </c>
      <c r="E110" s="8" t="s">
        <v>222</v>
      </c>
      <c r="F110" s="12">
        <v>22</v>
      </c>
      <c r="G110" s="8" t="s">
        <v>77</v>
      </c>
      <c r="H110" s="12">
        <v>3204</v>
      </c>
      <c r="I110" t="s">
        <v>196</v>
      </c>
      <c r="J110" t="s">
        <v>46</v>
      </c>
      <c r="L110">
        <v>4</v>
      </c>
      <c r="M110" t="s">
        <v>175</v>
      </c>
      <c r="N110" s="12"/>
      <c r="O110" s="8"/>
      <c r="Q110" s="8"/>
      <c r="R110" s="12"/>
      <c r="S110" s="8"/>
      <c r="T110" s="12"/>
      <c r="U110" s="8"/>
      <c r="V110" s="2">
        <v>45700</v>
      </c>
      <c r="W110" s="2">
        <v>45700</v>
      </c>
      <c r="X110" s="2">
        <v>45700</v>
      </c>
      <c r="Y110" s="2">
        <v>45700</v>
      </c>
      <c r="Z110" s="2">
        <v>45700</v>
      </c>
    </row>
    <row r="111" spans="1:27" x14ac:dyDescent="0.25">
      <c r="A111" s="12">
        <v>8298</v>
      </c>
      <c r="B111" s="12">
        <v>295</v>
      </c>
      <c r="C111" t="s">
        <v>270</v>
      </c>
      <c r="D111">
        <v>293171</v>
      </c>
      <c r="E111" s="8" t="s">
        <v>91</v>
      </c>
      <c r="F111" s="12">
        <v>21</v>
      </c>
      <c r="G111" s="8" t="s">
        <v>69</v>
      </c>
      <c r="H111" s="12">
        <v>195</v>
      </c>
      <c r="I111" t="s">
        <v>78</v>
      </c>
      <c r="J111" t="s">
        <v>46</v>
      </c>
      <c r="K111" t="b">
        <v>1</v>
      </c>
      <c r="N111" s="12"/>
      <c r="O111" s="8"/>
      <c r="P111">
        <v>1</v>
      </c>
      <c r="Q111" s="8">
        <v>1</v>
      </c>
      <c r="R111" s="12">
        <v>1</v>
      </c>
      <c r="S111" s="8">
        <v>1</v>
      </c>
      <c r="T111" s="12"/>
      <c r="U111" s="8"/>
      <c r="V111" s="2">
        <v>45658</v>
      </c>
      <c r="W111" s="2">
        <v>1</v>
      </c>
      <c r="X111" s="2">
        <v>45702</v>
      </c>
      <c r="Y111" s="2">
        <v>45702</v>
      </c>
      <c r="Z111" s="2">
        <v>45700</v>
      </c>
      <c r="AA111" t="s">
        <v>271</v>
      </c>
    </row>
    <row r="112" spans="1:27" x14ac:dyDescent="0.25">
      <c r="A112" s="12">
        <v>8252</v>
      </c>
      <c r="B112" s="12">
        <v>308</v>
      </c>
      <c r="C112" t="s">
        <v>272</v>
      </c>
      <c r="D112">
        <v>247795</v>
      </c>
      <c r="E112" s="8" t="s">
        <v>56</v>
      </c>
      <c r="F112" s="12">
        <v>30</v>
      </c>
      <c r="G112" s="8" t="s">
        <v>44</v>
      </c>
      <c r="H112" s="12">
        <v>3200</v>
      </c>
      <c r="I112" t="s">
        <v>179</v>
      </c>
      <c r="J112" t="s">
        <v>46</v>
      </c>
      <c r="N112" s="12"/>
      <c r="O112" s="8"/>
      <c r="P112">
        <v>1</v>
      </c>
      <c r="Q112" s="8">
        <v>1</v>
      </c>
      <c r="R112" s="12">
        <v>3</v>
      </c>
      <c r="S112" s="8">
        <v>3</v>
      </c>
      <c r="T112" s="12"/>
      <c r="U112" s="8"/>
      <c r="V112" s="2">
        <v>45658</v>
      </c>
      <c r="W112" s="2">
        <v>1</v>
      </c>
      <c r="X112" s="2">
        <v>45716</v>
      </c>
      <c r="Y112" s="2">
        <v>45726</v>
      </c>
      <c r="Z112" s="2"/>
      <c r="AA112" t="s">
        <v>273</v>
      </c>
    </row>
    <row r="113" spans="1:27" x14ac:dyDescent="0.25">
      <c r="A113" s="12">
        <v>8269</v>
      </c>
      <c r="B113" s="12">
        <v>290</v>
      </c>
      <c r="C113" t="s">
        <v>274</v>
      </c>
      <c r="D113">
        <v>247828</v>
      </c>
      <c r="E113" s="8" t="s">
        <v>43</v>
      </c>
      <c r="F113" s="12">
        <v>21</v>
      </c>
      <c r="G113" s="8" t="s">
        <v>69</v>
      </c>
      <c r="H113" s="12">
        <v>195</v>
      </c>
      <c r="I113" t="s">
        <v>78</v>
      </c>
      <c r="J113" t="s">
        <v>46</v>
      </c>
      <c r="N113" s="12"/>
      <c r="O113" s="8"/>
      <c r="P113">
        <v>1</v>
      </c>
      <c r="Q113" s="8">
        <v>1</v>
      </c>
      <c r="R113" s="12">
        <v>1</v>
      </c>
      <c r="S113" s="8">
        <v>1</v>
      </c>
      <c r="T113" s="12"/>
      <c r="U113" s="8"/>
      <c r="V113" s="2">
        <v>45658</v>
      </c>
      <c r="W113" s="2">
        <v>1</v>
      </c>
      <c r="X113" s="2">
        <v>45688</v>
      </c>
      <c r="Y113" s="2">
        <v>45688</v>
      </c>
      <c r="Z113" s="2"/>
      <c r="AA113" t="s">
        <v>275</v>
      </c>
    </row>
    <row r="114" spans="1:27" x14ac:dyDescent="0.25">
      <c r="A114" s="12">
        <v>8278</v>
      </c>
      <c r="B114" s="12">
        <v>339</v>
      </c>
      <c r="C114" t="s">
        <v>276</v>
      </c>
      <c r="E114" s="8"/>
      <c r="F114" s="12">
        <v>28</v>
      </c>
      <c r="G114" s="8" t="s">
        <v>52</v>
      </c>
      <c r="H114" s="12">
        <v>3203</v>
      </c>
      <c r="I114" t="s">
        <v>127</v>
      </c>
      <c r="J114" t="s">
        <v>46</v>
      </c>
      <c r="N114" s="12"/>
      <c r="O114" s="8"/>
      <c r="P114">
        <v>1</v>
      </c>
      <c r="Q114" s="8">
        <v>1</v>
      </c>
      <c r="R114" s="12">
        <v>2</v>
      </c>
      <c r="S114" s="8">
        <v>2</v>
      </c>
      <c r="T114" s="12"/>
      <c r="U114" s="8"/>
      <c r="V114" s="2">
        <v>45658</v>
      </c>
      <c r="W114" s="2">
        <v>1</v>
      </c>
      <c r="X114" s="2">
        <v>45716</v>
      </c>
      <c r="Y114" s="2">
        <v>45716</v>
      </c>
      <c r="Z114" s="2"/>
    </row>
    <row r="115" spans="1:27" x14ac:dyDescent="0.25">
      <c r="A115" s="12">
        <v>8258</v>
      </c>
      <c r="B115" s="12">
        <v>307</v>
      </c>
      <c r="C115" t="s">
        <v>277</v>
      </c>
      <c r="D115">
        <v>247722</v>
      </c>
      <c r="E115" s="8" t="s">
        <v>117</v>
      </c>
      <c r="F115" s="12">
        <v>30</v>
      </c>
      <c r="G115" s="8" t="s">
        <v>44</v>
      </c>
      <c r="H115" s="12">
        <v>3202</v>
      </c>
      <c r="I115" t="s">
        <v>165</v>
      </c>
      <c r="J115" t="s">
        <v>46</v>
      </c>
      <c r="K115" t="b">
        <v>1</v>
      </c>
      <c r="N115" s="12"/>
      <c r="O115" s="8"/>
      <c r="P115">
        <v>1</v>
      </c>
      <c r="Q115" s="8">
        <v>1</v>
      </c>
      <c r="R115" s="12">
        <v>2</v>
      </c>
      <c r="S115" s="8">
        <v>2</v>
      </c>
      <c r="T115" s="12"/>
      <c r="U115" s="8"/>
      <c r="V115" s="2">
        <v>45658</v>
      </c>
      <c r="W115" s="2">
        <v>1</v>
      </c>
      <c r="X115" s="2">
        <v>45688</v>
      </c>
      <c r="Y115" s="2">
        <v>45775</v>
      </c>
      <c r="Z115" s="2"/>
      <c r="AA115" t="s">
        <v>278</v>
      </c>
    </row>
    <row r="116" spans="1:27" x14ac:dyDescent="0.25">
      <c r="A116" s="12">
        <v>8277</v>
      </c>
      <c r="B116" s="12">
        <v>336</v>
      </c>
      <c r="C116" t="s">
        <v>279</v>
      </c>
      <c r="E116" s="8"/>
      <c r="F116" s="12">
        <v>30</v>
      </c>
      <c r="G116" s="8" t="s">
        <v>44</v>
      </c>
      <c r="H116" s="12">
        <v>3203</v>
      </c>
      <c r="I116" t="s">
        <v>127</v>
      </c>
      <c r="J116" t="s">
        <v>46</v>
      </c>
      <c r="N116" s="12"/>
      <c r="O116" s="8"/>
      <c r="P116">
        <v>3</v>
      </c>
      <c r="Q116" s="8">
        <v>3</v>
      </c>
      <c r="R116" s="12">
        <v>2</v>
      </c>
      <c r="S116" s="8">
        <v>2</v>
      </c>
      <c r="T116" s="12"/>
      <c r="U116" s="8"/>
      <c r="V116" s="2">
        <v>45658</v>
      </c>
      <c r="W116" s="2">
        <v>1</v>
      </c>
      <c r="X116" s="2">
        <v>45716</v>
      </c>
      <c r="Y116" s="2">
        <v>45716</v>
      </c>
      <c r="Z116" s="2"/>
    </row>
    <row r="117" spans="1:27" x14ac:dyDescent="0.25">
      <c r="A117" s="12">
        <v>8300</v>
      </c>
      <c r="B117" s="12">
        <v>371</v>
      </c>
      <c r="C117" t="s">
        <v>280</v>
      </c>
      <c r="E117" s="8"/>
      <c r="F117" s="12">
        <v>21</v>
      </c>
      <c r="G117" s="8" t="s">
        <v>69</v>
      </c>
      <c r="H117" s="12">
        <v>195</v>
      </c>
      <c r="I117" t="s">
        <v>78</v>
      </c>
      <c r="J117" t="s">
        <v>46</v>
      </c>
      <c r="K117" t="b">
        <v>1</v>
      </c>
      <c r="N117" s="12"/>
      <c r="O117" s="8"/>
      <c r="Q117" s="8"/>
      <c r="R117" s="12">
        <v>1</v>
      </c>
      <c r="S117" s="8">
        <v>1</v>
      </c>
      <c r="T117" s="12"/>
      <c r="U117" s="8"/>
      <c r="V117" s="2">
        <v>45663</v>
      </c>
      <c r="W117" s="2">
        <v>1</v>
      </c>
      <c r="X117" s="2">
        <v>45688</v>
      </c>
      <c r="Y117" s="2">
        <v>45688</v>
      </c>
      <c r="Z117" s="2"/>
    </row>
  </sheetData>
  <phoneticPr fontId="4" type="noConversion"/>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919724-AEB2-4DA4-91E3-8B9CB8E7FED7}">
  <sheetPr>
    <tabColor rgb="FFFFFF99"/>
  </sheetPr>
  <dimension ref="B2:J19"/>
  <sheetViews>
    <sheetView showGridLines="0" workbookViewId="0">
      <selection activeCell="K17" sqref="K17"/>
    </sheetView>
  </sheetViews>
  <sheetFormatPr baseColWidth="10" defaultRowHeight="15" x14ac:dyDescent="0.25"/>
  <cols>
    <col min="2" max="2" width="39.28515625" bestFit="1" customWidth="1"/>
    <col min="3" max="3" width="22.42578125" bestFit="1" customWidth="1"/>
    <col min="4" max="4" width="4.28515625" bestFit="1" customWidth="1"/>
    <col min="5" max="5" width="4.5703125" bestFit="1" customWidth="1"/>
    <col min="6" max="6" width="4.140625" bestFit="1" customWidth="1"/>
    <col min="7" max="7" width="4.85546875" bestFit="1" customWidth="1"/>
    <col min="8" max="8" width="3.42578125" bestFit="1" customWidth="1"/>
    <col min="9" max="9" width="4" bestFit="1" customWidth="1"/>
    <col min="10" max="11" width="12.5703125" bestFit="1" customWidth="1"/>
    <col min="12" max="12" width="12.28515625" bestFit="1" customWidth="1"/>
    <col min="13" max="13" width="15.28515625" bestFit="1" customWidth="1"/>
    <col min="14" max="14" width="12.28515625" bestFit="1" customWidth="1"/>
    <col min="15" max="15" width="15.28515625" bestFit="1" customWidth="1"/>
    <col min="16" max="16" width="12.28515625" bestFit="1" customWidth="1"/>
    <col min="17" max="17" width="15.28515625" bestFit="1" customWidth="1"/>
    <col min="18" max="18" width="12.28515625" bestFit="1" customWidth="1"/>
    <col min="19" max="19" width="15.28515625" bestFit="1" customWidth="1"/>
    <col min="20" max="20" width="12.28515625" bestFit="1" customWidth="1"/>
    <col min="21" max="21" width="15.28515625" bestFit="1" customWidth="1"/>
    <col min="22" max="22" width="12.28515625" bestFit="1" customWidth="1"/>
    <col min="23" max="23" width="15.28515625" bestFit="1" customWidth="1"/>
    <col min="24" max="24" width="12.28515625" bestFit="1" customWidth="1"/>
    <col min="25" max="25" width="15.28515625" bestFit="1" customWidth="1"/>
    <col min="26" max="26" width="12.28515625" bestFit="1" customWidth="1"/>
    <col min="27" max="27" width="15.28515625" bestFit="1" customWidth="1"/>
    <col min="28" max="28" width="12.28515625" bestFit="1" customWidth="1"/>
    <col min="29" max="29" width="4.28515625" bestFit="1" customWidth="1"/>
    <col min="30" max="30" width="15.28515625" bestFit="1" customWidth="1"/>
    <col min="31" max="31" width="12.28515625" bestFit="1" customWidth="1"/>
    <col min="32" max="32" width="15.28515625" bestFit="1" customWidth="1"/>
    <col min="33" max="33" width="12.28515625" bestFit="1" customWidth="1"/>
    <col min="34" max="34" width="4.5703125" bestFit="1" customWidth="1"/>
    <col min="35" max="35" width="15.28515625" bestFit="1" customWidth="1"/>
    <col min="36" max="36" width="12.28515625" bestFit="1" customWidth="1"/>
    <col min="37" max="37" width="15.28515625" bestFit="1" customWidth="1"/>
    <col min="38" max="38" width="12.28515625" bestFit="1" customWidth="1"/>
    <col min="39" max="39" width="4.5703125" bestFit="1" customWidth="1"/>
    <col min="40" max="40" width="15.28515625" bestFit="1" customWidth="1"/>
    <col min="41" max="41" width="12.28515625" bestFit="1" customWidth="1"/>
    <col min="42" max="42" width="4.5703125" bestFit="1" customWidth="1"/>
    <col min="43" max="43" width="15.28515625" bestFit="1" customWidth="1"/>
    <col min="44" max="44" width="12.28515625" bestFit="1" customWidth="1"/>
    <col min="45" max="45" width="4.28515625" bestFit="1" customWidth="1"/>
    <col min="46" max="46" width="4.5703125" bestFit="1" customWidth="1"/>
    <col min="47" max="47" width="15.28515625" bestFit="1" customWidth="1"/>
    <col min="48" max="48" width="12.28515625" bestFit="1" customWidth="1"/>
    <col min="49" max="49" width="15.28515625" bestFit="1" customWidth="1"/>
    <col min="50" max="50" width="12.28515625" bestFit="1" customWidth="1"/>
    <col min="51" max="51" width="4.28515625" bestFit="1" customWidth="1"/>
    <col min="52" max="52" width="4.5703125" bestFit="1" customWidth="1"/>
    <col min="53" max="53" width="4.140625" bestFit="1" customWidth="1"/>
    <col min="54" max="54" width="15.28515625" bestFit="1" customWidth="1"/>
    <col min="55" max="55" width="12.28515625" bestFit="1" customWidth="1"/>
    <col min="56" max="56" width="4.28515625" bestFit="1" customWidth="1"/>
    <col min="57" max="57" width="4.5703125" bestFit="1" customWidth="1"/>
    <col min="58" max="58" width="15.28515625" bestFit="1" customWidth="1"/>
    <col min="59" max="59" width="12.28515625" bestFit="1" customWidth="1"/>
    <col min="60" max="60" width="15.28515625" bestFit="1" customWidth="1"/>
    <col min="61" max="61" width="12.28515625" bestFit="1" customWidth="1"/>
    <col min="62" max="62" width="15.28515625" bestFit="1" customWidth="1"/>
    <col min="63" max="63" width="12.28515625" bestFit="1" customWidth="1"/>
    <col min="64" max="64" width="4.28515625" bestFit="1" customWidth="1"/>
    <col min="65" max="65" width="4.5703125" bestFit="1" customWidth="1"/>
    <col min="66" max="66" width="4.140625" bestFit="1" customWidth="1"/>
    <col min="67" max="67" width="15.28515625" bestFit="1" customWidth="1"/>
    <col min="68" max="68" width="12.28515625" bestFit="1" customWidth="1"/>
    <col min="69" max="69" width="15.28515625" bestFit="1" customWidth="1"/>
    <col min="70" max="70" width="12.28515625" bestFit="1" customWidth="1"/>
    <col min="71" max="71" width="15.28515625" bestFit="1" customWidth="1"/>
    <col min="72" max="72" width="12.85546875" bestFit="1" customWidth="1"/>
    <col min="73" max="73" width="4.28515625" bestFit="1" customWidth="1"/>
    <col min="74" max="74" width="15.85546875" bestFit="1" customWidth="1"/>
    <col min="75" max="75" width="12.5703125" bestFit="1" customWidth="1"/>
  </cols>
  <sheetData>
    <row r="2" spans="2:10" x14ac:dyDescent="0.25">
      <c r="B2" s="14" t="s">
        <v>5</v>
      </c>
      <c r="C2" t="s">
        <v>450</v>
      </c>
    </row>
    <row r="4" spans="2:10" x14ac:dyDescent="0.25">
      <c r="B4" s="14" t="s">
        <v>284</v>
      </c>
      <c r="C4" s="14" t="s">
        <v>432</v>
      </c>
    </row>
    <row r="5" spans="2:10" x14ac:dyDescent="0.25">
      <c r="B5" s="14" t="s">
        <v>281</v>
      </c>
      <c r="C5" t="s">
        <v>433</v>
      </c>
      <c r="D5" t="s">
        <v>434</v>
      </c>
      <c r="E5" t="s">
        <v>435</v>
      </c>
      <c r="F5" t="s">
        <v>436</v>
      </c>
      <c r="G5" t="s">
        <v>437</v>
      </c>
      <c r="H5" t="s">
        <v>438</v>
      </c>
      <c r="I5" t="s">
        <v>439</v>
      </c>
      <c r="J5" t="s">
        <v>283</v>
      </c>
    </row>
    <row r="6" spans="2:10" x14ac:dyDescent="0.25">
      <c r="B6" s="15" t="s">
        <v>165</v>
      </c>
      <c r="C6" s="47">
        <v>2</v>
      </c>
      <c r="D6" s="47">
        <v>1</v>
      </c>
      <c r="E6" s="47">
        <v>1</v>
      </c>
      <c r="F6" s="47">
        <v>2</v>
      </c>
      <c r="G6" s="47">
        <v>2</v>
      </c>
      <c r="H6" s="47"/>
      <c r="I6" s="47"/>
      <c r="J6" s="47">
        <v>8</v>
      </c>
    </row>
    <row r="7" spans="2:10" x14ac:dyDescent="0.25">
      <c r="B7" s="15" t="s">
        <v>179</v>
      </c>
      <c r="C7" s="47"/>
      <c r="D7" s="47">
        <v>2</v>
      </c>
      <c r="E7" s="47">
        <v>1</v>
      </c>
      <c r="F7" s="47"/>
      <c r="G7" s="47"/>
      <c r="H7" s="47"/>
      <c r="I7" s="47"/>
      <c r="J7" s="47">
        <v>3</v>
      </c>
    </row>
    <row r="8" spans="2:10" x14ac:dyDescent="0.25">
      <c r="B8" s="15" t="s">
        <v>45</v>
      </c>
      <c r="C8" s="47">
        <v>2</v>
      </c>
      <c r="D8" s="47">
        <v>3</v>
      </c>
      <c r="E8" s="47">
        <v>1</v>
      </c>
      <c r="F8" s="47">
        <v>1</v>
      </c>
      <c r="G8" s="47"/>
      <c r="H8" s="47"/>
      <c r="I8" s="47"/>
      <c r="J8" s="47">
        <v>7</v>
      </c>
    </row>
    <row r="9" spans="2:10" x14ac:dyDescent="0.25">
      <c r="B9" s="15" t="s">
        <v>78</v>
      </c>
      <c r="C9" s="47">
        <v>8</v>
      </c>
      <c r="D9" s="47">
        <v>2</v>
      </c>
      <c r="E9" s="47">
        <v>3</v>
      </c>
      <c r="F9" s="47">
        <v>2</v>
      </c>
      <c r="G9" s="47"/>
      <c r="H9" s="47"/>
      <c r="I9" s="47"/>
      <c r="J9" s="47">
        <v>15</v>
      </c>
    </row>
    <row r="10" spans="2:10" x14ac:dyDescent="0.25">
      <c r="B10" s="15" t="s">
        <v>104</v>
      </c>
      <c r="C10" s="47"/>
      <c r="D10" s="47">
        <v>1</v>
      </c>
      <c r="E10" s="47">
        <v>1</v>
      </c>
      <c r="F10" s="47">
        <v>1</v>
      </c>
      <c r="G10" s="47"/>
      <c r="H10" s="47"/>
      <c r="I10" s="47"/>
      <c r="J10" s="47">
        <v>3</v>
      </c>
    </row>
    <row r="11" spans="2:10" x14ac:dyDescent="0.25">
      <c r="B11" s="15" t="s">
        <v>118</v>
      </c>
      <c r="C11" s="47">
        <v>1</v>
      </c>
      <c r="D11" s="47">
        <v>1</v>
      </c>
      <c r="E11" s="47">
        <v>1</v>
      </c>
      <c r="F11" s="47">
        <v>3</v>
      </c>
      <c r="G11" s="47"/>
      <c r="H11" s="47"/>
      <c r="I11" s="47"/>
      <c r="J11" s="47">
        <v>6</v>
      </c>
    </row>
    <row r="12" spans="2:10" x14ac:dyDescent="0.25">
      <c r="B12" s="15" t="s">
        <v>196</v>
      </c>
      <c r="C12" s="47">
        <v>2</v>
      </c>
      <c r="D12" s="47">
        <v>1</v>
      </c>
      <c r="E12" s="47">
        <v>2</v>
      </c>
      <c r="F12" s="47"/>
      <c r="G12" s="47"/>
      <c r="H12" s="47"/>
      <c r="I12" s="47"/>
      <c r="J12" s="47">
        <v>5</v>
      </c>
    </row>
    <row r="13" spans="2:10" x14ac:dyDescent="0.25">
      <c r="B13" s="15" t="s">
        <v>140</v>
      </c>
      <c r="C13" s="47">
        <v>2</v>
      </c>
      <c r="D13" s="47">
        <v>1</v>
      </c>
      <c r="E13" s="47">
        <v>1</v>
      </c>
      <c r="F13" s="47">
        <v>2</v>
      </c>
      <c r="G13" s="47"/>
      <c r="H13" s="47"/>
      <c r="I13" s="47"/>
      <c r="J13" s="47">
        <v>6</v>
      </c>
    </row>
    <row r="14" spans="2:10" x14ac:dyDescent="0.25">
      <c r="B14" s="15" t="s">
        <v>127</v>
      </c>
      <c r="C14" s="47">
        <v>1</v>
      </c>
      <c r="D14" s="47">
        <v>2</v>
      </c>
      <c r="E14" s="47">
        <v>2</v>
      </c>
      <c r="F14" s="47">
        <v>1</v>
      </c>
      <c r="G14" s="47"/>
      <c r="H14" s="47"/>
      <c r="I14" s="47"/>
      <c r="J14" s="47">
        <v>6</v>
      </c>
    </row>
    <row r="15" spans="2:10" x14ac:dyDescent="0.25">
      <c r="B15" s="15" t="s">
        <v>53</v>
      </c>
      <c r="C15" s="47">
        <v>1</v>
      </c>
      <c r="D15" s="47">
        <v>1</v>
      </c>
      <c r="E15" s="47">
        <v>1</v>
      </c>
      <c r="F15" s="47"/>
      <c r="G15" s="47"/>
      <c r="H15" s="47"/>
      <c r="I15" s="47">
        <v>1</v>
      </c>
      <c r="J15" s="47">
        <v>4</v>
      </c>
    </row>
    <row r="16" spans="2:10" x14ac:dyDescent="0.25">
      <c r="B16" s="15" t="s">
        <v>183</v>
      </c>
      <c r="C16" s="47">
        <v>3</v>
      </c>
      <c r="D16" s="47">
        <v>2</v>
      </c>
      <c r="E16" s="47">
        <v>3</v>
      </c>
      <c r="F16" s="47">
        <v>1</v>
      </c>
      <c r="G16" s="47"/>
      <c r="H16" s="47"/>
      <c r="I16" s="47"/>
      <c r="J16" s="47">
        <v>9</v>
      </c>
    </row>
    <row r="17" spans="2:10" x14ac:dyDescent="0.25">
      <c r="B17" s="15" t="s">
        <v>133</v>
      </c>
      <c r="C17" s="47"/>
      <c r="D17" s="47"/>
      <c r="E17" s="47"/>
      <c r="F17" s="47">
        <v>1</v>
      </c>
      <c r="G17" s="47">
        <v>1</v>
      </c>
      <c r="H17" s="47">
        <v>1</v>
      </c>
      <c r="I17" s="47"/>
      <c r="J17" s="47">
        <v>3</v>
      </c>
    </row>
    <row r="18" spans="2:10" x14ac:dyDescent="0.25">
      <c r="B18" s="15" t="s">
        <v>282</v>
      </c>
      <c r="C18" s="47">
        <v>2</v>
      </c>
      <c r="D18" s="47">
        <v>3</v>
      </c>
      <c r="E18" s="47">
        <v>4</v>
      </c>
      <c r="F18" s="47">
        <v>5</v>
      </c>
      <c r="G18" s="47">
        <v>3</v>
      </c>
      <c r="H18" s="47"/>
      <c r="I18" s="47"/>
      <c r="J18" s="47">
        <v>17</v>
      </c>
    </row>
    <row r="19" spans="2:10" x14ac:dyDescent="0.25">
      <c r="B19" s="15" t="s">
        <v>283</v>
      </c>
      <c r="C19" s="47">
        <v>24</v>
      </c>
      <c r="D19" s="47">
        <v>20</v>
      </c>
      <c r="E19" s="47">
        <v>21</v>
      </c>
      <c r="F19" s="47">
        <v>19</v>
      </c>
      <c r="G19" s="47">
        <v>6</v>
      </c>
      <c r="H19" s="47">
        <v>1</v>
      </c>
      <c r="I19" s="47">
        <v>1</v>
      </c>
      <c r="J19" s="47">
        <v>92</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68732E-537D-4E04-833D-8675CDB73B6C}">
  <dimension ref="A1:C8"/>
  <sheetViews>
    <sheetView workbookViewId="0">
      <selection activeCell="F22" sqref="F22"/>
    </sheetView>
  </sheetViews>
  <sheetFormatPr baseColWidth="10" defaultRowHeight="15" x14ac:dyDescent="0.25"/>
  <cols>
    <col min="1" max="1" width="17.5703125" bestFit="1" customWidth="1"/>
    <col min="2" max="2" width="11.140625" bestFit="1" customWidth="1"/>
    <col min="3" max="3" width="9" bestFit="1" customWidth="1"/>
    <col min="4" max="4" width="12.5703125" bestFit="1" customWidth="1"/>
    <col min="5" max="6" width="22.42578125" bestFit="1" customWidth="1"/>
    <col min="7" max="7" width="12.5703125" bestFit="1" customWidth="1"/>
    <col min="8" max="8" width="9.85546875" bestFit="1" customWidth="1"/>
    <col min="9" max="11" width="12.5703125" bestFit="1" customWidth="1"/>
  </cols>
  <sheetData>
    <row r="1" spans="1:3" x14ac:dyDescent="0.25">
      <c r="A1" s="14" t="s">
        <v>281</v>
      </c>
      <c r="B1" t="s">
        <v>446</v>
      </c>
      <c r="C1" t="s">
        <v>445</v>
      </c>
    </row>
    <row r="2" spans="1:3" x14ac:dyDescent="0.25">
      <c r="A2" s="15" t="s">
        <v>440</v>
      </c>
      <c r="B2" s="47">
        <v>48</v>
      </c>
      <c r="C2" s="47">
        <v>27</v>
      </c>
    </row>
    <row r="3" spans="1:3" x14ac:dyDescent="0.25">
      <c r="A3" s="48" t="s">
        <v>434</v>
      </c>
      <c r="B3" s="47">
        <v>21</v>
      </c>
      <c r="C3" s="47">
        <v>17</v>
      </c>
    </row>
    <row r="4" spans="1:3" x14ac:dyDescent="0.25">
      <c r="A4" s="48" t="s">
        <v>435</v>
      </c>
      <c r="B4" s="47">
        <v>19</v>
      </c>
      <c r="C4" s="47">
        <v>8</v>
      </c>
    </row>
    <row r="5" spans="1:3" x14ac:dyDescent="0.25">
      <c r="A5" s="48" t="s">
        <v>436</v>
      </c>
      <c r="B5" s="47">
        <v>6</v>
      </c>
      <c r="C5" s="47">
        <v>0</v>
      </c>
    </row>
    <row r="6" spans="1:3" x14ac:dyDescent="0.25">
      <c r="A6" s="48" t="s">
        <v>443</v>
      </c>
      <c r="B6" s="47">
        <v>1</v>
      </c>
      <c r="C6" s="47">
        <v>1</v>
      </c>
    </row>
    <row r="7" spans="1:3" x14ac:dyDescent="0.25">
      <c r="A7" s="48" t="s">
        <v>444</v>
      </c>
      <c r="B7" s="47">
        <v>1</v>
      </c>
      <c r="C7" s="47">
        <v>1</v>
      </c>
    </row>
    <row r="8" spans="1:3" x14ac:dyDescent="0.25">
      <c r="A8" s="15" t="s">
        <v>283</v>
      </c>
      <c r="B8" s="47">
        <v>48</v>
      </c>
      <c r="C8" s="47">
        <v>27</v>
      </c>
    </row>
  </sheetData>
  <pageMargins left="0.7" right="0.7" top="0.75" bottom="0.75" header="0.3" footer="0.3"/>
  <drawing r:id="rId2"/>
  <extLst>
    <ext xmlns:x15="http://schemas.microsoft.com/office/spreadsheetml/2010/11/main" uri="{7E03D99C-DC04-49d9-9315-930204A7B6E9}">
      <x15:timelineRefs>
        <x15:timelineRef r:id="rId3"/>
      </x15:timelineRef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38E0BD-571C-40B4-BA61-45DF209BA753}">
  <dimension ref="A1:AM117"/>
  <sheetViews>
    <sheetView tabSelected="1" workbookViewId="0">
      <pane ySplit="1" topLeftCell="A2" activePane="bottomLeft" state="frozen"/>
      <selection pane="bottomLeft" activeCell="E22" sqref="E22"/>
    </sheetView>
  </sheetViews>
  <sheetFormatPr baseColWidth="10" defaultRowHeight="15" x14ac:dyDescent="0.25"/>
  <cols>
    <col min="10" max="14" width="0" hidden="1" customWidth="1"/>
    <col min="16" max="16" width="11.85546875" bestFit="1" customWidth="1"/>
    <col min="17" max="17" width="11.85546875" customWidth="1"/>
    <col min="20" max="32" width="0" hidden="1" customWidth="1"/>
    <col min="33" max="33" width="23.42578125" customWidth="1"/>
  </cols>
  <sheetData>
    <row r="1" spans="1:39" x14ac:dyDescent="0.25">
      <c r="A1" s="16" t="s">
        <v>38</v>
      </c>
      <c r="B1" s="17" t="s">
        <v>5</v>
      </c>
      <c r="C1" s="18" t="s">
        <v>6</v>
      </c>
      <c r="D1" s="19" t="s">
        <v>7</v>
      </c>
      <c r="E1" s="20" t="s">
        <v>8</v>
      </c>
      <c r="F1" s="17" t="s">
        <v>9</v>
      </c>
      <c r="G1" s="21" t="s">
        <v>10</v>
      </c>
      <c r="H1" s="17" t="s">
        <v>11</v>
      </c>
      <c r="I1" s="22" t="s">
        <v>12</v>
      </c>
      <c r="J1" s="23" t="s">
        <v>13</v>
      </c>
      <c r="K1" s="23" t="s">
        <v>25</v>
      </c>
      <c r="L1" s="23" t="s">
        <v>26</v>
      </c>
      <c r="M1" s="23" t="s">
        <v>27</v>
      </c>
      <c r="N1" s="24" t="s">
        <v>28</v>
      </c>
      <c r="P1" s="46" t="s">
        <v>431</v>
      </c>
      <c r="Q1" s="46" t="s">
        <v>317</v>
      </c>
      <c r="S1" t="s">
        <v>285</v>
      </c>
      <c r="T1" t="s">
        <v>8</v>
      </c>
      <c r="U1" t="s">
        <v>286</v>
      </c>
      <c r="V1" t="s">
        <v>287</v>
      </c>
      <c r="W1" t="s">
        <v>288</v>
      </c>
      <c r="X1" t="s">
        <v>289</v>
      </c>
      <c r="Y1" t="s">
        <v>290</v>
      </c>
      <c r="Z1" t="s">
        <v>291</v>
      </c>
      <c r="AA1" t="s">
        <v>292</v>
      </c>
      <c r="AB1" t="s">
        <v>293</v>
      </c>
      <c r="AC1" t="s">
        <v>294</v>
      </c>
      <c r="AD1" t="s">
        <v>295</v>
      </c>
      <c r="AE1" t="s">
        <v>10</v>
      </c>
      <c r="AF1" t="s">
        <v>6</v>
      </c>
      <c r="AG1" t="s">
        <v>296</v>
      </c>
      <c r="AH1" t="s">
        <v>18</v>
      </c>
      <c r="AI1" t="s">
        <v>297</v>
      </c>
      <c r="AJ1" t="s">
        <v>298</v>
      </c>
      <c r="AK1" t="s">
        <v>24</v>
      </c>
      <c r="AL1" t="s">
        <v>299</v>
      </c>
      <c r="AM1" t="s">
        <v>300</v>
      </c>
    </row>
    <row r="2" spans="1:39" x14ac:dyDescent="0.25">
      <c r="A2" s="25">
        <v>8392</v>
      </c>
      <c r="B2" s="26">
        <v>275</v>
      </c>
      <c r="C2" s="27" t="s">
        <v>42</v>
      </c>
      <c r="D2" s="27">
        <v>247828</v>
      </c>
      <c r="E2" s="28" t="s">
        <v>43</v>
      </c>
      <c r="F2" s="26">
        <v>30</v>
      </c>
      <c r="G2" s="28" t="s">
        <v>44</v>
      </c>
      <c r="H2" s="26">
        <v>3233</v>
      </c>
      <c r="I2" s="27" t="s">
        <v>45</v>
      </c>
      <c r="J2" s="27" t="s">
        <v>46</v>
      </c>
      <c r="K2" s="29">
        <v>45658</v>
      </c>
      <c r="L2" s="29">
        <v>1</v>
      </c>
      <c r="M2" s="29">
        <v>45688</v>
      </c>
      <c r="N2" s="30">
        <v>45688</v>
      </c>
      <c r="P2" t="b">
        <f>B2=S2</f>
        <v>1</v>
      </c>
      <c r="Q2" t="b">
        <f t="shared" ref="Q2:Q65" si="0">IF(I2="",TRUE,I2=AG2)</f>
        <v>1</v>
      </c>
      <c r="S2">
        <v>275</v>
      </c>
      <c r="T2" t="s">
        <v>43</v>
      </c>
      <c r="U2" t="s">
        <v>301</v>
      </c>
      <c r="V2">
        <v>45658</v>
      </c>
      <c r="W2">
        <v>45688</v>
      </c>
      <c r="X2">
        <v>45688</v>
      </c>
      <c r="Y2">
        <v>30</v>
      </c>
      <c r="Z2">
        <v>30</v>
      </c>
      <c r="AA2">
        <v>33</v>
      </c>
      <c r="AB2">
        <v>-3</v>
      </c>
      <c r="AC2" t="s">
        <v>302</v>
      </c>
      <c r="AD2" t="s">
        <v>302</v>
      </c>
      <c r="AE2" t="s">
        <v>303</v>
      </c>
      <c r="AF2" t="s">
        <v>304</v>
      </c>
      <c r="AG2" t="s">
        <v>305</v>
      </c>
      <c r="AH2" t="s">
        <v>171</v>
      </c>
      <c r="AI2" t="s">
        <v>306</v>
      </c>
      <c r="AJ2" t="s">
        <v>184</v>
      </c>
      <c r="AK2" t="s">
        <v>185</v>
      </c>
      <c r="AL2">
        <v>0</v>
      </c>
      <c r="AM2" t="s">
        <v>307</v>
      </c>
    </row>
    <row r="3" spans="1:39" x14ac:dyDescent="0.25">
      <c r="A3" s="31">
        <v>8246</v>
      </c>
      <c r="B3" s="32">
        <v>276</v>
      </c>
      <c r="C3" s="33" t="s">
        <v>256</v>
      </c>
      <c r="D3" s="33">
        <v>247888</v>
      </c>
      <c r="E3" s="34" t="s">
        <v>157</v>
      </c>
      <c r="F3" s="32">
        <v>30</v>
      </c>
      <c r="G3" s="34" t="s">
        <v>44</v>
      </c>
      <c r="H3" s="32">
        <v>3198</v>
      </c>
      <c r="I3" s="33" t="s">
        <v>53</v>
      </c>
      <c r="J3" s="33" t="s">
        <v>46</v>
      </c>
      <c r="K3" s="35">
        <v>45705</v>
      </c>
      <c r="L3" s="35">
        <v>45705</v>
      </c>
      <c r="M3" s="35">
        <v>45705</v>
      </c>
      <c r="N3" s="36"/>
      <c r="P3" t="b">
        <f t="shared" ref="P3:P66" si="1">B3=S3</f>
        <v>1</v>
      </c>
      <c r="Q3" t="b">
        <f t="shared" si="0"/>
        <v>1</v>
      </c>
      <c r="S3">
        <v>276</v>
      </c>
      <c r="T3" t="s">
        <v>157</v>
      </c>
      <c r="U3" t="s">
        <v>308</v>
      </c>
      <c r="V3">
        <v>45658</v>
      </c>
      <c r="W3">
        <v>45961</v>
      </c>
      <c r="X3">
        <v>45960</v>
      </c>
      <c r="Y3">
        <v>302</v>
      </c>
      <c r="Z3">
        <v>303</v>
      </c>
      <c r="AA3">
        <v>33</v>
      </c>
      <c r="AB3">
        <v>270</v>
      </c>
      <c r="AC3" t="s">
        <v>302</v>
      </c>
      <c r="AD3" t="s">
        <v>302</v>
      </c>
      <c r="AE3" t="s">
        <v>309</v>
      </c>
      <c r="AF3" t="s">
        <v>304</v>
      </c>
      <c r="AG3" t="s">
        <v>53</v>
      </c>
      <c r="AH3" t="s">
        <v>171</v>
      </c>
      <c r="AI3" t="s">
        <v>310</v>
      </c>
      <c r="AJ3" t="s">
        <v>184</v>
      </c>
      <c r="AK3" t="s">
        <v>185</v>
      </c>
      <c r="AL3">
        <v>9</v>
      </c>
      <c r="AM3" t="s">
        <v>311</v>
      </c>
    </row>
    <row r="4" spans="1:39" x14ac:dyDescent="0.25">
      <c r="A4" s="31">
        <v>8248</v>
      </c>
      <c r="B4" s="32">
        <v>277</v>
      </c>
      <c r="C4" s="33" t="s">
        <v>214</v>
      </c>
      <c r="D4" s="33">
        <v>247857</v>
      </c>
      <c r="E4" s="34" t="s">
        <v>62</v>
      </c>
      <c r="F4" s="32">
        <v>21</v>
      </c>
      <c r="G4" s="34" t="s">
        <v>69</v>
      </c>
      <c r="H4" s="32">
        <v>3198</v>
      </c>
      <c r="I4" s="33" t="s">
        <v>53</v>
      </c>
      <c r="J4" s="33" t="s">
        <v>46</v>
      </c>
      <c r="K4" s="35">
        <v>45658</v>
      </c>
      <c r="L4" s="35">
        <v>1</v>
      </c>
      <c r="M4" s="35">
        <v>45688</v>
      </c>
      <c r="N4" s="36">
        <v>45688</v>
      </c>
      <c r="P4" t="b">
        <f t="shared" si="1"/>
        <v>1</v>
      </c>
      <c r="Q4" t="b">
        <f t="shared" si="0"/>
        <v>1</v>
      </c>
      <c r="S4">
        <v>277</v>
      </c>
      <c r="T4" t="s">
        <v>62</v>
      </c>
      <c r="U4" t="s">
        <v>312</v>
      </c>
      <c r="V4">
        <v>45658</v>
      </c>
      <c r="W4">
        <v>45688</v>
      </c>
      <c r="X4">
        <v>45688</v>
      </c>
      <c r="Y4">
        <v>30</v>
      </c>
      <c r="Z4">
        <v>30</v>
      </c>
      <c r="AA4">
        <v>33</v>
      </c>
      <c r="AB4">
        <v>-3</v>
      </c>
      <c r="AC4" t="s">
        <v>313</v>
      </c>
      <c r="AD4" t="s">
        <v>302</v>
      </c>
      <c r="AE4" t="s">
        <v>314</v>
      </c>
      <c r="AF4" t="s">
        <v>304</v>
      </c>
      <c r="AG4" t="s">
        <v>53</v>
      </c>
      <c r="AH4" t="s">
        <v>171</v>
      </c>
      <c r="AI4" t="s">
        <v>310</v>
      </c>
      <c r="AJ4" t="s">
        <v>184</v>
      </c>
      <c r="AK4" t="s">
        <v>185</v>
      </c>
      <c r="AL4">
        <v>9</v>
      </c>
      <c r="AM4" t="s">
        <v>307</v>
      </c>
    </row>
    <row r="5" spans="1:39" x14ac:dyDescent="0.25">
      <c r="A5" s="31">
        <v>8395</v>
      </c>
      <c r="B5" s="32">
        <v>278</v>
      </c>
      <c r="C5" s="33" t="s">
        <v>48</v>
      </c>
      <c r="D5" s="33">
        <v>247828</v>
      </c>
      <c r="E5" s="34" t="s">
        <v>43</v>
      </c>
      <c r="F5" s="32">
        <v>30</v>
      </c>
      <c r="G5" s="34" t="s">
        <v>44</v>
      </c>
      <c r="H5" s="32">
        <v>3233</v>
      </c>
      <c r="I5" s="33" t="s">
        <v>45</v>
      </c>
      <c r="J5" s="33" t="s">
        <v>46</v>
      </c>
      <c r="K5" s="35">
        <v>45658</v>
      </c>
      <c r="L5" s="35">
        <v>1</v>
      </c>
      <c r="M5" s="35">
        <v>45685</v>
      </c>
      <c r="N5" s="36">
        <v>45716</v>
      </c>
      <c r="P5" t="b">
        <f t="shared" si="1"/>
        <v>1</v>
      </c>
      <c r="Q5" t="b">
        <f t="shared" si="0"/>
        <v>1</v>
      </c>
      <c r="S5">
        <v>278</v>
      </c>
      <c r="T5" t="s">
        <v>43</v>
      </c>
      <c r="U5" t="s">
        <v>315</v>
      </c>
      <c r="V5">
        <v>45658</v>
      </c>
      <c r="W5">
        <v>45685</v>
      </c>
      <c r="X5">
        <v>45716</v>
      </c>
      <c r="Y5">
        <v>58</v>
      </c>
      <c r="Z5">
        <v>27</v>
      </c>
      <c r="AA5">
        <v>33</v>
      </c>
      <c r="AB5">
        <v>-6</v>
      </c>
      <c r="AC5" t="s">
        <v>316</v>
      </c>
      <c r="AD5" t="s">
        <v>302</v>
      </c>
      <c r="AE5" t="s">
        <v>317</v>
      </c>
      <c r="AF5" t="s">
        <v>304</v>
      </c>
      <c r="AG5" t="s">
        <v>305</v>
      </c>
      <c r="AH5" t="s">
        <v>171</v>
      </c>
      <c r="AI5" t="s">
        <v>306</v>
      </c>
      <c r="AJ5" t="s">
        <v>184</v>
      </c>
      <c r="AK5" t="s">
        <v>185</v>
      </c>
      <c r="AL5">
        <v>0</v>
      </c>
      <c r="AM5" t="s">
        <v>318</v>
      </c>
    </row>
    <row r="6" spans="1:39" x14ac:dyDescent="0.25">
      <c r="A6" s="25">
        <v>8250</v>
      </c>
      <c r="B6" s="26">
        <v>279</v>
      </c>
      <c r="C6" s="27" t="s">
        <v>198</v>
      </c>
      <c r="D6" s="27"/>
      <c r="E6" s="28"/>
      <c r="F6" s="26">
        <v>29</v>
      </c>
      <c r="G6" s="28" t="s">
        <v>154</v>
      </c>
      <c r="H6" s="26">
        <v>3198</v>
      </c>
      <c r="I6" s="27" t="s">
        <v>53</v>
      </c>
      <c r="J6" s="27" t="s">
        <v>46</v>
      </c>
      <c r="K6" s="29">
        <v>45658</v>
      </c>
      <c r="L6" s="29">
        <v>1</v>
      </c>
      <c r="M6" s="29">
        <v>45681</v>
      </c>
      <c r="N6" s="30">
        <v>45740</v>
      </c>
      <c r="P6" t="b">
        <f t="shared" si="1"/>
        <v>1</v>
      </c>
      <c r="Q6" t="b">
        <f t="shared" si="0"/>
        <v>1</v>
      </c>
      <c r="S6">
        <v>279</v>
      </c>
      <c r="T6" t="s">
        <v>51</v>
      </c>
      <c r="U6" t="s">
        <v>319</v>
      </c>
      <c r="V6">
        <v>45658</v>
      </c>
      <c r="W6">
        <v>45716</v>
      </c>
      <c r="X6">
        <v>45716</v>
      </c>
      <c r="Y6">
        <v>58</v>
      </c>
      <c r="Z6">
        <v>58</v>
      </c>
      <c r="AA6">
        <v>33</v>
      </c>
      <c r="AB6">
        <v>25</v>
      </c>
      <c r="AC6" t="s">
        <v>316</v>
      </c>
      <c r="AD6" t="s">
        <v>302</v>
      </c>
      <c r="AE6" t="s">
        <v>317</v>
      </c>
      <c r="AF6" t="s">
        <v>304</v>
      </c>
      <c r="AG6" t="s">
        <v>53</v>
      </c>
      <c r="AH6" t="s">
        <v>171</v>
      </c>
      <c r="AI6" t="s">
        <v>310</v>
      </c>
      <c r="AJ6" t="s">
        <v>184</v>
      </c>
      <c r="AK6" t="s">
        <v>185</v>
      </c>
      <c r="AL6">
        <v>0</v>
      </c>
      <c r="AM6" t="s">
        <v>311</v>
      </c>
    </row>
    <row r="7" spans="1:39" x14ac:dyDescent="0.25">
      <c r="A7" s="25">
        <v>8396</v>
      </c>
      <c r="B7" s="26">
        <v>280</v>
      </c>
      <c r="C7" s="27" t="s">
        <v>50</v>
      </c>
      <c r="D7" s="27">
        <v>247541</v>
      </c>
      <c r="E7" s="28" t="s">
        <v>51</v>
      </c>
      <c r="F7" s="26">
        <v>28</v>
      </c>
      <c r="G7" s="28" t="s">
        <v>52</v>
      </c>
      <c r="H7" s="26">
        <v>3198</v>
      </c>
      <c r="I7" s="27" t="s">
        <v>53</v>
      </c>
      <c r="J7" s="27" t="s">
        <v>46</v>
      </c>
      <c r="K7" s="29">
        <v>45658</v>
      </c>
      <c r="L7" s="29">
        <v>1</v>
      </c>
      <c r="M7" s="29">
        <v>45744</v>
      </c>
      <c r="N7" s="30">
        <v>45744</v>
      </c>
      <c r="P7" t="b">
        <f t="shared" si="1"/>
        <v>1</v>
      </c>
      <c r="Q7" t="b">
        <f t="shared" si="0"/>
        <v>1</v>
      </c>
      <c r="S7">
        <v>280</v>
      </c>
      <c r="T7" t="s">
        <v>51</v>
      </c>
      <c r="U7" t="s">
        <v>320</v>
      </c>
      <c r="V7">
        <v>45658</v>
      </c>
      <c r="W7">
        <v>45744</v>
      </c>
      <c r="X7">
        <v>45744</v>
      </c>
      <c r="Y7">
        <v>86</v>
      </c>
      <c r="Z7">
        <v>86</v>
      </c>
      <c r="AA7">
        <v>33</v>
      </c>
      <c r="AB7">
        <v>53</v>
      </c>
      <c r="AC7" t="s">
        <v>316</v>
      </c>
      <c r="AD7" t="s">
        <v>316</v>
      </c>
      <c r="AE7" t="s">
        <v>317</v>
      </c>
      <c r="AF7" t="s">
        <v>304</v>
      </c>
      <c r="AG7" t="s">
        <v>53</v>
      </c>
      <c r="AH7" t="s">
        <v>171</v>
      </c>
      <c r="AI7" t="s">
        <v>310</v>
      </c>
      <c r="AJ7" t="s">
        <v>184</v>
      </c>
      <c r="AK7" t="s">
        <v>185</v>
      </c>
      <c r="AL7">
        <v>0</v>
      </c>
      <c r="AM7" t="s">
        <v>311</v>
      </c>
    </row>
    <row r="8" spans="1:39" x14ac:dyDescent="0.25">
      <c r="A8" s="31">
        <v>8397</v>
      </c>
      <c r="B8" s="32">
        <v>281</v>
      </c>
      <c r="C8" s="33" t="s">
        <v>55</v>
      </c>
      <c r="D8" s="33">
        <v>247795</v>
      </c>
      <c r="E8" s="34" t="s">
        <v>56</v>
      </c>
      <c r="F8" s="32">
        <v>28</v>
      </c>
      <c r="G8" s="34" t="s">
        <v>52</v>
      </c>
      <c r="H8" s="32">
        <v>3233</v>
      </c>
      <c r="I8" s="33" t="s">
        <v>45</v>
      </c>
      <c r="J8" s="33" t="s">
        <v>46</v>
      </c>
      <c r="K8" s="35">
        <v>45658</v>
      </c>
      <c r="L8" s="35">
        <v>1</v>
      </c>
      <c r="M8" s="35">
        <v>45744</v>
      </c>
      <c r="N8" s="36">
        <v>45744</v>
      </c>
      <c r="P8" t="b">
        <f t="shared" si="1"/>
        <v>1</v>
      </c>
      <c r="Q8" t="b">
        <f t="shared" si="0"/>
        <v>1</v>
      </c>
      <c r="S8">
        <v>281</v>
      </c>
      <c r="T8" t="s">
        <v>56</v>
      </c>
      <c r="U8" t="s">
        <v>321</v>
      </c>
      <c r="V8">
        <v>45658</v>
      </c>
      <c r="W8">
        <v>45744</v>
      </c>
      <c r="X8">
        <v>45744</v>
      </c>
      <c r="Y8">
        <v>86</v>
      </c>
      <c r="Z8">
        <v>86</v>
      </c>
      <c r="AA8">
        <v>33</v>
      </c>
      <c r="AB8">
        <v>53</v>
      </c>
      <c r="AC8" t="s">
        <v>302</v>
      </c>
      <c r="AD8" t="s">
        <v>302</v>
      </c>
      <c r="AE8" t="s">
        <v>317</v>
      </c>
      <c r="AF8" t="s">
        <v>304</v>
      </c>
      <c r="AG8" t="s">
        <v>305</v>
      </c>
      <c r="AH8" t="s">
        <v>171</v>
      </c>
      <c r="AI8" t="s">
        <v>306</v>
      </c>
      <c r="AJ8" t="s">
        <v>184</v>
      </c>
      <c r="AK8" t="s">
        <v>185</v>
      </c>
      <c r="AL8">
        <v>0</v>
      </c>
      <c r="AM8" t="s">
        <v>311</v>
      </c>
    </row>
    <row r="9" spans="1:39" x14ac:dyDescent="0.25">
      <c r="A9" s="25">
        <v>8398</v>
      </c>
      <c r="B9" s="26">
        <v>282</v>
      </c>
      <c r="C9" s="27" t="s">
        <v>58</v>
      </c>
      <c r="D9" s="27">
        <v>247556</v>
      </c>
      <c r="E9" s="28" t="s">
        <v>59</v>
      </c>
      <c r="F9" s="26">
        <v>28</v>
      </c>
      <c r="G9" s="28" t="s">
        <v>52</v>
      </c>
      <c r="H9" s="26">
        <v>3233</v>
      </c>
      <c r="I9" s="27" t="s">
        <v>45</v>
      </c>
      <c r="J9" s="27" t="s">
        <v>46</v>
      </c>
      <c r="K9" s="29">
        <v>45658</v>
      </c>
      <c r="L9" s="29">
        <v>1</v>
      </c>
      <c r="M9" s="29">
        <v>45716</v>
      </c>
      <c r="N9" s="30">
        <v>45716</v>
      </c>
      <c r="P9" t="b">
        <f t="shared" si="1"/>
        <v>1</v>
      </c>
      <c r="Q9" t="b">
        <f t="shared" si="0"/>
        <v>1</v>
      </c>
      <c r="S9">
        <v>282</v>
      </c>
      <c r="T9" t="s">
        <v>59</v>
      </c>
      <c r="U9" t="s">
        <v>322</v>
      </c>
      <c r="V9">
        <v>45658</v>
      </c>
      <c r="W9">
        <v>45716</v>
      </c>
      <c r="X9">
        <v>45716</v>
      </c>
      <c r="Y9">
        <v>58</v>
      </c>
      <c r="Z9">
        <v>58</v>
      </c>
      <c r="AA9">
        <v>33</v>
      </c>
      <c r="AB9">
        <v>25</v>
      </c>
      <c r="AC9" t="s">
        <v>316</v>
      </c>
      <c r="AD9" t="s">
        <v>302</v>
      </c>
      <c r="AE9" t="s">
        <v>317</v>
      </c>
      <c r="AF9" t="s">
        <v>304</v>
      </c>
      <c r="AG9" t="s">
        <v>305</v>
      </c>
      <c r="AH9" t="s">
        <v>171</v>
      </c>
      <c r="AI9" t="s">
        <v>306</v>
      </c>
      <c r="AJ9" t="s">
        <v>184</v>
      </c>
      <c r="AK9" t="s">
        <v>185</v>
      </c>
      <c r="AL9">
        <v>0</v>
      </c>
      <c r="AM9" t="s">
        <v>311</v>
      </c>
    </row>
    <row r="10" spans="1:39" x14ac:dyDescent="0.25">
      <c r="A10" s="31">
        <v>8399</v>
      </c>
      <c r="B10" s="32">
        <v>283</v>
      </c>
      <c r="C10" s="33" t="s">
        <v>61</v>
      </c>
      <c r="D10" s="33">
        <v>247857</v>
      </c>
      <c r="E10" s="34" t="s">
        <v>62</v>
      </c>
      <c r="F10" s="32">
        <v>28</v>
      </c>
      <c r="G10" s="34" t="s">
        <v>52</v>
      </c>
      <c r="H10" s="32"/>
      <c r="I10" s="33"/>
      <c r="J10" s="33" t="s">
        <v>46</v>
      </c>
      <c r="K10" s="35">
        <v>45658</v>
      </c>
      <c r="L10" s="35">
        <v>1</v>
      </c>
      <c r="M10" s="35">
        <v>45688</v>
      </c>
      <c r="N10" s="36">
        <v>45688</v>
      </c>
      <c r="P10" t="b">
        <f t="shared" si="1"/>
        <v>1</v>
      </c>
      <c r="Q10" t="b">
        <f t="shared" si="0"/>
        <v>1</v>
      </c>
      <c r="S10">
        <v>283</v>
      </c>
      <c r="T10" t="s">
        <v>62</v>
      </c>
      <c r="U10" t="s">
        <v>323</v>
      </c>
      <c r="V10">
        <v>45658</v>
      </c>
      <c r="W10">
        <v>45688</v>
      </c>
      <c r="X10">
        <v>45688</v>
      </c>
      <c r="Y10">
        <v>30</v>
      </c>
      <c r="Z10">
        <v>30</v>
      </c>
      <c r="AA10">
        <v>33</v>
      </c>
      <c r="AB10">
        <v>-3</v>
      </c>
      <c r="AC10" t="s">
        <v>313</v>
      </c>
      <c r="AD10" t="s">
        <v>302</v>
      </c>
      <c r="AE10" t="s">
        <v>317</v>
      </c>
      <c r="AF10" t="s">
        <v>304</v>
      </c>
      <c r="AG10" t="s">
        <v>324</v>
      </c>
      <c r="AH10" t="s">
        <v>171</v>
      </c>
      <c r="AI10" t="s">
        <v>325</v>
      </c>
      <c r="AJ10" t="s">
        <v>184</v>
      </c>
      <c r="AK10" t="s">
        <v>185</v>
      </c>
      <c r="AL10">
        <v>0</v>
      </c>
      <c r="AM10" t="s">
        <v>307</v>
      </c>
    </row>
    <row r="11" spans="1:39" x14ac:dyDescent="0.25">
      <c r="A11" s="25">
        <v>8400</v>
      </c>
      <c r="B11" s="26">
        <v>284</v>
      </c>
      <c r="C11" s="27" t="s">
        <v>64</v>
      </c>
      <c r="D11" s="27">
        <v>247885</v>
      </c>
      <c r="E11" s="28" t="s">
        <v>65</v>
      </c>
      <c r="F11" s="26">
        <v>28</v>
      </c>
      <c r="G11" s="28" t="s">
        <v>52</v>
      </c>
      <c r="H11" s="26">
        <v>3233</v>
      </c>
      <c r="I11" s="27" t="s">
        <v>45</v>
      </c>
      <c r="J11" s="27" t="s">
        <v>46</v>
      </c>
      <c r="K11" s="29">
        <v>45658</v>
      </c>
      <c r="L11" s="29">
        <v>1</v>
      </c>
      <c r="M11" s="29">
        <v>45777</v>
      </c>
      <c r="N11" s="30">
        <v>45777</v>
      </c>
      <c r="P11" t="b">
        <f t="shared" si="1"/>
        <v>1</v>
      </c>
      <c r="Q11" t="b">
        <f t="shared" si="0"/>
        <v>1</v>
      </c>
      <c r="S11">
        <v>284</v>
      </c>
      <c r="T11" t="s">
        <v>65</v>
      </c>
      <c r="U11" t="s">
        <v>326</v>
      </c>
      <c r="V11">
        <v>45658</v>
      </c>
      <c r="W11">
        <v>45777</v>
      </c>
      <c r="X11">
        <v>45777</v>
      </c>
      <c r="Y11">
        <v>119</v>
      </c>
      <c r="Z11">
        <v>119</v>
      </c>
      <c r="AA11">
        <v>33</v>
      </c>
      <c r="AB11">
        <v>86</v>
      </c>
      <c r="AC11" t="s">
        <v>302</v>
      </c>
      <c r="AD11" t="s">
        <v>302</v>
      </c>
      <c r="AE11" t="s">
        <v>317</v>
      </c>
      <c r="AF11" t="s">
        <v>304</v>
      </c>
      <c r="AG11" t="s">
        <v>305</v>
      </c>
      <c r="AH11" t="s">
        <v>171</v>
      </c>
      <c r="AI11" t="s">
        <v>306</v>
      </c>
      <c r="AJ11" t="s">
        <v>184</v>
      </c>
      <c r="AK11" t="s">
        <v>185</v>
      </c>
      <c r="AL11">
        <v>0</v>
      </c>
      <c r="AM11" t="s">
        <v>311</v>
      </c>
    </row>
    <row r="12" spans="1:39" x14ac:dyDescent="0.25">
      <c r="A12" s="31">
        <v>8401</v>
      </c>
      <c r="B12" s="32">
        <v>285</v>
      </c>
      <c r="C12" s="33" t="s">
        <v>67</v>
      </c>
      <c r="D12" s="33">
        <v>247277</v>
      </c>
      <c r="E12" s="34" t="s">
        <v>68</v>
      </c>
      <c r="F12" s="32">
        <v>21</v>
      </c>
      <c r="G12" s="34" t="s">
        <v>69</v>
      </c>
      <c r="H12" s="32">
        <v>3233</v>
      </c>
      <c r="I12" s="33" t="s">
        <v>45</v>
      </c>
      <c r="J12" s="33" t="s">
        <v>46</v>
      </c>
      <c r="K12" s="35">
        <v>45658</v>
      </c>
      <c r="L12" s="35">
        <v>1</v>
      </c>
      <c r="M12" s="35">
        <v>45688</v>
      </c>
      <c r="N12" s="36">
        <v>45688</v>
      </c>
      <c r="P12" t="b">
        <f t="shared" si="1"/>
        <v>1</v>
      </c>
      <c r="Q12" t="b">
        <f t="shared" si="0"/>
        <v>1</v>
      </c>
      <c r="S12">
        <v>285</v>
      </c>
      <c r="T12" t="s">
        <v>68</v>
      </c>
      <c r="U12" t="s">
        <v>327</v>
      </c>
      <c r="V12">
        <v>45658</v>
      </c>
      <c r="W12">
        <v>45688</v>
      </c>
      <c r="X12">
        <v>45688</v>
      </c>
      <c r="Y12">
        <v>30</v>
      </c>
      <c r="Z12">
        <v>30</v>
      </c>
      <c r="AA12">
        <v>33</v>
      </c>
      <c r="AB12">
        <v>-3</v>
      </c>
      <c r="AC12" t="s">
        <v>302</v>
      </c>
      <c r="AD12" t="s">
        <v>302</v>
      </c>
      <c r="AE12" t="s">
        <v>314</v>
      </c>
      <c r="AF12" t="s">
        <v>304</v>
      </c>
      <c r="AG12" t="s">
        <v>305</v>
      </c>
      <c r="AH12" t="s">
        <v>171</v>
      </c>
      <c r="AI12" t="s">
        <v>306</v>
      </c>
      <c r="AJ12" t="s">
        <v>184</v>
      </c>
      <c r="AK12" t="s">
        <v>185</v>
      </c>
      <c r="AL12">
        <v>0</v>
      </c>
      <c r="AM12" t="s">
        <v>307</v>
      </c>
    </row>
    <row r="13" spans="1:39" x14ac:dyDescent="0.25">
      <c r="A13" s="25">
        <v>8402</v>
      </c>
      <c r="B13" s="26">
        <v>286</v>
      </c>
      <c r="C13" s="27" t="s">
        <v>71</v>
      </c>
      <c r="D13" s="27">
        <v>247795</v>
      </c>
      <c r="E13" s="28" t="s">
        <v>56</v>
      </c>
      <c r="F13" s="26">
        <v>28</v>
      </c>
      <c r="G13" s="28" t="s">
        <v>52</v>
      </c>
      <c r="H13" s="26"/>
      <c r="I13" s="27"/>
      <c r="J13" s="27" t="s">
        <v>46</v>
      </c>
      <c r="K13" s="29">
        <v>45658</v>
      </c>
      <c r="L13" s="29">
        <v>1</v>
      </c>
      <c r="M13" s="29">
        <v>45716</v>
      </c>
      <c r="N13" s="30">
        <v>45716</v>
      </c>
      <c r="P13" t="b">
        <f t="shared" si="1"/>
        <v>1</v>
      </c>
      <c r="Q13" t="b">
        <f t="shared" si="0"/>
        <v>1</v>
      </c>
      <c r="S13">
        <v>286</v>
      </c>
      <c r="T13" t="s">
        <v>56</v>
      </c>
      <c r="U13" t="s">
        <v>328</v>
      </c>
      <c r="V13">
        <v>45658</v>
      </c>
      <c r="W13">
        <v>45716</v>
      </c>
      <c r="X13">
        <v>45716</v>
      </c>
      <c r="Y13">
        <v>58</v>
      </c>
      <c r="Z13">
        <v>58</v>
      </c>
      <c r="AA13">
        <v>33</v>
      </c>
      <c r="AB13">
        <v>25</v>
      </c>
      <c r="AC13" t="s">
        <v>313</v>
      </c>
      <c r="AD13" t="s">
        <v>313</v>
      </c>
      <c r="AE13" t="s">
        <v>317</v>
      </c>
      <c r="AF13" t="s">
        <v>304</v>
      </c>
      <c r="AG13" t="s">
        <v>324</v>
      </c>
      <c r="AH13" t="s">
        <v>171</v>
      </c>
      <c r="AI13" t="s">
        <v>325</v>
      </c>
      <c r="AJ13" t="s">
        <v>184</v>
      </c>
      <c r="AK13" t="s">
        <v>185</v>
      </c>
      <c r="AL13">
        <v>0</v>
      </c>
      <c r="AM13" t="s">
        <v>311</v>
      </c>
    </row>
    <row r="14" spans="1:39" x14ac:dyDescent="0.25">
      <c r="A14" s="31">
        <v>8403</v>
      </c>
      <c r="B14" s="32">
        <v>287</v>
      </c>
      <c r="C14" s="33" t="s">
        <v>73</v>
      </c>
      <c r="D14" s="33">
        <v>289004</v>
      </c>
      <c r="E14" s="34" t="s">
        <v>59</v>
      </c>
      <c r="F14" s="32">
        <v>28</v>
      </c>
      <c r="G14" s="34" t="s">
        <v>52</v>
      </c>
      <c r="H14" s="32"/>
      <c r="I14" s="33"/>
      <c r="J14" s="33" t="s">
        <v>46</v>
      </c>
      <c r="K14" s="35">
        <v>45658</v>
      </c>
      <c r="L14" s="35">
        <v>1</v>
      </c>
      <c r="M14" s="35">
        <v>45716</v>
      </c>
      <c r="N14" s="36">
        <v>45716</v>
      </c>
      <c r="P14" t="b">
        <f t="shared" si="1"/>
        <v>1</v>
      </c>
      <c r="Q14" t="b">
        <f t="shared" si="0"/>
        <v>1</v>
      </c>
      <c r="S14">
        <v>287</v>
      </c>
      <c r="T14" t="s">
        <v>59</v>
      </c>
      <c r="U14" t="s">
        <v>329</v>
      </c>
      <c r="V14">
        <v>45658</v>
      </c>
      <c r="W14">
        <v>45716</v>
      </c>
      <c r="X14">
        <v>45716</v>
      </c>
      <c r="Y14">
        <v>58</v>
      </c>
      <c r="Z14">
        <v>58</v>
      </c>
      <c r="AA14">
        <v>33</v>
      </c>
      <c r="AB14">
        <v>25</v>
      </c>
      <c r="AC14" t="s">
        <v>313</v>
      </c>
      <c r="AD14" t="s">
        <v>313</v>
      </c>
      <c r="AE14" t="s">
        <v>317</v>
      </c>
      <c r="AF14" t="s">
        <v>304</v>
      </c>
      <c r="AG14" t="s">
        <v>324</v>
      </c>
      <c r="AH14" t="s">
        <v>171</v>
      </c>
      <c r="AI14" t="s">
        <v>325</v>
      </c>
      <c r="AJ14" t="s">
        <v>184</v>
      </c>
      <c r="AK14" t="s">
        <v>185</v>
      </c>
      <c r="AL14">
        <v>0</v>
      </c>
      <c r="AM14" t="s">
        <v>311</v>
      </c>
    </row>
    <row r="15" spans="1:39" x14ac:dyDescent="0.25">
      <c r="A15" s="25">
        <v>8404</v>
      </c>
      <c r="B15" s="26">
        <v>288</v>
      </c>
      <c r="C15" s="27" t="s">
        <v>75</v>
      </c>
      <c r="D15" s="27">
        <v>289006</v>
      </c>
      <c r="E15" s="28" t="s">
        <v>76</v>
      </c>
      <c r="F15" s="26">
        <v>22</v>
      </c>
      <c r="G15" s="28" t="s">
        <v>77</v>
      </c>
      <c r="H15" s="26">
        <v>195</v>
      </c>
      <c r="I15" s="27" t="s">
        <v>78</v>
      </c>
      <c r="J15" s="27" t="s">
        <v>46</v>
      </c>
      <c r="K15" s="29">
        <v>45658</v>
      </c>
      <c r="L15" s="29">
        <v>1</v>
      </c>
      <c r="M15" s="29">
        <v>45688</v>
      </c>
      <c r="N15" s="30">
        <v>45744</v>
      </c>
      <c r="P15" t="b">
        <f t="shared" si="1"/>
        <v>1</v>
      </c>
      <c r="Q15" t="b">
        <f t="shared" si="0"/>
        <v>1</v>
      </c>
      <c r="S15">
        <v>288</v>
      </c>
      <c r="T15" t="s">
        <v>76</v>
      </c>
      <c r="U15" t="s">
        <v>330</v>
      </c>
      <c r="V15">
        <v>45658</v>
      </c>
      <c r="W15">
        <v>45688</v>
      </c>
      <c r="X15">
        <v>45744</v>
      </c>
      <c r="Y15">
        <v>86</v>
      </c>
      <c r="Z15">
        <v>30</v>
      </c>
      <c r="AA15">
        <v>33</v>
      </c>
      <c r="AB15">
        <v>-3</v>
      </c>
      <c r="AC15" t="s">
        <v>302</v>
      </c>
      <c r="AD15" t="s">
        <v>302</v>
      </c>
      <c r="AE15" t="s">
        <v>331</v>
      </c>
      <c r="AF15" t="s">
        <v>304</v>
      </c>
      <c r="AG15" t="s">
        <v>78</v>
      </c>
      <c r="AH15" t="s">
        <v>171</v>
      </c>
      <c r="AI15" t="s">
        <v>310</v>
      </c>
      <c r="AJ15" t="s">
        <v>184</v>
      </c>
      <c r="AK15" t="s">
        <v>185</v>
      </c>
      <c r="AL15">
        <v>0</v>
      </c>
      <c r="AM15" t="s">
        <v>318</v>
      </c>
    </row>
    <row r="16" spans="1:39" x14ac:dyDescent="0.25">
      <c r="A16" s="31">
        <v>8405</v>
      </c>
      <c r="B16" s="32">
        <v>289</v>
      </c>
      <c r="C16" s="33" t="s">
        <v>80</v>
      </c>
      <c r="D16" s="33">
        <v>247729</v>
      </c>
      <c r="E16" s="34" t="s">
        <v>81</v>
      </c>
      <c r="F16" s="32">
        <v>28</v>
      </c>
      <c r="G16" s="34" t="s">
        <v>52</v>
      </c>
      <c r="H16" s="32"/>
      <c r="I16" s="33"/>
      <c r="J16" s="33" t="s">
        <v>46</v>
      </c>
      <c r="K16" s="35">
        <v>45658</v>
      </c>
      <c r="L16" s="35">
        <v>1</v>
      </c>
      <c r="M16" s="35">
        <v>45744</v>
      </c>
      <c r="N16" s="36">
        <v>45744</v>
      </c>
      <c r="P16" t="b">
        <f t="shared" si="1"/>
        <v>1</v>
      </c>
      <c r="Q16" t="b">
        <f t="shared" si="0"/>
        <v>1</v>
      </c>
      <c r="S16">
        <v>289</v>
      </c>
      <c r="T16" t="s">
        <v>81</v>
      </c>
      <c r="U16" t="s">
        <v>332</v>
      </c>
      <c r="V16">
        <v>45658</v>
      </c>
      <c r="W16">
        <v>45744</v>
      </c>
      <c r="X16">
        <v>45744</v>
      </c>
      <c r="Y16">
        <v>86</v>
      </c>
      <c r="Z16">
        <v>86</v>
      </c>
      <c r="AA16">
        <v>33</v>
      </c>
      <c r="AB16">
        <v>53</v>
      </c>
      <c r="AC16" t="s">
        <v>316</v>
      </c>
      <c r="AD16" t="s">
        <v>316</v>
      </c>
      <c r="AE16" t="s">
        <v>317</v>
      </c>
      <c r="AF16" t="s">
        <v>304</v>
      </c>
      <c r="AG16" t="s">
        <v>324</v>
      </c>
      <c r="AH16" t="s">
        <v>171</v>
      </c>
      <c r="AI16" t="s">
        <v>325</v>
      </c>
      <c r="AJ16" t="s">
        <v>184</v>
      </c>
      <c r="AK16" t="s">
        <v>185</v>
      </c>
      <c r="AL16">
        <v>0</v>
      </c>
      <c r="AM16" t="s">
        <v>311</v>
      </c>
    </row>
    <row r="17" spans="1:39" x14ac:dyDescent="0.25">
      <c r="A17" s="25">
        <v>8269</v>
      </c>
      <c r="B17" s="26">
        <v>290</v>
      </c>
      <c r="C17" s="27" t="s">
        <v>274</v>
      </c>
      <c r="D17" s="27">
        <v>247828</v>
      </c>
      <c r="E17" s="28" t="s">
        <v>43</v>
      </c>
      <c r="F17" s="26">
        <v>21</v>
      </c>
      <c r="G17" s="28" t="s">
        <v>69</v>
      </c>
      <c r="H17" s="26">
        <v>195</v>
      </c>
      <c r="I17" s="27" t="s">
        <v>78</v>
      </c>
      <c r="J17" s="27" t="s">
        <v>46</v>
      </c>
      <c r="K17" s="29">
        <v>45705</v>
      </c>
      <c r="L17" s="29"/>
      <c r="M17" s="29"/>
      <c r="N17" s="30"/>
      <c r="P17" t="b">
        <f t="shared" si="1"/>
        <v>1</v>
      </c>
      <c r="Q17" t="b">
        <f t="shared" si="0"/>
        <v>1</v>
      </c>
      <c r="S17">
        <v>290</v>
      </c>
      <c r="T17" t="s">
        <v>43</v>
      </c>
      <c r="U17" t="s">
        <v>333</v>
      </c>
      <c r="V17">
        <v>45658</v>
      </c>
      <c r="W17">
        <v>45688</v>
      </c>
      <c r="X17">
        <v>45688</v>
      </c>
      <c r="Y17">
        <v>30</v>
      </c>
      <c r="Z17">
        <v>30</v>
      </c>
      <c r="AA17">
        <v>33</v>
      </c>
      <c r="AB17">
        <v>-3</v>
      </c>
      <c r="AC17" t="s">
        <v>302</v>
      </c>
      <c r="AD17" t="s">
        <v>302</v>
      </c>
      <c r="AE17" t="s">
        <v>314</v>
      </c>
      <c r="AF17" t="s">
        <v>304</v>
      </c>
      <c r="AG17" t="s">
        <v>78</v>
      </c>
      <c r="AH17" t="s">
        <v>171</v>
      </c>
      <c r="AI17" t="s">
        <v>310</v>
      </c>
      <c r="AJ17" t="s">
        <v>184</v>
      </c>
      <c r="AK17" t="s">
        <v>185</v>
      </c>
      <c r="AL17">
        <v>0</v>
      </c>
      <c r="AM17" t="s">
        <v>307</v>
      </c>
    </row>
    <row r="18" spans="1:39" x14ac:dyDescent="0.25">
      <c r="A18" s="25">
        <v>8406</v>
      </c>
      <c r="B18" s="26">
        <v>291</v>
      </c>
      <c r="C18" s="27" t="s">
        <v>83</v>
      </c>
      <c r="D18" s="27">
        <v>247393</v>
      </c>
      <c r="E18" s="28" t="s">
        <v>84</v>
      </c>
      <c r="F18" s="26">
        <v>28</v>
      </c>
      <c r="G18" s="28" t="s">
        <v>52</v>
      </c>
      <c r="H18" s="26"/>
      <c r="I18" s="27"/>
      <c r="J18" s="27" t="s">
        <v>46</v>
      </c>
      <c r="K18" s="29">
        <v>45658</v>
      </c>
      <c r="L18" s="29">
        <v>1</v>
      </c>
      <c r="M18" s="29">
        <v>45761</v>
      </c>
      <c r="N18" s="30">
        <v>45761</v>
      </c>
      <c r="P18" t="b">
        <f t="shared" si="1"/>
        <v>1</v>
      </c>
      <c r="Q18" t="b">
        <f t="shared" si="0"/>
        <v>1</v>
      </c>
      <c r="S18">
        <v>291</v>
      </c>
      <c r="T18" t="s">
        <v>84</v>
      </c>
      <c r="U18" t="s">
        <v>334</v>
      </c>
      <c r="V18">
        <v>45658</v>
      </c>
      <c r="W18">
        <v>45761</v>
      </c>
      <c r="X18">
        <v>45761</v>
      </c>
      <c r="Y18">
        <v>103</v>
      </c>
      <c r="Z18">
        <v>103</v>
      </c>
      <c r="AA18">
        <v>33</v>
      </c>
      <c r="AB18">
        <v>70</v>
      </c>
      <c r="AC18" t="s">
        <v>316</v>
      </c>
      <c r="AD18" t="s">
        <v>316</v>
      </c>
      <c r="AE18" t="s">
        <v>317</v>
      </c>
      <c r="AF18" t="s">
        <v>304</v>
      </c>
      <c r="AG18" t="s">
        <v>324</v>
      </c>
      <c r="AH18" t="s">
        <v>171</v>
      </c>
      <c r="AI18" t="s">
        <v>325</v>
      </c>
      <c r="AJ18" t="s">
        <v>184</v>
      </c>
      <c r="AK18" t="s">
        <v>185</v>
      </c>
      <c r="AL18">
        <v>0</v>
      </c>
      <c r="AM18" t="s">
        <v>311</v>
      </c>
    </row>
    <row r="19" spans="1:39" x14ac:dyDescent="0.25">
      <c r="A19" s="31">
        <v>8303</v>
      </c>
      <c r="B19" s="32">
        <v>292</v>
      </c>
      <c r="C19" s="33" t="s">
        <v>260</v>
      </c>
      <c r="D19" s="33"/>
      <c r="E19" s="34"/>
      <c r="F19" s="32">
        <v>21</v>
      </c>
      <c r="G19" s="34" t="s">
        <v>69</v>
      </c>
      <c r="H19" s="32">
        <v>195</v>
      </c>
      <c r="I19" s="33" t="s">
        <v>78</v>
      </c>
      <c r="J19" s="33" t="s">
        <v>46</v>
      </c>
      <c r="K19" s="35">
        <v>45691</v>
      </c>
      <c r="L19" s="35">
        <v>45691</v>
      </c>
      <c r="M19" s="35"/>
      <c r="N19" s="36"/>
      <c r="P19" t="b">
        <f t="shared" si="1"/>
        <v>1</v>
      </c>
      <c r="Q19" t="b">
        <f t="shared" si="0"/>
        <v>1</v>
      </c>
      <c r="S19">
        <v>292</v>
      </c>
      <c r="T19" t="s">
        <v>43</v>
      </c>
      <c r="U19" t="s">
        <v>335</v>
      </c>
      <c r="V19">
        <v>45658</v>
      </c>
      <c r="W19">
        <v>45688</v>
      </c>
      <c r="X19">
        <v>45688</v>
      </c>
      <c r="Y19">
        <v>30</v>
      </c>
      <c r="Z19">
        <v>30</v>
      </c>
      <c r="AA19">
        <v>33</v>
      </c>
      <c r="AB19">
        <v>-3</v>
      </c>
      <c r="AC19" t="s">
        <v>313</v>
      </c>
      <c r="AD19" t="s">
        <v>302</v>
      </c>
      <c r="AE19" t="s">
        <v>314</v>
      </c>
      <c r="AF19" t="s">
        <v>304</v>
      </c>
      <c r="AG19" t="s">
        <v>78</v>
      </c>
      <c r="AH19" t="s">
        <v>171</v>
      </c>
      <c r="AI19" t="s">
        <v>310</v>
      </c>
      <c r="AJ19" t="s">
        <v>184</v>
      </c>
      <c r="AK19" t="s">
        <v>185</v>
      </c>
      <c r="AL19">
        <v>0</v>
      </c>
      <c r="AM19" t="s">
        <v>307</v>
      </c>
    </row>
    <row r="20" spans="1:39" x14ac:dyDescent="0.25">
      <c r="A20" s="31">
        <v>8407</v>
      </c>
      <c r="B20" s="32">
        <v>293</v>
      </c>
      <c r="C20" s="33" t="s">
        <v>86</v>
      </c>
      <c r="D20" s="33">
        <v>247795</v>
      </c>
      <c r="E20" s="34" t="s">
        <v>56</v>
      </c>
      <c r="F20" s="32">
        <v>28</v>
      </c>
      <c r="G20" s="34" t="s">
        <v>52</v>
      </c>
      <c r="H20" s="32"/>
      <c r="I20" s="33"/>
      <c r="J20" s="33" t="s">
        <v>46</v>
      </c>
      <c r="K20" s="35">
        <v>45658</v>
      </c>
      <c r="L20" s="35">
        <v>1</v>
      </c>
      <c r="M20" s="35">
        <v>45744</v>
      </c>
      <c r="N20" s="36">
        <v>45775</v>
      </c>
      <c r="P20" t="b">
        <f t="shared" si="1"/>
        <v>1</v>
      </c>
      <c r="Q20" t="b">
        <f t="shared" si="0"/>
        <v>1</v>
      </c>
      <c r="S20">
        <v>293</v>
      </c>
      <c r="T20" t="s">
        <v>56</v>
      </c>
      <c r="U20" t="s">
        <v>336</v>
      </c>
      <c r="V20">
        <v>45658</v>
      </c>
      <c r="W20">
        <v>45744</v>
      </c>
      <c r="X20">
        <v>45775</v>
      </c>
      <c r="Y20">
        <v>117</v>
      </c>
      <c r="Z20">
        <v>86</v>
      </c>
      <c r="AA20">
        <v>33</v>
      </c>
      <c r="AB20">
        <v>53</v>
      </c>
      <c r="AC20" t="s">
        <v>313</v>
      </c>
      <c r="AD20" t="s">
        <v>313</v>
      </c>
      <c r="AE20" t="s">
        <v>317</v>
      </c>
      <c r="AF20" t="s">
        <v>304</v>
      </c>
      <c r="AG20" t="s">
        <v>324</v>
      </c>
      <c r="AH20" t="s">
        <v>171</v>
      </c>
      <c r="AI20" t="s">
        <v>325</v>
      </c>
      <c r="AJ20" t="s">
        <v>184</v>
      </c>
      <c r="AK20" t="s">
        <v>185</v>
      </c>
      <c r="AL20">
        <v>0</v>
      </c>
      <c r="AM20" t="s">
        <v>311</v>
      </c>
    </row>
    <row r="21" spans="1:39" x14ac:dyDescent="0.25">
      <c r="A21" s="25">
        <v>8408</v>
      </c>
      <c r="B21" s="26">
        <v>294</v>
      </c>
      <c r="C21" s="27" t="s">
        <v>88</v>
      </c>
      <c r="D21" s="27">
        <v>247795</v>
      </c>
      <c r="E21" s="28" t="s">
        <v>56</v>
      </c>
      <c r="F21" s="26">
        <v>28</v>
      </c>
      <c r="G21" s="28" t="s">
        <v>52</v>
      </c>
      <c r="H21" s="26"/>
      <c r="I21" s="27"/>
      <c r="J21" s="27" t="s">
        <v>46</v>
      </c>
      <c r="K21" s="29">
        <v>45658</v>
      </c>
      <c r="L21" s="29">
        <v>1</v>
      </c>
      <c r="M21" s="29">
        <v>45761</v>
      </c>
      <c r="N21" s="30">
        <v>45791</v>
      </c>
      <c r="P21" t="b">
        <f t="shared" si="1"/>
        <v>1</v>
      </c>
      <c r="Q21" t="b">
        <f t="shared" si="0"/>
        <v>1</v>
      </c>
      <c r="S21">
        <v>294</v>
      </c>
      <c r="T21" t="s">
        <v>56</v>
      </c>
      <c r="U21" t="s">
        <v>337</v>
      </c>
      <c r="V21">
        <v>45658</v>
      </c>
      <c r="W21">
        <v>45761</v>
      </c>
      <c r="X21">
        <v>45791</v>
      </c>
      <c r="Y21">
        <v>133</v>
      </c>
      <c r="Z21">
        <v>103</v>
      </c>
      <c r="AA21">
        <v>33</v>
      </c>
      <c r="AB21">
        <v>70</v>
      </c>
      <c r="AC21" t="s">
        <v>313</v>
      </c>
      <c r="AD21" t="s">
        <v>302</v>
      </c>
      <c r="AE21" t="s">
        <v>317</v>
      </c>
      <c r="AF21" t="s">
        <v>304</v>
      </c>
      <c r="AG21" t="s">
        <v>324</v>
      </c>
      <c r="AH21" t="s">
        <v>171</v>
      </c>
      <c r="AI21" t="s">
        <v>325</v>
      </c>
      <c r="AJ21" t="s">
        <v>184</v>
      </c>
      <c r="AK21" t="s">
        <v>185</v>
      </c>
      <c r="AL21">
        <v>0</v>
      </c>
      <c r="AM21" t="s">
        <v>311</v>
      </c>
    </row>
    <row r="22" spans="1:39" x14ac:dyDescent="0.25">
      <c r="A22" s="25">
        <v>8298</v>
      </c>
      <c r="B22" s="26">
        <v>295</v>
      </c>
      <c r="C22" s="27" t="s">
        <v>270</v>
      </c>
      <c r="D22" s="27">
        <v>293171</v>
      </c>
      <c r="E22" s="28" t="s">
        <v>91</v>
      </c>
      <c r="F22" s="26">
        <v>21</v>
      </c>
      <c r="G22" s="28" t="s">
        <v>69</v>
      </c>
      <c r="H22" s="26">
        <v>195</v>
      </c>
      <c r="I22" s="27" t="s">
        <v>78</v>
      </c>
      <c r="J22" s="27" t="s">
        <v>46</v>
      </c>
      <c r="K22" s="29"/>
      <c r="L22" s="29"/>
      <c r="M22" s="29"/>
      <c r="N22" s="30"/>
      <c r="P22" t="b">
        <f t="shared" si="1"/>
        <v>1</v>
      </c>
      <c r="Q22" t="b">
        <f t="shared" si="0"/>
        <v>1</v>
      </c>
      <c r="S22">
        <v>295</v>
      </c>
      <c r="T22" t="s">
        <v>43</v>
      </c>
      <c r="U22" t="s">
        <v>338</v>
      </c>
      <c r="V22">
        <v>45658</v>
      </c>
      <c r="W22">
        <v>45702</v>
      </c>
      <c r="X22">
        <v>45702</v>
      </c>
      <c r="Y22">
        <v>44</v>
      </c>
      <c r="Z22">
        <v>44</v>
      </c>
      <c r="AA22">
        <v>33</v>
      </c>
      <c r="AB22">
        <v>11</v>
      </c>
      <c r="AC22" t="s">
        <v>302</v>
      </c>
      <c r="AD22" t="s">
        <v>302</v>
      </c>
      <c r="AE22" t="s">
        <v>314</v>
      </c>
      <c r="AF22" t="s">
        <v>304</v>
      </c>
      <c r="AG22" t="s">
        <v>78</v>
      </c>
      <c r="AH22" t="s">
        <v>171</v>
      </c>
      <c r="AI22" t="s">
        <v>310</v>
      </c>
      <c r="AJ22" t="s">
        <v>184</v>
      </c>
      <c r="AK22" t="s">
        <v>185</v>
      </c>
      <c r="AL22">
        <v>0</v>
      </c>
      <c r="AM22" t="s">
        <v>318</v>
      </c>
    </row>
    <row r="23" spans="1:39" x14ac:dyDescent="0.25">
      <c r="A23" s="25">
        <v>8263</v>
      </c>
      <c r="B23" s="26">
        <v>296</v>
      </c>
      <c r="C23" s="27" t="s">
        <v>164</v>
      </c>
      <c r="D23" s="27"/>
      <c r="E23" s="28"/>
      <c r="F23" s="26">
        <v>29</v>
      </c>
      <c r="G23" s="28" t="s">
        <v>154</v>
      </c>
      <c r="H23" s="26">
        <v>3202</v>
      </c>
      <c r="I23" s="27" t="s">
        <v>165</v>
      </c>
      <c r="J23" s="27" t="s">
        <v>46</v>
      </c>
      <c r="K23" s="29">
        <v>45658</v>
      </c>
      <c r="L23" s="29">
        <v>1</v>
      </c>
      <c r="M23" s="29">
        <v>45761</v>
      </c>
      <c r="N23" s="30">
        <v>45761</v>
      </c>
      <c r="P23" t="b">
        <f t="shared" si="1"/>
        <v>1</v>
      </c>
      <c r="Q23" t="b">
        <f t="shared" si="0"/>
        <v>1</v>
      </c>
      <c r="S23">
        <v>296</v>
      </c>
      <c r="T23" t="s">
        <v>167</v>
      </c>
      <c r="U23" t="s">
        <v>339</v>
      </c>
      <c r="V23">
        <v>45658</v>
      </c>
      <c r="W23">
        <v>45730</v>
      </c>
      <c r="X23">
        <v>45761</v>
      </c>
      <c r="Y23">
        <v>103</v>
      </c>
      <c r="Z23">
        <v>72</v>
      </c>
      <c r="AA23">
        <v>33</v>
      </c>
      <c r="AB23">
        <v>39</v>
      </c>
      <c r="AC23" t="s">
        <v>302</v>
      </c>
      <c r="AD23" t="s">
        <v>316</v>
      </c>
      <c r="AE23" t="s">
        <v>317</v>
      </c>
      <c r="AF23" t="s">
        <v>304</v>
      </c>
      <c r="AG23" t="s">
        <v>165</v>
      </c>
      <c r="AH23" t="s">
        <v>171</v>
      </c>
      <c r="AI23" t="s">
        <v>310</v>
      </c>
      <c r="AJ23" t="s">
        <v>184</v>
      </c>
      <c r="AK23" t="s">
        <v>185</v>
      </c>
      <c r="AL23">
        <v>0</v>
      </c>
      <c r="AM23" t="s">
        <v>311</v>
      </c>
    </row>
    <row r="24" spans="1:39" x14ac:dyDescent="0.25">
      <c r="A24" s="25">
        <v>8333</v>
      </c>
      <c r="B24" s="26">
        <v>297</v>
      </c>
      <c r="C24" s="27" t="s">
        <v>233</v>
      </c>
      <c r="D24" s="27">
        <v>289006</v>
      </c>
      <c r="E24" s="28" t="s">
        <v>76</v>
      </c>
      <c r="F24" s="26">
        <v>30</v>
      </c>
      <c r="G24" s="28" t="s">
        <v>44</v>
      </c>
      <c r="H24" s="26">
        <v>195</v>
      </c>
      <c r="I24" s="27" t="s">
        <v>78</v>
      </c>
      <c r="J24" s="27" t="s">
        <v>46</v>
      </c>
      <c r="K24" s="29">
        <v>45685</v>
      </c>
      <c r="L24" s="29">
        <v>1</v>
      </c>
      <c r="M24" s="29">
        <v>45716</v>
      </c>
      <c r="N24" s="30">
        <v>45723</v>
      </c>
      <c r="P24" t="b">
        <f t="shared" si="1"/>
        <v>1</v>
      </c>
      <c r="Q24" t="b">
        <f t="shared" si="0"/>
        <v>1</v>
      </c>
      <c r="S24">
        <v>297</v>
      </c>
      <c r="T24" t="s">
        <v>43</v>
      </c>
      <c r="U24" t="s">
        <v>340</v>
      </c>
      <c r="V24">
        <v>45658</v>
      </c>
      <c r="W24">
        <v>45702</v>
      </c>
      <c r="X24">
        <v>45702</v>
      </c>
      <c r="Y24">
        <v>44</v>
      </c>
      <c r="Z24">
        <v>44</v>
      </c>
      <c r="AA24">
        <v>33</v>
      </c>
      <c r="AB24">
        <v>11</v>
      </c>
      <c r="AC24" t="s">
        <v>302</v>
      </c>
      <c r="AD24" t="s">
        <v>302</v>
      </c>
      <c r="AE24" t="s">
        <v>331</v>
      </c>
      <c r="AF24" t="s">
        <v>304</v>
      </c>
      <c r="AG24" t="s">
        <v>78</v>
      </c>
      <c r="AH24" t="s">
        <v>171</v>
      </c>
      <c r="AI24" t="s">
        <v>310</v>
      </c>
      <c r="AJ24" t="s">
        <v>184</v>
      </c>
      <c r="AK24" t="s">
        <v>185</v>
      </c>
      <c r="AL24">
        <v>0</v>
      </c>
      <c r="AM24" t="s">
        <v>311</v>
      </c>
    </row>
    <row r="25" spans="1:39" x14ac:dyDescent="0.25">
      <c r="A25" s="25">
        <v>8259</v>
      </c>
      <c r="B25" s="26">
        <v>298</v>
      </c>
      <c r="C25" s="27" t="s">
        <v>168</v>
      </c>
      <c r="D25" s="27">
        <v>247002</v>
      </c>
      <c r="E25" s="28" t="s">
        <v>167</v>
      </c>
      <c r="F25" s="26">
        <v>22</v>
      </c>
      <c r="G25" s="28" t="s">
        <v>77</v>
      </c>
      <c r="H25" s="26">
        <v>3202</v>
      </c>
      <c r="I25" s="27" t="s">
        <v>165</v>
      </c>
      <c r="J25" s="27" t="s">
        <v>46</v>
      </c>
      <c r="K25" s="29">
        <v>45658</v>
      </c>
      <c r="L25" s="29">
        <v>1</v>
      </c>
      <c r="M25" s="29">
        <v>45744</v>
      </c>
      <c r="N25" s="30">
        <v>45791</v>
      </c>
      <c r="P25" t="b">
        <f t="shared" si="1"/>
        <v>1</v>
      </c>
      <c r="Q25" t="b">
        <f t="shared" si="0"/>
        <v>1</v>
      </c>
      <c r="S25">
        <v>298</v>
      </c>
      <c r="T25" t="s">
        <v>167</v>
      </c>
      <c r="U25" t="s">
        <v>341</v>
      </c>
      <c r="V25">
        <v>45658</v>
      </c>
      <c r="W25">
        <v>45691</v>
      </c>
      <c r="X25">
        <v>45688</v>
      </c>
      <c r="Y25">
        <v>30</v>
      </c>
      <c r="Z25">
        <v>33</v>
      </c>
      <c r="AA25">
        <v>33</v>
      </c>
      <c r="AB25">
        <v>0</v>
      </c>
      <c r="AC25" t="s">
        <v>302</v>
      </c>
      <c r="AD25" t="s">
        <v>302</v>
      </c>
      <c r="AE25" t="s">
        <v>314</v>
      </c>
      <c r="AF25" t="s">
        <v>304</v>
      </c>
      <c r="AG25" t="s">
        <v>165</v>
      </c>
      <c r="AH25" t="s">
        <v>171</v>
      </c>
      <c r="AI25" t="s">
        <v>310</v>
      </c>
      <c r="AJ25" t="s">
        <v>184</v>
      </c>
      <c r="AK25" t="s">
        <v>185</v>
      </c>
      <c r="AL25">
        <v>0</v>
      </c>
      <c r="AM25" t="s">
        <v>307</v>
      </c>
    </row>
    <row r="26" spans="1:39" x14ac:dyDescent="0.25">
      <c r="A26" s="25">
        <v>8260</v>
      </c>
      <c r="B26" s="26">
        <v>299</v>
      </c>
      <c r="C26" s="27" t="s">
        <v>236</v>
      </c>
      <c r="D26" s="27"/>
      <c r="E26" s="28"/>
      <c r="F26" s="26">
        <v>22</v>
      </c>
      <c r="G26" s="28" t="s">
        <v>77</v>
      </c>
      <c r="H26" s="26">
        <v>3202</v>
      </c>
      <c r="I26" s="27" t="s">
        <v>165</v>
      </c>
      <c r="J26" s="27" t="s">
        <v>46</v>
      </c>
      <c r="K26" s="29">
        <v>45685</v>
      </c>
      <c r="L26" s="29">
        <v>1</v>
      </c>
      <c r="M26" s="29">
        <v>45700</v>
      </c>
      <c r="N26" s="30">
        <v>45700</v>
      </c>
      <c r="P26" t="b">
        <f t="shared" si="1"/>
        <v>1</v>
      </c>
      <c r="Q26" t="b">
        <f t="shared" si="0"/>
        <v>1</v>
      </c>
      <c r="S26">
        <v>299</v>
      </c>
      <c r="T26" t="s">
        <v>76</v>
      </c>
      <c r="U26" t="s">
        <v>342</v>
      </c>
      <c r="V26">
        <v>45658</v>
      </c>
      <c r="W26">
        <v>45702</v>
      </c>
      <c r="X26">
        <v>45702</v>
      </c>
      <c r="Y26">
        <v>44</v>
      </c>
      <c r="Z26">
        <v>44</v>
      </c>
      <c r="AA26">
        <v>33</v>
      </c>
      <c r="AB26">
        <v>11</v>
      </c>
      <c r="AC26" t="s">
        <v>302</v>
      </c>
      <c r="AD26" t="s">
        <v>302</v>
      </c>
      <c r="AE26" t="s">
        <v>331</v>
      </c>
      <c r="AF26" t="s">
        <v>304</v>
      </c>
      <c r="AG26" t="s">
        <v>165</v>
      </c>
      <c r="AH26" t="s">
        <v>171</v>
      </c>
      <c r="AI26" t="s">
        <v>310</v>
      </c>
      <c r="AJ26" t="s">
        <v>184</v>
      </c>
      <c r="AK26" t="s">
        <v>185</v>
      </c>
      <c r="AL26">
        <v>0</v>
      </c>
      <c r="AM26" t="s">
        <v>311</v>
      </c>
    </row>
    <row r="27" spans="1:39" x14ac:dyDescent="0.25">
      <c r="A27" s="31">
        <v>8410</v>
      </c>
      <c r="B27" s="32">
        <v>300</v>
      </c>
      <c r="C27" s="33" t="s">
        <v>90</v>
      </c>
      <c r="D27" s="33">
        <v>293171</v>
      </c>
      <c r="E27" s="34" t="s">
        <v>91</v>
      </c>
      <c r="F27" s="32">
        <v>21</v>
      </c>
      <c r="G27" s="34" t="s">
        <v>69</v>
      </c>
      <c r="H27" s="32">
        <v>195</v>
      </c>
      <c r="I27" s="33" t="s">
        <v>78</v>
      </c>
      <c r="J27" s="33" t="s">
        <v>46</v>
      </c>
      <c r="K27" s="35">
        <v>45658</v>
      </c>
      <c r="L27" s="35">
        <v>1</v>
      </c>
      <c r="M27" s="35">
        <v>45726</v>
      </c>
      <c r="N27" s="36">
        <v>45726</v>
      </c>
      <c r="P27" t="b">
        <f t="shared" si="1"/>
        <v>1</v>
      </c>
      <c r="Q27" t="b">
        <f t="shared" si="0"/>
        <v>1</v>
      </c>
      <c r="S27">
        <v>300</v>
      </c>
      <c r="T27" t="s">
        <v>91</v>
      </c>
      <c r="U27" t="s">
        <v>343</v>
      </c>
      <c r="V27">
        <v>45658</v>
      </c>
      <c r="W27">
        <v>45726</v>
      </c>
      <c r="X27">
        <v>45726</v>
      </c>
      <c r="Y27">
        <v>68</v>
      </c>
      <c r="Z27">
        <v>68</v>
      </c>
      <c r="AA27">
        <v>33</v>
      </c>
      <c r="AB27">
        <v>35</v>
      </c>
      <c r="AC27" t="s">
        <v>313</v>
      </c>
      <c r="AD27" t="s">
        <v>302</v>
      </c>
      <c r="AE27" t="s">
        <v>314</v>
      </c>
      <c r="AF27" t="s">
        <v>304</v>
      </c>
      <c r="AG27" t="s">
        <v>78</v>
      </c>
      <c r="AH27" t="s">
        <v>171</v>
      </c>
      <c r="AI27" t="s">
        <v>310</v>
      </c>
      <c r="AJ27" t="s">
        <v>184</v>
      </c>
      <c r="AK27" t="s">
        <v>185</v>
      </c>
      <c r="AL27">
        <v>0</v>
      </c>
      <c r="AM27" t="s">
        <v>318</v>
      </c>
    </row>
    <row r="28" spans="1:39" x14ac:dyDescent="0.25">
      <c r="A28" s="25">
        <v>8264</v>
      </c>
      <c r="B28" s="26">
        <v>301</v>
      </c>
      <c r="C28" s="27" t="s">
        <v>173</v>
      </c>
      <c r="D28" s="27"/>
      <c r="E28" s="28"/>
      <c r="F28" s="26">
        <v>29</v>
      </c>
      <c r="G28" s="28" t="s">
        <v>154</v>
      </c>
      <c r="H28" s="26">
        <v>3202</v>
      </c>
      <c r="I28" s="27" t="s">
        <v>165</v>
      </c>
      <c r="J28" s="27" t="s">
        <v>46</v>
      </c>
      <c r="K28" s="29">
        <v>45658</v>
      </c>
      <c r="L28" s="29">
        <v>1</v>
      </c>
      <c r="M28" s="29">
        <v>45744</v>
      </c>
      <c r="N28" s="30">
        <v>45761</v>
      </c>
      <c r="P28" t="b">
        <f t="shared" si="1"/>
        <v>1</v>
      </c>
      <c r="Q28" t="b">
        <f t="shared" si="0"/>
        <v>1</v>
      </c>
      <c r="S28">
        <v>301</v>
      </c>
      <c r="T28" t="s">
        <v>56</v>
      </c>
      <c r="U28" t="s">
        <v>344</v>
      </c>
      <c r="V28">
        <v>45658</v>
      </c>
      <c r="W28">
        <v>45744</v>
      </c>
      <c r="X28">
        <v>45791</v>
      </c>
      <c r="Y28">
        <v>133</v>
      </c>
      <c r="Z28">
        <v>86</v>
      </c>
      <c r="AA28">
        <v>33</v>
      </c>
      <c r="AB28">
        <v>53</v>
      </c>
      <c r="AC28" t="s">
        <v>316</v>
      </c>
      <c r="AD28" t="s">
        <v>316</v>
      </c>
      <c r="AE28" t="s">
        <v>317</v>
      </c>
      <c r="AF28" t="s">
        <v>304</v>
      </c>
      <c r="AG28" t="s">
        <v>165</v>
      </c>
      <c r="AH28" t="s">
        <v>171</v>
      </c>
      <c r="AI28" t="s">
        <v>310</v>
      </c>
      <c r="AJ28" t="s">
        <v>184</v>
      </c>
      <c r="AK28" t="s">
        <v>185</v>
      </c>
      <c r="AL28">
        <v>0</v>
      </c>
      <c r="AM28" t="s">
        <v>311</v>
      </c>
    </row>
    <row r="29" spans="1:39" x14ac:dyDescent="0.25">
      <c r="A29" s="31">
        <v>8262</v>
      </c>
      <c r="B29" s="32">
        <v>302</v>
      </c>
      <c r="C29" s="33" t="s">
        <v>207</v>
      </c>
      <c r="D29" s="33"/>
      <c r="E29" s="34"/>
      <c r="F29" s="32">
        <v>29</v>
      </c>
      <c r="G29" s="34" t="s">
        <v>154</v>
      </c>
      <c r="H29" s="32">
        <v>3202</v>
      </c>
      <c r="I29" s="33" t="s">
        <v>165</v>
      </c>
      <c r="J29" s="33" t="s">
        <v>46</v>
      </c>
      <c r="K29" s="35">
        <v>45658</v>
      </c>
      <c r="L29" s="35">
        <v>1</v>
      </c>
      <c r="M29" s="35">
        <v>45716</v>
      </c>
      <c r="N29" s="36">
        <v>45726</v>
      </c>
      <c r="P29" t="b">
        <f t="shared" si="1"/>
        <v>1</v>
      </c>
      <c r="Q29" t="b">
        <f t="shared" si="0"/>
        <v>1</v>
      </c>
      <c r="S29">
        <v>302</v>
      </c>
      <c r="T29" t="s">
        <v>56</v>
      </c>
      <c r="U29" t="s">
        <v>345</v>
      </c>
      <c r="V29">
        <v>45658</v>
      </c>
      <c r="W29">
        <v>45716</v>
      </c>
      <c r="X29">
        <v>45726</v>
      </c>
      <c r="Y29">
        <v>68</v>
      </c>
      <c r="Z29">
        <v>58</v>
      </c>
      <c r="AA29">
        <v>33</v>
      </c>
      <c r="AB29">
        <v>25</v>
      </c>
      <c r="AC29" t="s">
        <v>302</v>
      </c>
      <c r="AD29" t="s">
        <v>316</v>
      </c>
      <c r="AE29" t="s">
        <v>317</v>
      </c>
      <c r="AF29" t="s">
        <v>304</v>
      </c>
      <c r="AG29" t="s">
        <v>165</v>
      </c>
      <c r="AH29" t="s">
        <v>171</v>
      </c>
      <c r="AI29" t="s">
        <v>310</v>
      </c>
      <c r="AJ29" t="s">
        <v>184</v>
      </c>
      <c r="AK29" t="s">
        <v>185</v>
      </c>
      <c r="AL29">
        <v>0</v>
      </c>
      <c r="AM29" t="s">
        <v>311</v>
      </c>
    </row>
    <row r="30" spans="1:39" x14ac:dyDescent="0.25">
      <c r="A30" s="25">
        <v>8330</v>
      </c>
      <c r="B30" s="26">
        <v>303</v>
      </c>
      <c r="C30" s="27" t="s">
        <v>239</v>
      </c>
      <c r="D30" s="27">
        <v>247614</v>
      </c>
      <c r="E30" s="28" t="s">
        <v>238</v>
      </c>
      <c r="F30" s="26">
        <v>30</v>
      </c>
      <c r="G30" s="28" t="s">
        <v>44</v>
      </c>
      <c r="H30" s="26">
        <v>195</v>
      </c>
      <c r="I30" s="27" t="s">
        <v>78</v>
      </c>
      <c r="J30" s="27" t="s">
        <v>46</v>
      </c>
      <c r="K30" s="29">
        <v>45663</v>
      </c>
      <c r="L30" s="29">
        <v>1</v>
      </c>
      <c r="M30" s="29">
        <v>45688</v>
      </c>
      <c r="N30" s="30">
        <v>45688</v>
      </c>
      <c r="P30" t="b">
        <f t="shared" si="1"/>
        <v>1</v>
      </c>
      <c r="Q30" t="b">
        <f t="shared" si="0"/>
        <v>1</v>
      </c>
      <c r="S30">
        <v>303</v>
      </c>
      <c r="T30" t="s">
        <v>43</v>
      </c>
      <c r="U30" t="s">
        <v>346</v>
      </c>
      <c r="V30">
        <v>45658</v>
      </c>
      <c r="W30">
        <v>45716</v>
      </c>
      <c r="X30">
        <v>45775</v>
      </c>
      <c r="Y30">
        <v>117</v>
      </c>
      <c r="Z30">
        <v>58</v>
      </c>
      <c r="AA30">
        <v>33</v>
      </c>
      <c r="AB30">
        <v>25</v>
      </c>
      <c r="AC30" t="s">
        <v>302</v>
      </c>
      <c r="AD30" t="s">
        <v>302</v>
      </c>
      <c r="AE30" t="s">
        <v>303</v>
      </c>
      <c r="AF30" t="s">
        <v>304</v>
      </c>
      <c r="AG30" t="s">
        <v>78</v>
      </c>
      <c r="AH30" t="s">
        <v>171</v>
      </c>
      <c r="AI30" t="s">
        <v>310</v>
      </c>
      <c r="AJ30" t="s">
        <v>184</v>
      </c>
      <c r="AK30" t="s">
        <v>185</v>
      </c>
      <c r="AL30">
        <v>0</v>
      </c>
      <c r="AM30" t="s">
        <v>311</v>
      </c>
    </row>
    <row r="31" spans="1:39" x14ac:dyDescent="0.25">
      <c r="A31" s="31">
        <v>8261</v>
      </c>
      <c r="B31" s="32">
        <v>304</v>
      </c>
      <c r="C31" s="33" t="s">
        <v>186</v>
      </c>
      <c r="D31" s="33">
        <v>247795</v>
      </c>
      <c r="E31" s="34" t="s">
        <v>56</v>
      </c>
      <c r="F31" s="32">
        <v>21</v>
      </c>
      <c r="G31" s="34" t="s">
        <v>69</v>
      </c>
      <c r="H31" s="32">
        <v>3202</v>
      </c>
      <c r="I31" s="33" t="s">
        <v>165</v>
      </c>
      <c r="J31" s="33" t="s">
        <v>46</v>
      </c>
      <c r="K31" s="35">
        <v>45658</v>
      </c>
      <c r="L31" s="35">
        <v>1</v>
      </c>
      <c r="M31" s="35">
        <v>45744</v>
      </c>
      <c r="N31" s="36">
        <v>45744</v>
      </c>
      <c r="P31" t="b">
        <f t="shared" si="1"/>
        <v>1</v>
      </c>
      <c r="Q31" t="b">
        <f t="shared" si="0"/>
        <v>1</v>
      </c>
      <c r="S31">
        <v>304</v>
      </c>
      <c r="T31" t="s">
        <v>56</v>
      </c>
      <c r="U31" t="s">
        <v>347</v>
      </c>
      <c r="V31">
        <v>45658</v>
      </c>
      <c r="W31">
        <v>45702</v>
      </c>
      <c r="X31">
        <v>45791</v>
      </c>
      <c r="Y31">
        <v>133</v>
      </c>
      <c r="Z31">
        <v>44</v>
      </c>
      <c r="AA31">
        <v>33</v>
      </c>
      <c r="AB31">
        <v>11</v>
      </c>
      <c r="AC31" t="s">
        <v>316</v>
      </c>
      <c r="AD31" t="s">
        <v>302</v>
      </c>
      <c r="AE31" t="s">
        <v>314</v>
      </c>
      <c r="AF31" t="s">
        <v>304</v>
      </c>
      <c r="AG31" t="s">
        <v>165</v>
      </c>
      <c r="AH31" t="s">
        <v>171</v>
      </c>
      <c r="AI31" t="s">
        <v>310</v>
      </c>
      <c r="AJ31" t="s">
        <v>184</v>
      </c>
      <c r="AK31" t="s">
        <v>185</v>
      </c>
      <c r="AL31">
        <v>0</v>
      </c>
      <c r="AM31" t="s">
        <v>311</v>
      </c>
    </row>
    <row r="32" spans="1:39" x14ac:dyDescent="0.25">
      <c r="A32" s="25">
        <v>8411</v>
      </c>
      <c r="B32" s="26">
        <v>305</v>
      </c>
      <c r="C32" s="27" t="s">
        <v>93</v>
      </c>
      <c r="D32" s="27">
        <v>247795</v>
      </c>
      <c r="E32" s="28" t="s">
        <v>56</v>
      </c>
      <c r="F32" s="26">
        <v>28</v>
      </c>
      <c r="G32" s="28" t="s">
        <v>52</v>
      </c>
      <c r="H32" s="26">
        <v>195</v>
      </c>
      <c r="I32" s="27" t="s">
        <v>78</v>
      </c>
      <c r="J32" s="27" t="s">
        <v>46</v>
      </c>
      <c r="K32" s="29">
        <v>45658</v>
      </c>
      <c r="L32" s="29">
        <v>1</v>
      </c>
      <c r="M32" s="29">
        <v>45726</v>
      </c>
      <c r="N32" s="30">
        <v>45757</v>
      </c>
      <c r="P32" t="b">
        <f t="shared" si="1"/>
        <v>1</v>
      </c>
      <c r="Q32" t="b">
        <f t="shared" si="0"/>
        <v>1</v>
      </c>
      <c r="S32">
        <v>305</v>
      </c>
      <c r="T32" t="s">
        <v>56</v>
      </c>
      <c r="U32" t="s">
        <v>348</v>
      </c>
      <c r="V32">
        <v>45658</v>
      </c>
      <c r="W32">
        <v>45726</v>
      </c>
      <c r="X32">
        <v>45757</v>
      </c>
      <c r="Y32">
        <v>99</v>
      </c>
      <c r="Z32">
        <v>68</v>
      </c>
      <c r="AA32">
        <v>33</v>
      </c>
      <c r="AB32">
        <v>35</v>
      </c>
      <c r="AC32" t="s">
        <v>302</v>
      </c>
      <c r="AD32" t="s">
        <v>302</v>
      </c>
      <c r="AE32" t="s">
        <v>317</v>
      </c>
      <c r="AF32" t="s">
        <v>304</v>
      </c>
      <c r="AG32" t="s">
        <v>78</v>
      </c>
      <c r="AH32" t="s">
        <v>171</v>
      </c>
      <c r="AI32" t="s">
        <v>310</v>
      </c>
      <c r="AJ32" t="s">
        <v>184</v>
      </c>
      <c r="AK32" t="s">
        <v>185</v>
      </c>
      <c r="AL32">
        <v>0</v>
      </c>
      <c r="AM32" t="s">
        <v>311</v>
      </c>
    </row>
    <row r="33" spans="1:39" x14ac:dyDescent="0.25">
      <c r="A33" s="25">
        <v>8258</v>
      </c>
      <c r="B33" s="26">
        <v>307</v>
      </c>
      <c r="C33" s="27" t="s">
        <v>277</v>
      </c>
      <c r="D33" s="27">
        <v>247722</v>
      </c>
      <c r="E33" s="28" t="s">
        <v>117</v>
      </c>
      <c r="F33" s="26">
        <v>30</v>
      </c>
      <c r="G33" s="28" t="s">
        <v>44</v>
      </c>
      <c r="H33" s="26">
        <v>3202</v>
      </c>
      <c r="I33" s="27" t="s">
        <v>165</v>
      </c>
      <c r="J33" s="27" t="s">
        <v>46</v>
      </c>
      <c r="K33" s="29">
        <v>45699</v>
      </c>
      <c r="L33" s="29">
        <v>45699</v>
      </c>
      <c r="M33" s="29">
        <v>45699</v>
      </c>
      <c r="N33" s="30">
        <v>45699</v>
      </c>
      <c r="P33" t="b">
        <f t="shared" si="1"/>
        <v>1</v>
      </c>
      <c r="Q33" t="b">
        <f t="shared" si="0"/>
        <v>1</v>
      </c>
      <c r="S33">
        <v>307</v>
      </c>
      <c r="T33" t="s">
        <v>117</v>
      </c>
      <c r="U33" t="s">
        <v>349</v>
      </c>
      <c r="V33">
        <v>45658</v>
      </c>
      <c r="W33">
        <v>45688</v>
      </c>
      <c r="X33">
        <v>45775</v>
      </c>
      <c r="Y33">
        <v>117</v>
      </c>
      <c r="Z33">
        <v>30</v>
      </c>
      <c r="AA33">
        <v>33</v>
      </c>
      <c r="AB33">
        <v>-3</v>
      </c>
      <c r="AC33" t="s">
        <v>313</v>
      </c>
      <c r="AD33" t="s">
        <v>302</v>
      </c>
      <c r="AE33" t="s">
        <v>303</v>
      </c>
      <c r="AF33" t="s">
        <v>304</v>
      </c>
      <c r="AG33" t="s">
        <v>165</v>
      </c>
      <c r="AH33" t="s">
        <v>171</v>
      </c>
      <c r="AI33" t="s">
        <v>310</v>
      </c>
      <c r="AJ33" t="s">
        <v>184</v>
      </c>
      <c r="AK33" t="s">
        <v>185</v>
      </c>
      <c r="AL33">
        <v>0</v>
      </c>
      <c r="AM33" t="s">
        <v>318</v>
      </c>
    </row>
    <row r="34" spans="1:39" x14ac:dyDescent="0.25">
      <c r="A34" s="31">
        <v>8252</v>
      </c>
      <c r="B34" s="32">
        <v>308</v>
      </c>
      <c r="C34" s="33" t="s">
        <v>272</v>
      </c>
      <c r="D34" s="33">
        <v>247795</v>
      </c>
      <c r="E34" s="34" t="s">
        <v>56</v>
      </c>
      <c r="F34" s="32">
        <v>30</v>
      </c>
      <c r="G34" s="34" t="s">
        <v>44</v>
      </c>
      <c r="H34" s="32">
        <v>3200</v>
      </c>
      <c r="I34" s="33" t="s">
        <v>179</v>
      </c>
      <c r="J34" s="33" t="s">
        <v>46</v>
      </c>
      <c r="K34" s="35">
        <v>45689</v>
      </c>
      <c r="L34" s="35">
        <v>45689</v>
      </c>
      <c r="M34" s="35">
        <v>45702</v>
      </c>
      <c r="N34" s="36">
        <v>45702</v>
      </c>
      <c r="P34" t="b">
        <f t="shared" si="1"/>
        <v>1</v>
      </c>
      <c r="Q34" t="b">
        <f t="shared" si="0"/>
        <v>1</v>
      </c>
      <c r="S34">
        <v>308</v>
      </c>
      <c r="T34" t="s">
        <v>56</v>
      </c>
      <c r="U34" t="s">
        <v>350</v>
      </c>
      <c r="V34">
        <v>45658</v>
      </c>
      <c r="W34">
        <v>45716</v>
      </c>
      <c r="X34">
        <v>45726</v>
      </c>
      <c r="Y34">
        <v>68</v>
      </c>
      <c r="Z34">
        <v>58</v>
      </c>
      <c r="AA34">
        <v>33</v>
      </c>
      <c r="AB34">
        <v>25</v>
      </c>
      <c r="AC34" t="s">
        <v>316</v>
      </c>
      <c r="AD34" t="s">
        <v>302</v>
      </c>
      <c r="AE34" t="s">
        <v>351</v>
      </c>
      <c r="AF34" t="s">
        <v>304</v>
      </c>
      <c r="AG34" t="s">
        <v>179</v>
      </c>
      <c r="AH34" t="s">
        <v>171</v>
      </c>
      <c r="AI34" t="s">
        <v>310</v>
      </c>
      <c r="AJ34" t="s">
        <v>184</v>
      </c>
      <c r="AK34" t="s">
        <v>185</v>
      </c>
      <c r="AL34">
        <v>83</v>
      </c>
      <c r="AM34" t="s">
        <v>311</v>
      </c>
    </row>
    <row r="35" spans="1:39" x14ac:dyDescent="0.25">
      <c r="A35" s="31">
        <v>8412</v>
      </c>
      <c r="B35" s="32">
        <v>309</v>
      </c>
      <c r="C35" s="33" t="s">
        <v>95</v>
      </c>
      <c r="D35" s="33">
        <v>247795</v>
      </c>
      <c r="E35" s="34" t="s">
        <v>56</v>
      </c>
      <c r="F35" s="32">
        <v>21</v>
      </c>
      <c r="G35" s="34" t="s">
        <v>69</v>
      </c>
      <c r="H35" s="32"/>
      <c r="I35" s="33"/>
      <c r="J35" s="33" t="s">
        <v>46</v>
      </c>
      <c r="K35" s="35">
        <v>45658</v>
      </c>
      <c r="L35" s="35">
        <v>1</v>
      </c>
      <c r="M35" s="35">
        <v>45688</v>
      </c>
      <c r="N35" s="36">
        <v>45688</v>
      </c>
      <c r="P35" t="b">
        <f t="shared" si="1"/>
        <v>1</v>
      </c>
      <c r="Q35" t="b">
        <f t="shared" si="0"/>
        <v>1</v>
      </c>
      <c r="S35">
        <v>309</v>
      </c>
      <c r="T35" t="s">
        <v>56</v>
      </c>
      <c r="U35" t="s">
        <v>352</v>
      </c>
      <c r="V35">
        <v>45658</v>
      </c>
      <c r="W35">
        <v>45688</v>
      </c>
      <c r="X35">
        <v>45688</v>
      </c>
      <c r="Y35">
        <v>30</v>
      </c>
      <c r="Z35">
        <v>30</v>
      </c>
      <c r="AA35">
        <v>33</v>
      </c>
      <c r="AB35">
        <v>-3</v>
      </c>
      <c r="AC35" t="s">
        <v>302</v>
      </c>
      <c r="AD35" t="s">
        <v>302</v>
      </c>
      <c r="AE35" t="s">
        <v>314</v>
      </c>
      <c r="AF35" t="s">
        <v>304</v>
      </c>
      <c r="AG35" t="s">
        <v>353</v>
      </c>
      <c r="AH35" t="s">
        <v>171</v>
      </c>
      <c r="AI35" t="s">
        <v>306</v>
      </c>
      <c r="AJ35" t="s">
        <v>184</v>
      </c>
      <c r="AK35" t="s">
        <v>185</v>
      </c>
      <c r="AL35">
        <v>0</v>
      </c>
      <c r="AM35" t="s">
        <v>307</v>
      </c>
    </row>
    <row r="36" spans="1:39" x14ac:dyDescent="0.25">
      <c r="A36" s="38">
        <v>8253</v>
      </c>
      <c r="B36" s="33">
        <v>310</v>
      </c>
      <c r="C36" s="33" t="s">
        <v>177</v>
      </c>
      <c r="D36" s="33"/>
      <c r="E36" s="33"/>
      <c r="F36" s="33">
        <v>27</v>
      </c>
      <c r="G36" s="33" t="s">
        <v>178</v>
      </c>
      <c r="H36" s="33">
        <v>3200</v>
      </c>
      <c r="I36" s="33" t="s">
        <v>179</v>
      </c>
      <c r="J36" s="33" t="s">
        <v>46</v>
      </c>
      <c r="K36" s="33"/>
      <c r="L36" s="33"/>
      <c r="M36" s="33"/>
      <c r="N36" s="39"/>
      <c r="P36" t="b">
        <f t="shared" si="1"/>
        <v>1</v>
      </c>
      <c r="Q36" t="b">
        <f t="shared" si="0"/>
        <v>1</v>
      </c>
      <c r="S36">
        <v>310</v>
      </c>
      <c r="T36" t="s">
        <v>117</v>
      </c>
      <c r="U36" t="s">
        <v>354</v>
      </c>
      <c r="V36">
        <v>45658</v>
      </c>
      <c r="W36">
        <v>45712</v>
      </c>
      <c r="X36">
        <v>45712</v>
      </c>
      <c r="Y36">
        <v>54</v>
      </c>
      <c r="Z36">
        <v>54</v>
      </c>
      <c r="AA36">
        <v>33</v>
      </c>
      <c r="AB36">
        <v>21</v>
      </c>
      <c r="AC36" t="s">
        <v>313</v>
      </c>
      <c r="AD36" t="s">
        <v>302</v>
      </c>
      <c r="AE36" t="s">
        <v>317</v>
      </c>
      <c r="AF36" t="s">
        <v>304</v>
      </c>
      <c r="AG36" t="s">
        <v>179</v>
      </c>
      <c r="AH36" t="s">
        <v>171</v>
      </c>
      <c r="AI36" t="s">
        <v>310</v>
      </c>
      <c r="AJ36" t="s">
        <v>184</v>
      </c>
      <c r="AK36" t="s">
        <v>185</v>
      </c>
      <c r="AL36">
        <v>1</v>
      </c>
      <c r="AM36" t="s">
        <v>311</v>
      </c>
    </row>
    <row r="37" spans="1:39" x14ac:dyDescent="0.25">
      <c r="A37" s="25">
        <v>8413</v>
      </c>
      <c r="B37" s="26">
        <v>312</v>
      </c>
      <c r="C37" s="27" t="s">
        <v>97</v>
      </c>
      <c r="D37" s="27">
        <v>247807</v>
      </c>
      <c r="E37" s="28" t="s">
        <v>98</v>
      </c>
      <c r="F37" s="26">
        <v>28</v>
      </c>
      <c r="G37" s="28" t="s">
        <v>52</v>
      </c>
      <c r="H37" s="26"/>
      <c r="I37" s="27"/>
      <c r="J37" s="27" t="s">
        <v>46</v>
      </c>
      <c r="K37" s="29">
        <v>45658</v>
      </c>
      <c r="L37" s="29">
        <v>1</v>
      </c>
      <c r="M37" s="29">
        <v>45688</v>
      </c>
      <c r="N37" s="30">
        <v>45791</v>
      </c>
      <c r="P37" t="b">
        <f t="shared" si="1"/>
        <v>1</v>
      </c>
      <c r="Q37" t="b">
        <f t="shared" si="0"/>
        <v>1</v>
      </c>
      <c r="S37">
        <v>312</v>
      </c>
      <c r="T37" t="s">
        <v>98</v>
      </c>
      <c r="U37" t="s">
        <v>355</v>
      </c>
      <c r="V37">
        <v>45658</v>
      </c>
      <c r="W37">
        <v>45688</v>
      </c>
      <c r="X37">
        <v>45791</v>
      </c>
      <c r="Y37">
        <v>133</v>
      </c>
      <c r="Z37">
        <v>30</v>
      </c>
      <c r="AA37">
        <v>33</v>
      </c>
      <c r="AB37">
        <v>-3</v>
      </c>
      <c r="AC37" t="s">
        <v>313</v>
      </c>
      <c r="AD37" t="s">
        <v>313</v>
      </c>
      <c r="AE37" t="s">
        <v>317</v>
      </c>
      <c r="AF37" t="s">
        <v>304</v>
      </c>
      <c r="AG37" t="s">
        <v>353</v>
      </c>
      <c r="AH37" t="s">
        <v>171</v>
      </c>
      <c r="AI37" t="s">
        <v>306</v>
      </c>
      <c r="AJ37" t="s">
        <v>184</v>
      </c>
      <c r="AK37" t="s">
        <v>185</v>
      </c>
      <c r="AL37">
        <v>0</v>
      </c>
      <c r="AM37" t="s">
        <v>318</v>
      </c>
    </row>
    <row r="38" spans="1:39" x14ac:dyDescent="0.25">
      <c r="A38" s="12">
        <v>8451</v>
      </c>
      <c r="B38" s="12">
        <v>313</v>
      </c>
      <c r="C38" t="s">
        <v>428</v>
      </c>
      <c r="E38" s="8"/>
      <c r="F38" s="12">
        <v>28</v>
      </c>
      <c r="G38" s="8" t="s">
        <v>52</v>
      </c>
      <c r="H38" s="12">
        <v>3199</v>
      </c>
      <c r="I38" t="s">
        <v>104</v>
      </c>
      <c r="J38" t="s">
        <v>46</v>
      </c>
      <c r="K38" s="2">
        <v>45658</v>
      </c>
      <c r="L38" s="2">
        <v>1</v>
      </c>
      <c r="M38" s="2">
        <v>45709</v>
      </c>
      <c r="N38" s="2">
        <v>45757</v>
      </c>
      <c r="P38" t="b">
        <f t="shared" si="1"/>
        <v>1</v>
      </c>
      <c r="Q38" t="b">
        <f t="shared" si="0"/>
        <v>1</v>
      </c>
      <c r="S38">
        <v>313</v>
      </c>
      <c r="T38" t="s">
        <v>103</v>
      </c>
      <c r="U38" t="s">
        <v>356</v>
      </c>
      <c r="V38">
        <v>45658</v>
      </c>
      <c r="W38">
        <v>45709</v>
      </c>
      <c r="X38">
        <v>45757</v>
      </c>
      <c r="Y38">
        <v>99</v>
      </c>
      <c r="Z38">
        <v>51</v>
      </c>
      <c r="AA38">
        <v>33</v>
      </c>
      <c r="AB38">
        <v>18</v>
      </c>
      <c r="AC38" t="s">
        <v>302</v>
      </c>
      <c r="AD38" t="s">
        <v>302</v>
      </c>
      <c r="AE38" t="s">
        <v>317</v>
      </c>
      <c r="AF38" t="s">
        <v>304</v>
      </c>
      <c r="AG38" t="s">
        <v>104</v>
      </c>
      <c r="AH38" t="s">
        <v>171</v>
      </c>
      <c r="AI38" t="s">
        <v>310</v>
      </c>
      <c r="AJ38" t="s">
        <v>184</v>
      </c>
      <c r="AK38" t="s">
        <v>185</v>
      </c>
      <c r="AL38">
        <v>0</v>
      </c>
      <c r="AM38" t="s">
        <v>311</v>
      </c>
    </row>
    <row r="39" spans="1:39" x14ac:dyDescent="0.25">
      <c r="A39" s="25">
        <v>8414</v>
      </c>
      <c r="B39" s="26">
        <v>314</v>
      </c>
      <c r="C39" s="27" t="s">
        <v>100</v>
      </c>
      <c r="D39" s="27">
        <v>247857</v>
      </c>
      <c r="E39" s="28" t="s">
        <v>62</v>
      </c>
      <c r="F39" s="26">
        <v>28</v>
      </c>
      <c r="G39" s="28" t="s">
        <v>52</v>
      </c>
      <c r="H39" s="26"/>
      <c r="I39" s="27"/>
      <c r="J39" s="27" t="s">
        <v>46</v>
      </c>
      <c r="K39" s="29">
        <v>45658</v>
      </c>
      <c r="L39" s="29">
        <v>1</v>
      </c>
      <c r="M39" s="29">
        <v>45702</v>
      </c>
      <c r="N39" s="30">
        <v>45726</v>
      </c>
      <c r="P39" t="b">
        <f t="shared" si="1"/>
        <v>1</v>
      </c>
      <c r="Q39" t="b">
        <f t="shared" si="0"/>
        <v>1</v>
      </c>
      <c r="S39">
        <v>314</v>
      </c>
      <c r="T39" t="s">
        <v>62</v>
      </c>
      <c r="U39" t="s">
        <v>357</v>
      </c>
      <c r="V39">
        <v>45658</v>
      </c>
      <c r="W39">
        <v>45702</v>
      </c>
      <c r="X39">
        <v>45726</v>
      </c>
      <c r="Y39">
        <v>68</v>
      </c>
      <c r="Z39">
        <v>44</v>
      </c>
      <c r="AA39">
        <v>33</v>
      </c>
      <c r="AB39">
        <v>11</v>
      </c>
      <c r="AC39" t="s">
        <v>313</v>
      </c>
      <c r="AD39" t="s">
        <v>313</v>
      </c>
      <c r="AE39" t="s">
        <v>317</v>
      </c>
      <c r="AF39" t="s">
        <v>304</v>
      </c>
      <c r="AG39" t="s">
        <v>353</v>
      </c>
      <c r="AH39" t="s">
        <v>171</v>
      </c>
      <c r="AI39" t="s">
        <v>306</v>
      </c>
      <c r="AJ39" t="s">
        <v>184</v>
      </c>
      <c r="AK39" t="s">
        <v>185</v>
      </c>
      <c r="AL39">
        <v>0</v>
      </c>
      <c r="AM39" t="s">
        <v>311</v>
      </c>
    </row>
    <row r="40" spans="1:39" x14ac:dyDescent="0.25">
      <c r="A40" s="31">
        <v>8415</v>
      </c>
      <c r="B40" s="32">
        <v>315</v>
      </c>
      <c r="C40" s="33" t="s">
        <v>102</v>
      </c>
      <c r="D40" s="33">
        <v>247651</v>
      </c>
      <c r="E40" s="34" t="s">
        <v>103</v>
      </c>
      <c r="F40" s="32">
        <v>21</v>
      </c>
      <c r="G40" s="34" t="s">
        <v>69</v>
      </c>
      <c r="H40" s="32">
        <v>3199</v>
      </c>
      <c r="I40" s="33" t="s">
        <v>104</v>
      </c>
      <c r="J40" s="33" t="s">
        <v>46</v>
      </c>
      <c r="K40" s="35">
        <v>45658</v>
      </c>
      <c r="L40" s="35">
        <v>1</v>
      </c>
      <c r="M40" s="35">
        <v>45716</v>
      </c>
      <c r="N40" s="36">
        <v>45726</v>
      </c>
      <c r="P40" t="b">
        <f t="shared" si="1"/>
        <v>1</v>
      </c>
      <c r="Q40" t="b">
        <f t="shared" si="0"/>
        <v>1</v>
      </c>
      <c r="S40">
        <v>315</v>
      </c>
      <c r="T40" t="s">
        <v>103</v>
      </c>
      <c r="U40" t="s">
        <v>358</v>
      </c>
      <c r="V40">
        <v>45658</v>
      </c>
      <c r="W40">
        <v>45716</v>
      </c>
      <c r="X40">
        <v>45726</v>
      </c>
      <c r="Y40">
        <v>68</v>
      </c>
      <c r="Z40">
        <v>58</v>
      </c>
      <c r="AA40">
        <v>33</v>
      </c>
      <c r="AB40">
        <v>25</v>
      </c>
      <c r="AC40" t="s">
        <v>316</v>
      </c>
      <c r="AD40" t="s">
        <v>302</v>
      </c>
      <c r="AE40" t="s">
        <v>314</v>
      </c>
      <c r="AF40" t="s">
        <v>304</v>
      </c>
      <c r="AG40" t="s">
        <v>104</v>
      </c>
      <c r="AH40" t="s">
        <v>171</v>
      </c>
      <c r="AI40" t="s">
        <v>310</v>
      </c>
      <c r="AJ40" t="s">
        <v>184</v>
      </c>
      <c r="AK40" t="s">
        <v>185</v>
      </c>
      <c r="AL40">
        <v>0</v>
      </c>
      <c r="AM40" t="s">
        <v>311</v>
      </c>
    </row>
    <row r="41" spans="1:39" x14ac:dyDescent="0.25">
      <c r="A41" s="25">
        <v>8416</v>
      </c>
      <c r="B41" s="26">
        <v>316</v>
      </c>
      <c r="C41" s="27" t="s">
        <v>106</v>
      </c>
      <c r="D41" s="27">
        <v>247770</v>
      </c>
      <c r="E41" s="28" t="s">
        <v>107</v>
      </c>
      <c r="F41" s="26">
        <v>28</v>
      </c>
      <c r="G41" s="28" t="s">
        <v>52</v>
      </c>
      <c r="H41" s="26"/>
      <c r="I41" s="27"/>
      <c r="J41" s="27" t="s">
        <v>46</v>
      </c>
      <c r="K41" s="29">
        <v>45658</v>
      </c>
      <c r="L41" s="29">
        <v>1</v>
      </c>
      <c r="M41" s="29">
        <v>45702</v>
      </c>
      <c r="N41" s="30">
        <v>45726</v>
      </c>
      <c r="P41" t="b">
        <f t="shared" si="1"/>
        <v>1</v>
      </c>
      <c r="Q41" t="b">
        <f t="shared" si="0"/>
        <v>1</v>
      </c>
      <c r="S41">
        <v>316</v>
      </c>
      <c r="T41" t="s">
        <v>107</v>
      </c>
      <c r="U41" t="s">
        <v>359</v>
      </c>
      <c r="V41">
        <v>45658</v>
      </c>
      <c r="W41">
        <v>45702</v>
      </c>
      <c r="X41">
        <v>45726</v>
      </c>
      <c r="Y41">
        <v>68</v>
      </c>
      <c r="Z41">
        <v>44</v>
      </c>
      <c r="AA41">
        <v>33</v>
      </c>
      <c r="AB41">
        <v>11</v>
      </c>
      <c r="AC41" t="s">
        <v>313</v>
      </c>
      <c r="AD41" t="s">
        <v>313</v>
      </c>
      <c r="AE41" t="s">
        <v>317</v>
      </c>
      <c r="AF41" t="s">
        <v>304</v>
      </c>
      <c r="AG41" t="s">
        <v>353</v>
      </c>
      <c r="AH41" t="s">
        <v>171</v>
      </c>
      <c r="AI41" t="s">
        <v>306</v>
      </c>
      <c r="AJ41" t="s">
        <v>184</v>
      </c>
      <c r="AK41" t="s">
        <v>185</v>
      </c>
      <c r="AL41">
        <v>0</v>
      </c>
      <c r="AM41" t="s">
        <v>311</v>
      </c>
    </row>
    <row r="42" spans="1:39" x14ac:dyDescent="0.25">
      <c r="A42" s="31">
        <v>8271</v>
      </c>
      <c r="B42" s="32">
        <v>317</v>
      </c>
      <c r="C42" s="33" t="s">
        <v>189</v>
      </c>
      <c r="D42" s="33"/>
      <c r="E42" s="34"/>
      <c r="F42" s="32">
        <v>22</v>
      </c>
      <c r="G42" s="34" t="s">
        <v>77</v>
      </c>
      <c r="H42" s="32">
        <v>2767</v>
      </c>
      <c r="I42" s="33" t="s">
        <v>118</v>
      </c>
      <c r="J42" s="33" t="s">
        <v>46</v>
      </c>
      <c r="K42" s="35">
        <v>45658</v>
      </c>
      <c r="L42" s="35">
        <v>45658</v>
      </c>
      <c r="M42" s="35">
        <v>45688</v>
      </c>
      <c r="N42" s="36">
        <v>45688</v>
      </c>
      <c r="P42" t="b">
        <f t="shared" si="1"/>
        <v>1</v>
      </c>
      <c r="Q42" t="b">
        <f t="shared" si="0"/>
        <v>1</v>
      </c>
      <c r="S42">
        <v>317</v>
      </c>
      <c r="T42" t="s">
        <v>360</v>
      </c>
      <c r="U42" t="s">
        <v>361</v>
      </c>
      <c r="V42">
        <v>45658</v>
      </c>
      <c r="W42">
        <v>45702</v>
      </c>
      <c r="X42">
        <v>45702</v>
      </c>
      <c r="Y42">
        <v>44</v>
      </c>
      <c r="Z42">
        <v>44</v>
      </c>
      <c r="AA42">
        <v>33</v>
      </c>
      <c r="AB42">
        <v>11</v>
      </c>
      <c r="AC42" t="s">
        <v>302</v>
      </c>
      <c r="AD42" t="s">
        <v>302</v>
      </c>
      <c r="AE42" t="s">
        <v>331</v>
      </c>
      <c r="AF42" t="s">
        <v>304</v>
      </c>
      <c r="AG42" t="s">
        <v>362</v>
      </c>
      <c r="AH42" t="s">
        <v>171</v>
      </c>
      <c r="AI42" t="s">
        <v>310</v>
      </c>
      <c r="AJ42" t="s">
        <v>184</v>
      </c>
      <c r="AK42" t="s">
        <v>185</v>
      </c>
      <c r="AL42">
        <v>0</v>
      </c>
      <c r="AM42" t="s">
        <v>311</v>
      </c>
    </row>
    <row r="43" spans="1:39" x14ac:dyDescent="0.25">
      <c r="A43" s="31">
        <v>8418</v>
      </c>
      <c r="B43" s="32">
        <v>318</v>
      </c>
      <c r="C43" s="33" t="s">
        <v>109</v>
      </c>
      <c r="D43" s="33">
        <v>247068</v>
      </c>
      <c r="E43" s="34" t="s">
        <v>110</v>
      </c>
      <c r="F43" s="32">
        <v>28</v>
      </c>
      <c r="G43" s="34" t="s">
        <v>52</v>
      </c>
      <c r="H43" s="32"/>
      <c r="I43" s="33"/>
      <c r="J43" s="33" t="s">
        <v>46</v>
      </c>
      <c r="K43" s="35">
        <v>45659</v>
      </c>
      <c r="L43" s="35">
        <v>1</v>
      </c>
      <c r="M43" s="35">
        <v>45712</v>
      </c>
      <c r="N43" s="36">
        <v>45712</v>
      </c>
      <c r="P43" t="b">
        <f t="shared" si="1"/>
        <v>1</v>
      </c>
      <c r="Q43" t="b">
        <f t="shared" si="0"/>
        <v>1</v>
      </c>
      <c r="S43">
        <v>318</v>
      </c>
      <c r="T43" t="s">
        <v>110</v>
      </c>
      <c r="U43" t="s">
        <v>363</v>
      </c>
      <c r="V43">
        <v>45659</v>
      </c>
      <c r="W43">
        <v>45712</v>
      </c>
      <c r="X43">
        <v>45712</v>
      </c>
      <c r="Y43">
        <v>53</v>
      </c>
      <c r="Z43">
        <v>53</v>
      </c>
      <c r="AA43">
        <v>32</v>
      </c>
      <c r="AB43">
        <v>21</v>
      </c>
      <c r="AC43" t="s">
        <v>313</v>
      </c>
      <c r="AD43" t="s">
        <v>313</v>
      </c>
      <c r="AE43" t="s">
        <v>317</v>
      </c>
      <c r="AF43" t="s">
        <v>304</v>
      </c>
      <c r="AG43" t="s">
        <v>353</v>
      </c>
      <c r="AH43" t="s">
        <v>171</v>
      </c>
      <c r="AI43" t="s">
        <v>306</v>
      </c>
      <c r="AJ43" t="s">
        <v>184</v>
      </c>
      <c r="AK43" t="s">
        <v>185</v>
      </c>
      <c r="AL43">
        <v>0</v>
      </c>
      <c r="AM43" t="s">
        <v>311</v>
      </c>
    </row>
    <row r="44" spans="1:39" x14ac:dyDescent="0.25">
      <c r="A44" s="25">
        <v>8331</v>
      </c>
      <c r="B44" s="26">
        <v>319</v>
      </c>
      <c r="C44" s="27" t="s">
        <v>218</v>
      </c>
      <c r="D44" s="27">
        <v>247857</v>
      </c>
      <c r="E44" s="28" t="s">
        <v>62</v>
      </c>
      <c r="F44" s="26">
        <v>28</v>
      </c>
      <c r="G44" s="28" t="s">
        <v>52</v>
      </c>
      <c r="H44" s="26">
        <v>2767</v>
      </c>
      <c r="I44" s="27" t="s">
        <v>118</v>
      </c>
      <c r="J44" s="27" t="s">
        <v>46</v>
      </c>
      <c r="K44" s="29">
        <v>45658</v>
      </c>
      <c r="L44" s="29">
        <v>1</v>
      </c>
      <c r="M44" s="29">
        <v>45716</v>
      </c>
      <c r="N44" s="30">
        <v>45757</v>
      </c>
      <c r="P44" t="b">
        <f t="shared" si="1"/>
        <v>1</v>
      </c>
      <c r="Q44" t="b">
        <f t="shared" si="0"/>
        <v>1</v>
      </c>
      <c r="S44">
        <v>319</v>
      </c>
      <c r="T44" t="s">
        <v>62</v>
      </c>
      <c r="U44" t="s">
        <v>364</v>
      </c>
      <c r="V44">
        <v>45658</v>
      </c>
      <c r="W44">
        <v>45744</v>
      </c>
      <c r="X44">
        <v>45775</v>
      </c>
      <c r="Y44">
        <v>117</v>
      </c>
      <c r="Z44">
        <v>86</v>
      </c>
      <c r="AA44">
        <v>33</v>
      </c>
      <c r="AB44">
        <v>53</v>
      </c>
      <c r="AC44" t="s">
        <v>302</v>
      </c>
      <c r="AD44" t="s">
        <v>302</v>
      </c>
      <c r="AE44" t="s">
        <v>317</v>
      </c>
      <c r="AF44" t="s">
        <v>304</v>
      </c>
      <c r="AG44" t="s">
        <v>362</v>
      </c>
      <c r="AH44" t="s">
        <v>171</v>
      </c>
      <c r="AI44" t="s">
        <v>310</v>
      </c>
      <c r="AJ44" t="s">
        <v>184</v>
      </c>
      <c r="AK44" t="s">
        <v>185</v>
      </c>
      <c r="AL44">
        <v>0</v>
      </c>
      <c r="AM44" t="s">
        <v>311</v>
      </c>
    </row>
    <row r="45" spans="1:39" x14ac:dyDescent="0.25">
      <c r="A45" s="25">
        <v>8419</v>
      </c>
      <c r="B45" s="26">
        <v>320</v>
      </c>
      <c r="C45" s="27" t="s">
        <v>112</v>
      </c>
      <c r="D45" s="27">
        <v>247556</v>
      </c>
      <c r="E45" s="28" t="s">
        <v>59</v>
      </c>
      <c r="F45" s="26">
        <v>28</v>
      </c>
      <c r="G45" s="28" t="s">
        <v>52</v>
      </c>
      <c r="H45" s="26"/>
      <c r="I45" s="27"/>
      <c r="J45" s="27" t="s">
        <v>46</v>
      </c>
      <c r="K45" s="29">
        <v>45658</v>
      </c>
      <c r="L45" s="29">
        <v>1</v>
      </c>
      <c r="M45" s="29">
        <v>45761</v>
      </c>
      <c r="N45" s="30">
        <v>45761</v>
      </c>
      <c r="P45" t="b">
        <f t="shared" si="1"/>
        <v>1</v>
      </c>
      <c r="Q45" t="b">
        <f t="shared" si="0"/>
        <v>1</v>
      </c>
      <c r="S45">
        <v>320</v>
      </c>
      <c r="T45" t="s">
        <v>59</v>
      </c>
      <c r="U45" t="s">
        <v>365</v>
      </c>
      <c r="V45">
        <v>45658</v>
      </c>
      <c r="W45">
        <v>45761</v>
      </c>
      <c r="X45">
        <v>45761</v>
      </c>
      <c r="Y45">
        <v>103</v>
      </c>
      <c r="Z45">
        <v>103</v>
      </c>
      <c r="AA45">
        <v>33</v>
      </c>
      <c r="AB45">
        <v>70</v>
      </c>
      <c r="AC45" t="s">
        <v>316</v>
      </c>
      <c r="AD45" t="s">
        <v>316</v>
      </c>
      <c r="AE45" t="s">
        <v>317</v>
      </c>
      <c r="AF45" t="s">
        <v>304</v>
      </c>
      <c r="AG45" t="s">
        <v>353</v>
      </c>
      <c r="AH45" t="s">
        <v>171</v>
      </c>
      <c r="AI45" t="s">
        <v>306</v>
      </c>
      <c r="AJ45" t="s">
        <v>184</v>
      </c>
      <c r="AK45" t="s">
        <v>185</v>
      </c>
      <c r="AL45">
        <v>0</v>
      </c>
      <c r="AM45" t="s">
        <v>311</v>
      </c>
    </row>
    <row r="46" spans="1:39" x14ac:dyDescent="0.25">
      <c r="A46" s="31">
        <v>8270</v>
      </c>
      <c r="B46" s="32">
        <v>321</v>
      </c>
      <c r="C46" s="33" t="s">
        <v>189</v>
      </c>
      <c r="D46" s="33"/>
      <c r="E46" s="34"/>
      <c r="F46" s="32">
        <v>22</v>
      </c>
      <c r="G46" s="34" t="s">
        <v>77</v>
      </c>
      <c r="H46" s="32">
        <v>2767</v>
      </c>
      <c r="I46" s="33" t="s">
        <v>118</v>
      </c>
      <c r="J46" s="33" t="s">
        <v>46</v>
      </c>
      <c r="K46" s="35">
        <v>45658</v>
      </c>
      <c r="L46" s="35">
        <v>1</v>
      </c>
      <c r="M46" s="35">
        <v>45702</v>
      </c>
      <c r="N46" s="36">
        <v>45726</v>
      </c>
      <c r="P46" t="b">
        <f t="shared" si="1"/>
        <v>1</v>
      </c>
      <c r="Q46" t="b">
        <f t="shared" si="0"/>
        <v>1</v>
      </c>
      <c r="S46">
        <v>321</v>
      </c>
      <c r="T46" t="s">
        <v>117</v>
      </c>
      <c r="U46" t="s">
        <v>366</v>
      </c>
      <c r="V46">
        <v>45658</v>
      </c>
      <c r="W46">
        <v>45688</v>
      </c>
      <c r="X46">
        <v>45688</v>
      </c>
      <c r="Y46">
        <v>30</v>
      </c>
      <c r="Z46">
        <v>30</v>
      </c>
      <c r="AA46">
        <v>33</v>
      </c>
      <c r="AB46">
        <v>-3</v>
      </c>
      <c r="AC46" t="s">
        <v>302</v>
      </c>
      <c r="AD46" t="s">
        <v>302</v>
      </c>
      <c r="AE46" t="s">
        <v>314</v>
      </c>
      <c r="AF46" t="s">
        <v>304</v>
      </c>
      <c r="AG46" t="s">
        <v>362</v>
      </c>
      <c r="AH46" t="s">
        <v>171</v>
      </c>
      <c r="AI46" t="s">
        <v>310</v>
      </c>
      <c r="AJ46" t="s">
        <v>184</v>
      </c>
      <c r="AK46" t="s">
        <v>185</v>
      </c>
      <c r="AL46">
        <v>0</v>
      </c>
      <c r="AM46" t="s">
        <v>307</v>
      </c>
    </row>
    <row r="47" spans="1:39" x14ac:dyDescent="0.25">
      <c r="A47" s="31">
        <v>8420</v>
      </c>
      <c r="B47" s="32">
        <v>322</v>
      </c>
      <c r="C47" s="33" t="s">
        <v>114</v>
      </c>
      <c r="D47" s="33">
        <v>247857</v>
      </c>
      <c r="E47" s="34" t="s">
        <v>62</v>
      </c>
      <c r="F47" s="32">
        <v>28</v>
      </c>
      <c r="G47" s="34" t="s">
        <v>52</v>
      </c>
      <c r="H47" s="32"/>
      <c r="I47" s="33"/>
      <c r="J47" s="33" t="s">
        <v>46</v>
      </c>
      <c r="K47" s="35">
        <v>45658</v>
      </c>
      <c r="L47" s="35">
        <v>1</v>
      </c>
      <c r="M47" s="35">
        <v>45761</v>
      </c>
      <c r="N47" s="36">
        <v>45761</v>
      </c>
      <c r="P47" t="b">
        <f t="shared" si="1"/>
        <v>1</v>
      </c>
      <c r="Q47" t="b">
        <f t="shared" si="0"/>
        <v>1</v>
      </c>
      <c r="S47">
        <v>322</v>
      </c>
      <c r="T47" t="s">
        <v>62</v>
      </c>
      <c r="U47" t="s">
        <v>367</v>
      </c>
      <c r="V47">
        <v>45658</v>
      </c>
      <c r="W47">
        <v>45761</v>
      </c>
      <c r="X47">
        <v>45761</v>
      </c>
      <c r="Y47">
        <v>103</v>
      </c>
      <c r="Z47">
        <v>103</v>
      </c>
      <c r="AA47">
        <v>33</v>
      </c>
      <c r="AB47">
        <v>70</v>
      </c>
      <c r="AC47" t="s">
        <v>302</v>
      </c>
      <c r="AD47" t="s">
        <v>316</v>
      </c>
      <c r="AE47" t="s">
        <v>317</v>
      </c>
      <c r="AF47" t="s">
        <v>304</v>
      </c>
      <c r="AG47" t="s">
        <v>353</v>
      </c>
      <c r="AH47" t="s">
        <v>171</v>
      </c>
      <c r="AI47" t="s">
        <v>306</v>
      </c>
      <c r="AJ47" t="s">
        <v>184</v>
      </c>
      <c r="AK47" t="s">
        <v>185</v>
      </c>
      <c r="AL47">
        <v>0</v>
      </c>
      <c r="AM47" t="s">
        <v>311</v>
      </c>
    </row>
    <row r="48" spans="1:39" x14ac:dyDescent="0.25">
      <c r="A48" s="25">
        <v>8421</v>
      </c>
      <c r="B48" s="26">
        <v>323</v>
      </c>
      <c r="C48" s="27" t="s">
        <v>116</v>
      </c>
      <c r="D48" s="27">
        <v>247722</v>
      </c>
      <c r="E48" s="28" t="s">
        <v>117</v>
      </c>
      <c r="F48" s="26">
        <v>28</v>
      </c>
      <c r="G48" s="28" t="s">
        <v>52</v>
      </c>
      <c r="H48" s="26">
        <v>2767</v>
      </c>
      <c r="I48" s="27" t="s">
        <v>118</v>
      </c>
      <c r="J48" s="27" t="s">
        <v>46</v>
      </c>
      <c r="K48" s="29">
        <v>45658</v>
      </c>
      <c r="L48" s="29">
        <v>1</v>
      </c>
      <c r="M48" s="29">
        <v>45744</v>
      </c>
      <c r="N48" s="30">
        <v>45775</v>
      </c>
      <c r="P48" t="b">
        <f t="shared" si="1"/>
        <v>1</v>
      </c>
      <c r="Q48" t="b">
        <f t="shared" si="0"/>
        <v>1</v>
      </c>
      <c r="S48">
        <v>323</v>
      </c>
      <c r="T48" t="s">
        <v>117</v>
      </c>
      <c r="U48" t="s">
        <v>368</v>
      </c>
      <c r="V48">
        <v>45658</v>
      </c>
      <c r="W48">
        <v>45744</v>
      </c>
      <c r="X48">
        <v>45775</v>
      </c>
      <c r="Y48">
        <v>117</v>
      </c>
      <c r="Z48">
        <v>86</v>
      </c>
      <c r="AA48">
        <v>33</v>
      </c>
      <c r="AB48">
        <v>53</v>
      </c>
      <c r="AC48" t="s">
        <v>316</v>
      </c>
      <c r="AD48" t="s">
        <v>302</v>
      </c>
      <c r="AE48" t="s">
        <v>317</v>
      </c>
      <c r="AF48" t="s">
        <v>304</v>
      </c>
      <c r="AG48" t="s">
        <v>362</v>
      </c>
      <c r="AH48" t="s">
        <v>171</v>
      </c>
      <c r="AI48" t="s">
        <v>310</v>
      </c>
      <c r="AJ48" t="s">
        <v>184</v>
      </c>
      <c r="AK48" t="s">
        <v>185</v>
      </c>
      <c r="AL48">
        <v>0</v>
      </c>
      <c r="AM48" t="s">
        <v>311</v>
      </c>
    </row>
    <row r="49" spans="1:39" x14ac:dyDescent="0.25">
      <c r="A49" s="31">
        <v>8422</v>
      </c>
      <c r="B49" s="32">
        <v>324</v>
      </c>
      <c r="C49" s="33" t="s">
        <v>120</v>
      </c>
      <c r="D49" s="33">
        <v>247374</v>
      </c>
      <c r="E49" s="34" t="s">
        <v>121</v>
      </c>
      <c r="F49" s="32">
        <v>28</v>
      </c>
      <c r="G49" s="34" t="s">
        <v>52</v>
      </c>
      <c r="H49" s="32"/>
      <c r="I49" s="33"/>
      <c r="J49" s="33" t="s">
        <v>46</v>
      </c>
      <c r="K49" s="35">
        <v>45658</v>
      </c>
      <c r="L49" s="35">
        <v>1</v>
      </c>
      <c r="M49" s="35">
        <v>45744</v>
      </c>
      <c r="N49" s="36">
        <v>45791</v>
      </c>
      <c r="P49" t="b">
        <f t="shared" si="1"/>
        <v>1</v>
      </c>
      <c r="Q49" t="b">
        <f t="shared" si="0"/>
        <v>1</v>
      </c>
      <c r="S49">
        <v>324</v>
      </c>
      <c r="T49" t="s">
        <v>121</v>
      </c>
      <c r="U49" t="s">
        <v>369</v>
      </c>
      <c r="V49">
        <v>45658</v>
      </c>
      <c r="W49">
        <v>45744</v>
      </c>
      <c r="X49">
        <v>45791</v>
      </c>
      <c r="Y49">
        <v>133</v>
      </c>
      <c r="Z49">
        <v>86</v>
      </c>
      <c r="AA49">
        <v>33</v>
      </c>
      <c r="AB49">
        <v>53</v>
      </c>
      <c r="AC49" t="s">
        <v>313</v>
      </c>
      <c r="AD49" t="s">
        <v>313</v>
      </c>
      <c r="AE49" t="s">
        <v>317</v>
      </c>
      <c r="AF49" t="s">
        <v>304</v>
      </c>
      <c r="AG49" t="s">
        <v>353</v>
      </c>
      <c r="AH49" t="s">
        <v>171</v>
      </c>
      <c r="AI49" t="s">
        <v>306</v>
      </c>
      <c r="AJ49" t="s">
        <v>184</v>
      </c>
      <c r="AK49" t="s">
        <v>185</v>
      </c>
      <c r="AL49">
        <v>0</v>
      </c>
      <c r="AM49" t="s">
        <v>311</v>
      </c>
    </row>
    <row r="50" spans="1:39" x14ac:dyDescent="0.25">
      <c r="A50" s="25">
        <v>8316</v>
      </c>
      <c r="B50" s="26">
        <v>325</v>
      </c>
      <c r="C50" s="27" t="s">
        <v>249</v>
      </c>
      <c r="D50" s="27"/>
      <c r="E50" s="28"/>
      <c r="F50" s="26">
        <v>22</v>
      </c>
      <c r="G50" s="28" t="s">
        <v>77</v>
      </c>
      <c r="H50" s="26">
        <v>2767</v>
      </c>
      <c r="I50" s="27" t="s">
        <v>118</v>
      </c>
      <c r="J50" s="27" t="s">
        <v>46</v>
      </c>
      <c r="K50" s="29">
        <v>45694</v>
      </c>
      <c r="L50" s="29">
        <v>45701</v>
      </c>
      <c r="M50" s="29">
        <v>45716</v>
      </c>
      <c r="N50" s="30">
        <v>45716</v>
      </c>
      <c r="P50" t="b">
        <f t="shared" si="1"/>
        <v>1</v>
      </c>
      <c r="Q50" t="b">
        <f t="shared" si="0"/>
        <v>1</v>
      </c>
      <c r="S50">
        <v>325</v>
      </c>
      <c r="T50" t="s">
        <v>117</v>
      </c>
      <c r="U50" t="s">
        <v>370</v>
      </c>
      <c r="V50">
        <v>45658</v>
      </c>
      <c r="W50">
        <v>45688</v>
      </c>
      <c r="X50">
        <v>45757</v>
      </c>
      <c r="Y50">
        <v>99</v>
      </c>
      <c r="Z50">
        <v>30</v>
      </c>
      <c r="AA50">
        <v>33</v>
      </c>
      <c r="AB50">
        <v>-3</v>
      </c>
      <c r="AC50" t="s">
        <v>302</v>
      </c>
      <c r="AD50" t="s">
        <v>302</v>
      </c>
      <c r="AE50" t="s">
        <v>314</v>
      </c>
      <c r="AF50" t="s">
        <v>304</v>
      </c>
      <c r="AG50" t="s">
        <v>362</v>
      </c>
      <c r="AH50" t="s">
        <v>171</v>
      </c>
      <c r="AI50" t="s">
        <v>310</v>
      </c>
      <c r="AJ50" t="s">
        <v>184</v>
      </c>
      <c r="AK50" t="s">
        <v>185</v>
      </c>
      <c r="AL50">
        <v>0</v>
      </c>
      <c r="AM50" t="s">
        <v>318</v>
      </c>
    </row>
    <row r="51" spans="1:39" x14ac:dyDescent="0.25">
      <c r="A51" s="25">
        <v>8423</v>
      </c>
      <c r="B51" s="26">
        <v>326</v>
      </c>
      <c r="C51" s="27" t="s">
        <v>123</v>
      </c>
      <c r="D51" s="27">
        <v>247828</v>
      </c>
      <c r="E51" s="28" t="s">
        <v>43</v>
      </c>
      <c r="F51" s="26">
        <v>28</v>
      </c>
      <c r="G51" s="28" t="s">
        <v>52</v>
      </c>
      <c r="H51" s="26"/>
      <c r="I51" s="27"/>
      <c r="J51" s="27" t="s">
        <v>46</v>
      </c>
      <c r="K51" s="29">
        <v>45658</v>
      </c>
      <c r="L51" s="29">
        <v>1</v>
      </c>
      <c r="M51" s="29">
        <v>45744</v>
      </c>
      <c r="N51" s="30">
        <v>45761</v>
      </c>
      <c r="P51" t="b">
        <f t="shared" si="1"/>
        <v>1</v>
      </c>
      <c r="Q51" t="b">
        <f t="shared" si="0"/>
        <v>1</v>
      </c>
      <c r="S51">
        <v>326</v>
      </c>
      <c r="T51" t="s">
        <v>43</v>
      </c>
      <c r="U51" t="s">
        <v>371</v>
      </c>
      <c r="V51">
        <v>45658</v>
      </c>
      <c r="W51">
        <v>45744</v>
      </c>
      <c r="X51">
        <v>45761</v>
      </c>
      <c r="Y51">
        <v>103</v>
      </c>
      <c r="Z51">
        <v>86</v>
      </c>
      <c r="AA51">
        <v>33</v>
      </c>
      <c r="AB51">
        <v>53</v>
      </c>
      <c r="AC51" t="s">
        <v>313</v>
      </c>
      <c r="AD51" t="s">
        <v>313</v>
      </c>
      <c r="AE51" t="s">
        <v>317</v>
      </c>
      <c r="AF51" t="s">
        <v>304</v>
      </c>
      <c r="AG51" t="s">
        <v>353</v>
      </c>
      <c r="AH51" t="s">
        <v>171</v>
      </c>
      <c r="AI51" t="s">
        <v>306</v>
      </c>
      <c r="AJ51" t="s">
        <v>184</v>
      </c>
      <c r="AK51" t="s">
        <v>185</v>
      </c>
      <c r="AL51">
        <v>0</v>
      </c>
      <c r="AM51" t="s">
        <v>311</v>
      </c>
    </row>
    <row r="52" spans="1:39" x14ac:dyDescent="0.25">
      <c r="A52" s="38">
        <v>8287</v>
      </c>
      <c r="B52" s="33">
        <v>327</v>
      </c>
      <c r="C52" s="33" t="s">
        <v>240</v>
      </c>
      <c r="D52" s="33">
        <v>247795</v>
      </c>
      <c r="E52" s="33" t="s">
        <v>56</v>
      </c>
      <c r="F52" s="33">
        <v>22</v>
      </c>
      <c r="G52" s="33" t="s">
        <v>77</v>
      </c>
      <c r="H52" s="33">
        <v>3201</v>
      </c>
      <c r="I52" s="33" t="s">
        <v>183</v>
      </c>
      <c r="J52" s="33" t="s">
        <v>46</v>
      </c>
      <c r="K52" s="33"/>
      <c r="L52" s="33"/>
      <c r="M52" s="33"/>
      <c r="N52" s="39"/>
      <c r="P52" t="b">
        <f t="shared" si="1"/>
        <v>1</v>
      </c>
      <c r="Q52" t="b">
        <f t="shared" si="0"/>
        <v>1</v>
      </c>
      <c r="S52">
        <v>327</v>
      </c>
      <c r="T52" t="s">
        <v>56</v>
      </c>
      <c r="U52" t="s">
        <v>372</v>
      </c>
      <c r="V52">
        <v>45658</v>
      </c>
      <c r="W52">
        <v>45702</v>
      </c>
      <c r="X52">
        <v>45702</v>
      </c>
      <c r="Y52">
        <v>44</v>
      </c>
      <c r="Z52">
        <v>44</v>
      </c>
      <c r="AA52">
        <v>33</v>
      </c>
      <c r="AB52">
        <v>11</v>
      </c>
      <c r="AC52" t="s">
        <v>302</v>
      </c>
      <c r="AD52" t="s">
        <v>302</v>
      </c>
      <c r="AE52" t="s">
        <v>317</v>
      </c>
      <c r="AF52" t="s">
        <v>304</v>
      </c>
      <c r="AG52" s="33" t="s">
        <v>183</v>
      </c>
      <c r="AH52" t="s">
        <v>171</v>
      </c>
      <c r="AI52" t="s">
        <v>310</v>
      </c>
      <c r="AJ52" t="s">
        <v>184</v>
      </c>
      <c r="AK52" t="s">
        <v>185</v>
      </c>
      <c r="AL52">
        <v>0</v>
      </c>
      <c r="AM52" t="s">
        <v>311</v>
      </c>
    </row>
    <row r="53" spans="1:39" x14ac:dyDescent="0.25">
      <c r="A53" s="12">
        <v>8452</v>
      </c>
      <c r="B53" s="12">
        <v>328</v>
      </c>
      <c r="C53" t="s">
        <v>430</v>
      </c>
      <c r="D53">
        <v>247722</v>
      </c>
      <c r="E53" s="8" t="s">
        <v>117</v>
      </c>
      <c r="F53" s="12">
        <v>21</v>
      </c>
      <c r="G53" s="8" t="s">
        <v>69</v>
      </c>
      <c r="H53" s="12">
        <v>195</v>
      </c>
      <c r="I53" t="s">
        <v>78</v>
      </c>
      <c r="J53" t="s">
        <v>46</v>
      </c>
      <c r="K53" s="2">
        <v>45658</v>
      </c>
      <c r="L53" s="2">
        <v>1</v>
      </c>
      <c r="M53" s="2">
        <v>45744</v>
      </c>
      <c r="N53" s="2">
        <v>45744</v>
      </c>
      <c r="P53" t="b">
        <f t="shared" si="1"/>
        <v>1</v>
      </c>
      <c r="Q53" t="b">
        <f t="shared" si="0"/>
        <v>1</v>
      </c>
      <c r="S53">
        <v>328</v>
      </c>
      <c r="T53" t="s">
        <v>117</v>
      </c>
      <c r="U53" t="s">
        <v>373</v>
      </c>
      <c r="V53">
        <v>45658</v>
      </c>
      <c r="W53">
        <v>45688</v>
      </c>
      <c r="X53">
        <v>45688</v>
      </c>
      <c r="Y53">
        <v>30</v>
      </c>
      <c r="Z53">
        <v>30</v>
      </c>
      <c r="AA53">
        <v>33</v>
      </c>
      <c r="AB53">
        <v>-3</v>
      </c>
      <c r="AC53" t="s">
        <v>313</v>
      </c>
      <c r="AD53" t="s">
        <v>302</v>
      </c>
      <c r="AE53" t="s">
        <v>374</v>
      </c>
      <c r="AF53" t="s">
        <v>304</v>
      </c>
      <c r="AG53" t="s">
        <v>78</v>
      </c>
      <c r="AH53" t="s">
        <v>171</v>
      </c>
      <c r="AI53" t="s">
        <v>310</v>
      </c>
      <c r="AJ53" t="s">
        <v>184</v>
      </c>
      <c r="AK53" t="s">
        <v>185</v>
      </c>
      <c r="AL53">
        <v>0</v>
      </c>
      <c r="AM53" t="s">
        <v>307</v>
      </c>
    </row>
    <row r="54" spans="1:39" x14ac:dyDescent="0.25">
      <c r="A54" s="25">
        <v>8288</v>
      </c>
      <c r="B54" s="26">
        <v>329</v>
      </c>
      <c r="C54" s="27" t="s">
        <v>191</v>
      </c>
      <c r="D54" s="27"/>
      <c r="E54" s="28"/>
      <c r="F54" s="26">
        <v>29</v>
      </c>
      <c r="G54" s="28" t="s">
        <v>154</v>
      </c>
      <c r="H54" s="26">
        <v>3201</v>
      </c>
      <c r="I54" s="27" t="s">
        <v>183</v>
      </c>
      <c r="J54" s="27" t="s">
        <v>46</v>
      </c>
      <c r="K54" s="29">
        <v>45658</v>
      </c>
      <c r="L54" s="29">
        <v>1</v>
      </c>
      <c r="M54" s="29">
        <v>45688</v>
      </c>
      <c r="N54" s="30">
        <v>45688</v>
      </c>
      <c r="P54" t="b">
        <f t="shared" si="1"/>
        <v>1</v>
      </c>
      <c r="Q54" t="b">
        <f t="shared" si="0"/>
        <v>1</v>
      </c>
      <c r="S54">
        <v>329</v>
      </c>
      <c r="T54" t="s">
        <v>375</v>
      </c>
      <c r="U54" t="s">
        <v>376</v>
      </c>
      <c r="V54">
        <v>45658</v>
      </c>
      <c r="W54">
        <v>45702</v>
      </c>
      <c r="X54">
        <v>45726</v>
      </c>
      <c r="Y54">
        <v>68</v>
      </c>
      <c r="Z54">
        <v>44</v>
      </c>
      <c r="AA54">
        <v>33</v>
      </c>
      <c r="AB54">
        <v>11</v>
      </c>
      <c r="AC54" t="s">
        <v>313</v>
      </c>
      <c r="AD54" t="s">
        <v>313</v>
      </c>
      <c r="AE54" t="s">
        <v>317</v>
      </c>
      <c r="AF54" t="s">
        <v>304</v>
      </c>
      <c r="AG54" s="33" t="s">
        <v>183</v>
      </c>
      <c r="AH54" t="s">
        <v>171</v>
      </c>
      <c r="AI54" t="s">
        <v>310</v>
      </c>
      <c r="AJ54" t="s">
        <v>184</v>
      </c>
      <c r="AK54" t="s">
        <v>172</v>
      </c>
      <c r="AL54">
        <v>0</v>
      </c>
      <c r="AM54" t="s">
        <v>311</v>
      </c>
    </row>
    <row r="55" spans="1:39" x14ac:dyDescent="0.25">
      <c r="A55" s="25">
        <v>8328</v>
      </c>
      <c r="B55" s="26">
        <v>330</v>
      </c>
      <c r="C55" s="27" t="s">
        <v>203</v>
      </c>
      <c r="D55" s="27">
        <v>246933</v>
      </c>
      <c r="E55" s="28" t="s">
        <v>204</v>
      </c>
      <c r="F55" s="26">
        <v>28</v>
      </c>
      <c r="G55" s="28" t="s">
        <v>52</v>
      </c>
      <c r="H55" s="26">
        <v>2767</v>
      </c>
      <c r="I55" s="27" t="s">
        <v>118</v>
      </c>
      <c r="J55" s="27" t="s">
        <v>46</v>
      </c>
      <c r="K55" s="29">
        <v>45658</v>
      </c>
      <c r="L55" s="29">
        <v>1</v>
      </c>
      <c r="M55" s="29">
        <v>45869</v>
      </c>
      <c r="N55" s="30">
        <v>45869</v>
      </c>
      <c r="P55" t="b">
        <f t="shared" si="1"/>
        <v>1</v>
      </c>
      <c r="Q55" t="b">
        <f t="shared" si="0"/>
        <v>1</v>
      </c>
      <c r="S55">
        <v>330</v>
      </c>
      <c r="T55" t="s">
        <v>117</v>
      </c>
      <c r="U55" t="s">
        <v>377</v>
      </c>
      <c r="V55">
        <v>45658</v>
      </c>
      <c r="W55">
        <v>45744</v>
      </c>
      <c r="X55">
        <v>45744</v>
      </c>
      <c r="Y55">
        <v>86</v>
      </c>
      <c r="Z55">
        <v>86</v>
      </c>
      <c r="AA55">
        <v>33</v>
      </c>
      <c r="AB55">
        <v>53</v>
      </c>
      <c r="AC55" t="s">
        <v>313</v>
      </c>
      <c r="AD55" t="s">
        <v>302</v>
      </c>
      <c r="AE55" t="s">
        <v>317</v>
      </c>
      <c r="AF55" t="s">
        <v>304</v>
      </c>
      <c r="AG55" t="s">
        <v>362</v>
      </c>
      <c r="AH55" t="s">
        <v>171</v>
      </c>
      <c r="AI55" t="s">
        <v>310</v>
      </c>
      <c r="AJ55" t="s">
        <v>184</v>
      </c>
      <c r="AK55" t="s">
        <v>185</v>
      </c>
      <c r="AL55">
        <v>0</v>
      </c>
      <c r="AM55" t="s">
        <v>311</v>
      </c>
    </row>
    <row r="56" spans="1:39" x14ac:dyDescent="0.25">
      <c r="A56" s="31">
        <v>8426</v>
      </c>
      <c r="B56" s="32">
        <v>331</v>
      </c>
      <c r="C56" s="33" t="s">
        <v>125</v>
      </c>
      <c r="D56" s="33">
        <v>289092</v>
      </c>
      <c r="E56" s="34" t="s">
        <v>126</v>
      </c>
      <c r="F56" s="32">
        <v>21</v>
      </c>
      <c r="G56" s="34" t="s">
        <v>69</v>
      </c>
      <c r="H56" s="32">
        <v>3203</v>
      </c>
      <c r="I56" s="33" t="s">
        <v>127</v>
      </c>
      <c r="J56" s="33" t="s">
        <v>46</v>
      </c>
      <c r="K56" s="35">
        <v>45658</v>
      </c>
      <c r="L56" s="35">
        <v>1</v>
      </c>
      <c r="M56" s="35">
        <v>45688</v>
      </c>
      <c r="N56" s="36">
        <v>45761</v>
      </c>
      <c r="P56" t="b">
        <f t="shared" si="1"/>
        <v>1</v>
      </c>
      <c r="Q56" t="b">
        <f t="shared" si="0"/>
        <v>1</v>
      </c>
      <c r="S56">
        <v>331</v>
      </c>
      <c r="T56" t="s">
        <v>126</v>
      </c>
      <c r="U56" t="s">
        <v>378</v>
      </c>
      <c r="V56">
        <v>45658</v>
      </c>
      <c r="W56">
        <v>45688</v>
      </c>
      <c r="X56">
        <v>45761</v>
      </c>
      <c r="Y56">
        <v>103</v>
      </c>
      <c r="Z56">
        <v>30</v>
      </c>
      <c r="AA56">
        <v>33</v>
      </c>
      <c r="AB56">
        <v>-3</v>
      </c>
      <c r="AC56" t="s">
        <v>302</v>
      </c>
      <c r="AD56" t="s">
        <v>302</v>
      </c>
      <c r="AE56" t="s">
        <v>314</v>
      </c>
      <c r="AF56" t="s">
        <v>304</v>
      </c>
      <c r="AG56" s="33" t="s">
        <v>127</v>
      </c>
      <c r="AH56" t="s">
        <v>171</v>
      </c>
      <c r="AI56" t="s">
        <v>310</v>
      </c>
      <c r="AJ56" t="s">
        <v>184</v>
      </c>
      <c r="AK56" t="s">
        <v>185</v>
      </c>
      <c r="AL56">
        <v>0</v>
      </c>
      <c r="AM56" t="s">
        <v>318</v>
      </c>
    </row>
    <row r="57" spans="1:39" x14ac:dyDescent="0.25">
      <c r="A57" s="25">
        <v>8304</v>
      </c>
      <c r="B57" s="26">
        <v>332</v>
      </c>
      <c r="C57" s="27" t="s">
        <v>258</v>
      </c>
      <c r="D57" s="27">
        <v>247722</v>
      </c>
      <c r="E57" s="28" t="s">
        <v>117</v>
      </c>
      <c r="F57" s="26">
        <v>30</v>
      </c>
      <c r="G57" s="28" t="s">
        <v>44</v>
      </c>
      <c r="H57" s="26">
        <v>195</v>
      </c>
      <c r="I57" s="27" t="s">
        <v>78</v>
      </c>
      <c r="J57" s="27" t="s">
        <v>46</v>
      </c>
      <c r="K57" s="29"/>
      <c r="L57" s="29"/>
      <c r="M57" s="29"/>
      <c r="N57" s="30"/>
      <c r="P57" t="b">
        <f t="shared" si="1"/>
        <v>1</v>
      </c>
      <c r="Q57" t="b">
        <f t="shared" si="0"/>
        <v>1</v>
      </c>
      <c r="S57">
        <v>332</v>
      </c>
      <c r="T57" t="s">
        <v>117</v>
      </c>
      <c r="U57" t="s">
        <v>379</v>
      </c>
      <c r="V57">
        <v>45658</v>
      </c>
      <c r="W57">
        <v>45702</v>
      </c>
      <c r="X57">
        <v>45726</v>
      </c>
      <c r="Y57">
        <v>68</v>
      </c>
      <c r="Z57">
        <v>44</v>
      </c>
      <c r="AA57">
        <v>33</v>
      </c>
      <c r="AB57">
        <v>11</v>
      </c>
      <c r="AC57" t="s">
        <v>313</v>
      </c>
      <c r="AD57" t="s">
        <v>302</v>
      </c>
      <c r="AE57" t="s">
        <v>317</v>
      </c>
      <c r="AF57" t="s">
        <v>304</v>
      </c>
      <c r="AG57" t="s">
        <v>78</v>
      </c>
      <c r="AH57" t="s">
        <v>171</v>
      </c>
      <c r="AI57" t="s">
        <v>310</v>
      </c>
      <c r="AJ57" t="s">
        <v>184</v>
      </c>
      <c r="AK57" t="s">
        <v>185</v>
      </c>
      <c r="AL57">
        <v>0</v>
      </c>
      <c r="AM57" t="s">
        <v>311</v>
      </c>
    </row>
    <row r="58" spans="1:39" x14ac:dyDescent="0.25">
      <c r="A58" s="25">
        <v>8265</v>
      </c>
      <c r="B58" s="26">
        <v>333</v>
      </c>
      <c r="C58" s="27" t="s">
        <v>255</v>
      </c>
      <c r="D58" s="27"/>
      <c r="E58" s="28"/>
      <c r="F58" s="26">
        <v>21</v>
      </c>
      <c r="G58" s="28" t="s">
        <v>69</v>
      </c>
      <c r="H58" s="26">
        <v>3203</v>
      </c>
      <c r="I58" s="27" t="s">
        <v>127</v>
      </c>
      <c r="J58" s="27" t="s">
        <v>46</v>
      </c>
      <c r="K58" s="29">
        <v>45698</v>
      </c>
      <c r="L58" s="29">
        <v>45699</v>
      </c>
      <c r="M58" s="29">
        <v>45706</v>
      </c>
      <c r="N58" s="30"/>
      <c r="P58" t="b">
        <f t="shared" si="1"/>
        <v>1</v>
      </c>
      <c r="Q58" t="b">
        <f t="shared" si="0"/>
        <v>1</v>
      </c>
      <c r="S58">
        <v>333</v>
      </c>
      <c r="T58" t="s">
        <v>380</v>
      </c>
      <c r="U58" t="s">
        <v>381</v>
      </c>
      <c r="V58">
        <v>45658</v>
      </c>
      <c r="W58">
        <v>45688</v>
      </c>
      <c r="X58">
        <v>45688</v>
      </c>
      <c r="Y58">
        <v>30</v>
      </c>
      <c r="Z58">
        <v>30</v>
      </c>
      <c r="AA58">
        <v>33</v>
      </c>
      <c r="AB58">
        <v>-3</v>
      </c>
      <c r="AC58" t="s">
        <v>313</v>
      </c>
      <c r="AD58" t="s">
        <v>302</v>
      </c>
      <c r="AE58" t="s">
        <v>314</v>
      </c>
      <c r="AF58" t="s">
        <v>304</v>
      </c>
      <c r="AG58" s="27" t="s">
        <v>127</v>
      </c>
      <c r="AH58" t="s">
        <v>171</v>
      </c>
      <c r="AI58" t="s">
        <v>310</v>
      </c>
      <c r="AJ58" t="s">
        <v>184</v>
      </c>
      <c r="AK58" t="s">
        <v>185</v>
      </c>
      <c r="AL58">
        <v>0</v>
      </c>
      <c r="AM58" t="s">
        <v>307</v>
      </c>
    </row>
    <row r="59" spans="1:39" x14ac:dyDescent="0.25">
      <c r="A59" s="25">
        <v>8276</v>
      </c>
      <c r="B59" s="26">
        <v>334</v>
      </c>
      <c r="C59" s="27" t="s">
        <v>268</v>
      </c>
      <c r="D59" s="27"/>
      <c r="E59" s="28"/>
      <c r="F59" s="26">
        <v>21</v>
      </c>
      <c r="G59" s="28" t="s">
        <v>69</v>
      </c>
      <c r="H59" s="26">
        <v>3203</v>
      </c>
      <c r="I59" s="27" t="s">
        <v>127</v>
      </c>
      <c r="J59" s="27" t="s">
        <v>46</v>
      </c>
      <c r="K59" s="29">
        <v>45689</v>
      </c>
      <c r="L59" s="29">
        <v>45689</v>
      </c>
      <c r="M59" s="29">
        <v>45716</v>
      </c>
      <c r="N59" s="30">
        <v>45716</v>
      </c>
      <c r="P59" t="b">
        <f t="shared" si="1"/>
        <v>1</v>
      </c>
      <c r="Q59" t="b">
        <f t="shared" si="0"/>
        <v>1</v>
      </c>
      <c r="S59">
        <v>334</v>
      </c>
      <c r="T59" t="s">
        <v>382</v>
      </c>
      <c r="U59" t="s">
        <v>383</v>
      </c>
      <c r="V59">
        <v>45658</v>
      </c>
      <c r="W59">
        <v>45688</v>
      </c>
      <c r="X59">
        <v>45747</v>
      </c>
      <c r="Y59">
        <v>89</v>
      </c>
      <c r="Z59">
        <v>30</v>
      </c>
      <c r="AA59">
        <v>33</v>
      </c>
      <c r="AB59">
        <v>-3</v>
      </c>
      <c r="AC59" t="s">
        <v>316</v>
      </c>
      <c r="AD59" t="s">
        <v>302</v>
      </c>
      <c r="AE59" t="s">
        <v>314</v>
      </c>
      <c r="AF59" t="s">
        <v>304</v>
      </c>
      <c r="AG59" s="27" t="s">
        <v>127</v>
      </c>
      <c r="AH59" t="s">
        <v>171</v>
      </c>
      <c r="AI59" t="s">
        <v>310</v>
      </c>
      <c r="AJ59" t="s">
        <v>184</v>
      </c>
      <c r="AK59" t="s">
        <v>185</v>
      </c>
      <c r="AL59">
        <v>0</v>
      </c>
      <c r="AM59" t="s">
        <v>318</v>
      </c>
    </row>
    <row r="60" spans="1:39" x14ac:dyDescent="0.25">
      <c r="A60" s="25">
        <v>8268</v>
      </c>
      <c r="B60" s="26">
        <v>335</v>
      </c>
      <c r="C60" s="27" t="s">
        <v>252</v>
      </c>
      <c r="D60" s="27">
        <v>247417</v>
      </c>
      <c r="E60" s="28" t="s">
        <v>222</v>
      </c>
      <c r="F60" s="26">
        <v>21</v>
      </c>
      <c r="G60" s="28" t="s">
        <v>69</v>
      </c>
      <c r="H60" s="26">
        <v>3204</v>
      </c>
      <c r="I60" s="27" t="s">
        <v>196</v>
      </c>
      <c r="J60" s="27" t="s">
        <v>46</v>
      </c>
      <c r="K60" s="29">
        <v>45693</v>
      </c>
      <c r="L60" s="29">
        <v>45693</v>
      </c>
      <c r="M60" s="29"/>
      <c r="N60" s="30"/>
      <c r="P60" t="b">
        <f t="shared" si="1"/>
        <v>1</v>
      </c>
      <c r="Q60" t="b">
        <f t="shared" si="0"/>
        <v>1</v>
      </c>
      <c r="S60">
        <v>335</v>
      </c>
      <c r="T60" t="s">
        <v>56</v>
      </c>
      <c r="U60" t="s">
        <v>384</v>
      </c>
      <c r="V60">
        <v>45658</v>
      </c>
      <c r="W60">
        <v>45688</v>
      </c>
      <c r="X60">
        <v>45688</v>
      </c>
      <c r="Y60">
        <v>30</v>
      </c>
      <c r="Z60">
        <v>30</v>
      </c>
      <c r="AA60">
        <v>33</v>
      </c>
      <c r="AB60">
        <v>-3</v>
      </c>
      <c r="AC60" t="s">
        <v>302</v>
      </c>
      <c r="AD60" t="s">
        <v>302</v>
      </c>
      <c r="AE60" t="s">
        <v>314</v>
      </c>
      <c r="AF60" t="s">
        <v>304</v>
      </c>
      <c r="AG60" s="27" t="s">
        <v>196</v>
      </c>
      <c r="AH60" t="s">
        <v>171</v>
      </c>
      <c r="AI60" t="s">
        <v>310</v>
      </c>
      <c r="AJ60" t="s">
        <v>184</v>
      </c>
      <c r="AK60" t="s">
        <v>185</v>
      </c>
      <c r="AL60">
        <v>0</v>
      </c>
      <c r="AM60" t="s">
        <v>307</v>
      </c>
    </row>
    <row r="61" spans="1:39" x14ac:dyDescent="0.25">
      <c r="A61" s="31">
        <v>8277</v>
      </c>
      <c r="B61" s="32">
        <v>336</v>
      </c>
      <c r="C61" s="33" t="s">
        <v>279</v>
      </c>
      <c r="D61" s="33"/>
      <c r="E61" s="34"/>
      <c r="F61" s="32">
        <v>30</v>
      </c>
      <c r="G61" s="34" t="s">
        <v>44</v>
      </c>
      <c r="H61" s="32">
        <v>3203</v>
      </c>
      <c r="I61" s="33" t="s">
        <v>127</v>
      </c>
      <c r="J61" s="33" t="s">
        <v>46</v>
      </c>
      <c r="K61" s="35">
        <v>45694</v>
      </c>
      <c r="L61" s="35"/>
      <c r="M61" s="35">
        <v>45716</v>
      </c>
      <c r="N61" s="36">
        <v>45716</v>
      </c>
      <c r="P61" t="b">
        <f t="shared" si="1"/>
        <v>1</v>
      </c>
      <c r="Q61" t="b">
        <f t="shared" si="0"/>
        <v>1</v>
      </c>
      <c r="S61">
        <v>336</v>
      </c>
      <c r="T61" t="s">
        <v>126</v>
      </c>
      <c r="U61" t="s">
        <v>385</v>
      </c>
      <c r="V61">
        <v>45658</v>
      </c>
      <c r="W61">
        <v>45716</v>
      </c>
      <c r="X61">
        <v>45716</v>
      </c>
      <c r="Y61">
        <v>58</v>
      </c>
      <c r="Z61">
        <v>58</v>
      </c>
      <c r="AA61">
        <v>33</v>
      </c>
      <c r="AB61">
        <v>25</v>
      </c>
      <c r="AC61" t="s">
        <v>313</v>
      </c>
      <c r="AD61" t="s">
        <v>316</v>
      </c>
      <c r="AE61" t="s">
        <v>317</v>
      </c>
      <c r="AF61" t="s">
        <v>304</v>
      </c>
      <c r="AG61" s="27" t="s">
        <v>127</v>
      </c>
      <c r="AH61" t="s">
        <v>171</v>
      </c>
      <c r="AI61" t="s">
        <v>310</v>
      </c>
      <c r="AJ61" t="s">
        <v>184</v>
      </c>
      <c r="AK61" t="s">
        <v>185</v>
      </c>
      <c r="AL61">
        <v>0</v>
      </c>
      <c r="AM61" t="s">
        <v>311</v>
      </c>
    </row>
    <row r="62" spans="1:39" x14ac:dyDescent="0.25">
      <c r="A62" s="25">
        <v>8428</v>
      </c>
      <c r="B62" s="26">
        <v>337</v>
      </c>
      <c r="C62" s="27" t="s">
        <v>129</v>
      </c>
      <c r="D62" s="27">
        <v>289092</v>
      </c>
      <c r="E62" s="28" t="s">
        <v>126</v>
      </c>
      <c r="F62" s="26">
        <v>21</v>
      </c>
      <c r="G62" s="28" t="s">
        <v>69</v>
      </c>
      <c r="H62" s="26">
        <v>3203</v>
      </c>
      <c r="I62" s="27" t="s">
        <v>127</v>
      </c>
      <c r="J62" s="27" t="s">
        <v>46</v>
      </c>
      <c r="K62" s="29">
        <v>45658</v>
      </c>
      <c r="L62" s="29">
        <v>1</v>
      </c>
      <c r="M62" s="29">
        <v>45681</v>
      </c>
      <c r="N62" s="30">
        <v>45740</v>
      </c>
      <c r="P62" t="b">
        <f t="shared" si="1"/>
        <v>1</v>
      </c>
      <c r="Q62" t="b">
        <f t="shared" si="0"/>
        <v>1</v>
      </c>
      <c r="S62">
        <v>337</v>
      </c>
      <c r="T62" t="s">
        <v>126</v>
      </c>
      <c r="U62" t="s">
        <v>386</v>
      </c>
      <c r="V62">
        <v>45658</v>
      </c>
      <c r="W62">
        <v>45681</v>
      </c>
      <c r="X62">
        <v>45740</v>
      </c>
      <c r="Y62">
        <v>82</v>
      </c>
      <c r="Z62">
        <v>23</v>
      </c>
      <c r="AA62">
        <v>33</v>
      </c>
      <c r="AB62">
        <v>-10</v>
      </c>
      <c r="AC62" t="s">
        <v>302</v>
      </c>
      <c r="AD62" t="s">
        <v>302</v>
      </c>
      <c r="AE62" t="s">
        <v>314</v>
      </c>
      <c r="AF62" t="s">
        <v>304</v>
      </c>
      <c r="AG62" s="27" t="s">
        <v>127</v>
      </c>
      <c r="AH62" t="s">
        <v>171</v>
      </c>
      <c r="AI62" t="s">
        <v>310</v>
      </c>
      <c r="AJ62" t="s">
        <v>184</v>
      </c>
      <c r="AK62" t="s">
        <v>185</v>
      </c>
      <c r="AL62">
        <v>0</v>
      </c>
      <c r="AM62" t="s">
        <v>318</v>
      </c>
    </row>
    <row r="63" spans="1:39" x14ac:dyDescent="0.25">
      <c r="A63" s="31">
        <v>8273</v>
      </c>
      <c r="B63" s="32">
        <v>338</v>
      </c>
      <c r="C63" s="33" t="s">
        <v>245</v>
      </c>
      <c r="D63" s="33">
        <v>247857</v>
      </c>
      <c r="E63" s="34" t="s">
        <v>62</v>
      </c>
      <c r="F63" s="32">
        <v>21</v>
      </c>
      <c r="G63" s="34" t="s">
        <v>69</v>
      </c>
      <c r="H63" s="32">
        <v>3204</v>
      </c>
      <c r="I63" s="33" t="s">
        <v>196</v>
      </c>
      <c r="J63" s="33" t="s">
        <v>46</v>
      </c>
      <c r="K63" s="35"/>
      <c r="L63" s="35"/>
      <c r="M63" s="35"/>
      <c r="N63" s="36"/>
      <c r="P63" t="b">
        <f t="shared" si="1"/>
        <v>1</v>
      </c>
      <c r="Q63" t="b">
        <f t="shared" si="0"/>
        <v>1</v>
      </c>
      <c r="S63">
        <v>338</v>
      </c>
      <c r="T63" t="s">
        <v>62</v>
      </c>
      <c r="U63" t="s">
        <v>387</v>
      </c>
      <c r="V63">
        <v>45658</v>
      </c>
      <c r="W63">
        <v>45688</v>
      </c>
      <c r="X63">
        <v>45688</v>
      </c>
      <c r="Y63">
        <v>30</v>
      </c>
      <c r="Z63">
        <v>30</v>
      </c>
      <c r="AA63">
        <v>33</v>
      </c>
      <c r="AB63">
        <v>-3</v>
      </c>
      <c r="AC63" t="s">
        <v>302</v>
      </c>
      <c r="AD63" t="s">
        <v>302</v>
      </c>
      <c r="AE63" t="s">
        <v>314</v>
      </c>
      <c r="AF63" t="s">
        <v>304</v>
      </c>
      <c r="AG63" s="27" t="s">
        <v>196</v>
      </c>
      <c r="AH63" t="s">
        <v>171</v>
      </c>
      <c r="AI63" t="s">
        <v>310</v>
      </c>
      <c r="AJ63" t="s">
        <v>184</v>
      </c>
      <c r="AK63" t="s">
        <v>185</v>
      </c>
      <c r="AL63">
        <v>0</v>
      </c>
      <c r="AM63" t="s">
        <v>307</v>
      </c>
    </row>
    <row r="64" spans="1:39" x14ac:dyDescent="0.25">
      <c r="A64" s="31">
        <v>8278</v>
      </c>
      <c r="B64" s="32">
        <v>339</v>
      </c>
      <c r="C64" s="33" t="s">
        <v>276</v>
      </c>
      <c r="D64" s="33"/>
      <c r="E64" s="34"/>
      <c r="F64" s="32">
        <v>28</v>
      </c>
      <c r="G64" s="34" t="s">
        <v>52</v>
      </c>
      <c r="H64" s="32">
        <v>3203</v>
      </c>
      <c r="I64" s="33" t="s">
        <v>127</v>
      </c>
      <c r="J64" s="33" t="s">
        <v>46</v>
      </c>
      <c r="K64" s="35">
        <v>45700</v>
      </c>
      <c r="L64" s="35">
        <v>45700</v>
      </c>
      <c r="M64" s="35">
        <v>45700</v>
      </c>
      <c r="N64" s="36">
        <v>45700</v>
      </c>
      <c r="P64" t="b">
        <f t="shared" si="1"/>
        <v>1</v>
      </c>
      <c r="Q64" t="b">
        <f t="shared" si="0"/>
        <v>1</v>
      </c>
      <c r="S64">
        <v>339</v>
      </c>
      <c r="T64" t="s">
        <v>126</v>
      </c>
      <c r="U64" t="s">
        <v>388</v>
      </c>
      <c r="V64">
        <v>45658</v>
      </c>
      <c r="W64">
        <v>45716</v>
      </c>
      <c r="X64">
        <v>45716</v>
      </c>
      <c r="Y64">
        <v>58</v>
      </c>
      <c r="Z64">
        <v>58</v>
      </c>
      <c r="AA64">
        <v>33</v>
      </c>
      <c r="AB64">
        <v>25</v>
      </c>
      <c r="AC64" t="s">
        <v>313</v>
      </c>
      <c r="AD64" t="s">
        <v>302</v>
      </c>
      <c r="AE64" t="s">
        <v>317</v>
      </c>
      <c r="AF64" t="s">
        <v>304</v>
      </c>
      <c r="AG64" s="27" t="s">
        <v>127</v>
      </c>
      <c r="AH64" t="s">
        <v>171</v>
      </c>
      <c r="AI64" t="s">
        <v>310</v>
      </c>
      <c r="AJ64" t="s">
        <v>184</v>
      </c>
      <c r="AK64" t="s">
        <v>185</v>
      </c>
      <c r="AL64">
        <v>0</v>
      </c>
      <c r="AM64" t="s">
        <v>311</v>
      </c>
    </row>
    <row r="65" spans="1:39" x14ac:dyDescent="0.25">
      <c r="A65" s="31">
        <v>8280</v>
      </c>
      <c r="B65" s="32">
        <v>340</v>
      </c>
      <c r="C65" s="33" t="s">
        <v>197</v>
      </c>
      <c r="D65" s="33"/>
      <c r="E65" s="34"/>
      <c r="F65" s="32">
        <v>29</v>
      </c>
      <c r="G65" s="34" t="s">
        <v>154</v>
      </c>
      <c r="H65" s="32">
        <v>3204</v>
      </c>
      <c r="I65" s="33" t="s">
        <v>196</v>
      </c>
      <c r="J65" s="33" t="s">
        <v>46</v>
      </c>
      <c r="K65" s="35">
        <v>45658</v>
      </c>
      <c r="L65" s="35">
        <v>1</v>
      </c>
      <c r="M65" s="35">
        <v>45716</v>
      </c>
      <c r="N65" s="36">
        <v>45716</v>
      </c>
      <c r="P65" t="b">
        <f t="shared" si="1"/>
        <v>1</v>
      </c>
      <c r="Q65" t="b">
        <f t="shared" si="0"/>
        <v>1</v>
      </c>
      <c r="S65">
        <v>340</v>
      </c>
      <c r="T65" t="s">
        <v>389</v>
      </c>
      <c r="U65" t="s">
        <v>390</v>
      </c>
      <c r="V65">
        <v>45658</v>
      </c>
      <c r="W65">
        <v>45716</v>
      </c>
      <c r="X65">
        <v>45716</v>
      </c>
      <c r="Y65">
        <v>58</v>
      </c>
      <c r="Z65">
        <v>58</v>
      </c>
      <c r="AA65">
        <v>33</v>
      </c>
      <c r="AB65">
        <v>25</v>
      </c>
      <c r="AC65" t="s">
        <v>302</v>
      </c>
      <c r="AD65" t="s">
        <v>302</v>
      </c>
      <c r="AE65" t="s">
        <v>317</v>
      </c>
      <c r="AF65" t="s">
        <v>304</v>
      </c>
      <c r="AG65" s="27" t="s">
        <v>196</v>
      </c>
      <c r="AH65" t="s">
        <v>171</v>
      </c>
      <c r="AI65" t="s">
        <v>310</v>
      </c>
      <c r="AJ65" t="s">
        <v>184</v>
      </c>
      <c r="AK65" t="s">
        <v>185</v>
      </c>
      <c r="AL65">
        <v>0</v>
      </c>
      <c r="AM65" t="s">
        <v>311</v>
      </c>
    </row>
    <row r="66" spans="1:39" x14ac:dyDescent="0.25">
      <c r="A66" s="31">
        <v>8429</v>
      </c>
      <c r="B66" s="32">
        <v>341</v>
      </c>
      <c r="C66" s="33" t="s">
        <v>131</v>
      </c>
      <c r="D66" s="33">
        <v>247904</v>
      </c>
      <c r="E66" s="34" t="s">
        <v>132</v>
      </c>
      <c r="F66" s="32">
        <v>28</v>
      </c>
      <c r="G66" s="34" t="s">
        <v>52</v>
      </c>
      <c r="H66" s="32">
        <v>312</v>
      </c>
      <c r="I66" s="33" t="s">
        <v>133</v>
      </c>
      <c r="J66" s="33" t="s">
        <v>46</v>
      </c>
      <c r="K66" s="35">
        <v>45658</v>
      </c>
      <c r="L66" s="35">
        <v>1</v>
      </c>
      <c r="M66" s="35">
        <v>45869</v>
      </c>
      <c r="N66" s="36">
        <v>45869</v>
      </c>
      <c r="P66" t="b">
        <f t="shared" si="1"/>
        <v>1</v>
      </c>
      <c r="Q66" t="b">
        <f t="shared" ref="Q66:Q93" si="2">IF(I66="",TRUE,I66=AG66)</f>
        <v>1</v>
      </c>
      <c r="S66">
        <v>341</v>
      </c>
      <c r="T66" t="s">
        <v>132</v>
      </c>
      <c r="U66" t="s">
        <v>391</v>
      </c>
      <c r="V66">
        <v>45658</v>
      </c>
      <c r="W66">
        <v>45869</v>
      </c>
      <c r="X66">
        <v>45869</v>
      </c>
      <c r="Y66">
        <v>211</v>
      </c>
      <c r="Z66">
        <v>211</v>
      </c>
      <c r="AA66">
        <v>33</v>
      </c>
      <c r="AB66">
        <v>178</v>
      </c>
      <c r="AC66" t="s">
        <v>302</v>
      </c>
      <c r="AD66" t="s">
        <v>302</v>
      </c>
      <c r="AE66" t="s">
        <v>317</v>
      </c>
      <c r="AF66" t="s">
        <v>304</v>
      </c>
      <c r="AG66" s="33" t="s">
        <v>133</v>
      </c>
      <c r="AH66" t="s">
        <v>171</v>
      </c>
      <c r="AI66" t="s">
        <v>310</v>
      </c>
      <c r="AJ66" t="s">
        <v>184</v>
      </c>
      <c r="AK66" t="s">
        <v>185</v>
      </c>
      <c r="AL66">
        <v>0</v>
      </c>
      <c r="AM66" t="s">
        <v>311</v>
      </c>
    </row>
    <row r="67" spans="1:39" x14ac:dyDescent="0.25">
      <c r="A67" s="31">
        <v>8306</v>
      </c>
      <c r="B67" s="32">
        <v>342</v>
      </c>
      <c r="C67" s="33" t="s">
        <v>202</v>
      </c>
      <c r="D67" s="33"/>
      <c r="E67" s="34"/>
      <c r="F67" s="32">
        <v>29</v>
      </c>
      <c r="G67" s="34" t="s">
        <v>154</v>
      </c>
      <c r="H67" s="32">
        <v>3204</v>
      </c>
      <c r="I67" s="33" t="s">
        <v>196</v>
      </c>
      <c r="J67" s="33" t="s">
        <v>46</v>
      </c>
      <c r="K67" s="35">
        <v>45658</v>
      </c>
      <c r="L67" s="35">
        <v>1</v>
      </c>
      <c r="M67" s="35">
        <v>45716</v>
      </c>
      <c r="N67" s="36">
        <v>45716</v>
      </c>
      <c r="P67" t="b">
        <f t="shared" ref="P67:P93" si="3">B67=S67</f>
        <v>1</v>
      </c>
      <c r="Q67" t="b">
        <f t="shared" si="2"/>
        <v>1</v>
      </c>
      <c r="S67">
        <v>342</v>
      </c>
      <c r="T67" t="s">
        <v>59</v>
      </c>
      <c r="U67" t="s">
        <v>392</v>
      </c>
      <c r="V67">
        <v>45658</v>
      </c>
      <c r="W67">
        <v>45744</v>
      </c>
      <c r="X67">
        <v>45744</v>
      </c>
      <c r="Y67">
        <v>86</v>
      </c>
      <c r="Z67">
        <v>86</v>
      </c>
      <c r="AA67">
        <v>33</v>
      </c>
      <c r="AB67">
        <v>53</v>
      </c>
      <c r="AC67" t="s">
        <v>316</v>
      </c>
      <c r="AD67" t="s">
        <v>302</v>
      </c>
      <c r="AE67" t="s">
        <v>317</v>
      </c>
      <c r="AF67" t="s">
        <v>304</v>
      </c>
      <c r="AG67" s="27" t="s">
        <v>196</v>
      </c>
      <c r="AH67" t="s">
        <v>171</v>
      </c>
      <c r="AI67" t="s">
        <v>310</v>
      </c>
      <c r="AJ67" t="s">
        <v>184</v>
      </c>
      <c r="AK67" t="s">
        <v>185</v>
      </c>
      <c r="AL67">
        <v>0</v>
      </c>
      <c r="AM67" t="s">
        <v>311</v>
      </c>
    </row>
    <row r="68" spans="1:39" x14ac:dyDescent="0.25">
      <c r="A68" s="25">
        <v>8430</v>
      </c>
      <c r="B68" s="26">
        <v>343</v>
      </c>
      <c r="C68" s="27" t="s">
        <v>135</v>
      </c>
      <c r="D68" s="27">
        <v>247885</v>
      </c>
      <c r="E68" s="28" t="s">
        <v>65</v>
      </c>
      <c r="F68" s="26">
        <v>28</v>
      </c>
      <c r="G68" s="28" t="s">
        <v>52</v>
      </c>
      <c r="H68" s="26">
        <v>312</v>
      </c>
      <c r="I68" s="27" t="s">
        <v>133</v>
      </c>
      <c r="J68" s="27" t="s">
        <v>46</v>
      </c>
      <c r="K68" s="29">
        <v>45658</v>
      </c>
      <c r="L68" s="29">
        <v>1</v>
      </c>
      <c r="M68" s="29">
        <v>45760</v>
      </c>
      <c r="N68" s="30">
        <v>45760</v>
      </c>
      <c r="P68" t="b">
        <f t="shared" si="3"/>
        <v>1</v>
      </c>
      <c r="Q68" t="b">
        <f t="shared" si="2"/>
        <v>1</v>
      </c>
      <c r="S68">
        <v>343</v>
      </c>
      <c r="T68" t="s">
        <v>65</v>
      </c>
      <c r="U68" t="s">
        <v>393</v>
      </c>
      <c r="V68">
        <v>45658</v>
      </c>
      <c r="W68">
        <v>45760</v>
      </c>
      <c r="X68">
        <v>45760</v>
      </c>
      <c r="Y68">
        <v>102</v>
      </c>
      <c r="Z68">
        <v>102</v>
      </c>
      <c r="AA68">
        <v>33</v>
      </c>
      <c r="AB68">
        <v>69</v>
      </c>
      <c r="AC68" t="s">
        <v>302</v>
      </c>
      <c r="AD68" t="s">
        <v>302</v>
      </c>
      <c r="AE68" t="s">
        <v>317</v>
      </c>
      <c r="AF68" t="s">
        <v>304</v>
      </c>
      <c r="AG68" s="33" t="s">
        <v>133</v>
      </c>
      <c r="AH68" t="s">
        <v>171</v>
      </c>
      <c r="AI68" t="s">
        <v>310</v>
      </c>
      <c r="AJ68" t="s">
        <v>184</v>
      </c>
      <c r="AK68" t="s">
        <v>185</v>
      </c>
      <c r="AL68">
        <v>0</v>
      </c>
      <c r="AM68" t="s">
        <v>311</v>
      </c>
    </row>
    <row r="69" spans="1:39" x14ac:dyDescent="0.25">
      <c r="A69" s="25">
        <v>8305</v>
      </c>
      <c r="B69" s="26">
        <v>344</v>
      </c>
      <c r="C69" s="27" t="s">
        <v>201</v>
      </c>
      <c r="D69" s="27"/>
      <c r="E69" s="28"/>
      <c r="F69" s="26">
        <v>30</v>
      </c>
      <c r="G69" s="28" t="s">
        <v>44</v>
      </c>
      <c r="H69" s="26">
        <v>3204</v>
      </c>
      <c r="I69" s="27" t="s">
        <v>196</v>
      </c>
      <c r="J69" s="27" t="s">
        <v>46</v>
      </c>
      <c r="K69" s="29">
        <v>45658</v>
      </c>
      <c r="L69" s="29">
        <v>1</v>
      </c>
      <c r="M69" s="29">
        <v>45716</v>
      </c>
      <c r="N69" s="30">
        <v>45716</v>
      </c>
      <c r="P69" t="b">
        <f t="shared" si="3"/>
        <v>1</v>
      </c>
      <c r="Q69" t="b">
        <f t="shared" si="2"/>
        <v>1</v>
      </c>
      <c r="S69">
        <v>344</v>
      </c>
      <c r="T69" t="s">
        <v>56</v>
      </c>
      <c r="U69" t="s">
        <v>394</v>
      </c>
      <c r="V69">
        <v>45658</v>
      </c>
      <c r="W69">
        <v>45716</v>
      </c>
      <c r="X69">
        <v>45726</v>
      </c>
      <c r="Y69">
        <v>68</v>
      </c>
      <c r="Z69">
        <v>58</v>
      </c>
      <c r="AA69">
        <v>33</v>
      </c>
      <c r="AB69">
        <v>25</v>
      </c>
      <c r="AC69" t="s">
        <v>316</v>
      </c>
      <c r="AD69" t="s">
        <v>302</v>
      </c>
      <c r="AE69" t="s">
        <v>317</v>
      </c>
      <c r="AF69" t="s">
        <v>304</v>
      </c>
      <c r="AG69" s="27" t="s">
        <v>196</v>
      </c>
      <c r="AH69" t="s">
        <v>171</v>
      </c>
      <c r="AI69" t="s">
        <v>310</v>
      </c>
      <c r="AJ69" t="s">
        <v>184</v>
      </c>
      <c r="AK69" t="s">
        <v>185</v>
      </c>
      <c r="AL69">
        <v>0</v>
      </c>
      <c r="AM69" t="s">
        <v>311</v>
      </c>
    </row>
    <row r="70" spans="1:39" x14ac:dyDescent="0.25">
      <c r="A70" s="31">
        <v>8431</v>
      </c>
      <c r="B70" s="32">
        <v>345</v>
      </c>
      <c r="C70" s="33" t="s">
        <v>137</v>
      </c>
      <c r="D70" s="33">
        <v>247885</v>
      </c>
      <c r="E70" s="34" t="s">
        <v>65</v>
      </c>
      <c r="F70" s="32">
        <v>28</v>
      </c>
      <c r="G70" s="34" t="s">
        <v>52</v>
      </c>
      <c r="H70" s="32">
        <v>312</v>
      </c>
      <c r="I70" s="33" t="s">
        <v>133</v>
      </c>
      <c r="J70" s="33" t="s">
        <v>46</v>
      </c>
      <c r="K70" s="35">
        <v>45658</v>
      </c>
      <c r="L70" s="35">
        <v>1</v>
      </c>
      <c r="M70" s="35">
        <v>45760</v>
      </c>
      <c r="N70" s="36">
        <v>45790</v>
      </c>
      <c r="P70" t="b">
        <f t="shared" si="3"/>
        <v>1</v>
      </c>
      <c r="Q70" t="b">
        <f t="shared" si="2"/>
        <v>1</v>
      </c>
      <c r="S70">
        <v>345</v>
      </c>
      <c r="T70" t="s">
        <v>65</v>
      </c>
      <c r="U70" t="s">
        <v>395</v>
      </c>
      <c r="V70">
        <v>45658</v>
      </c>
      <c r="W70">
        <v>45760</v>
      </c>
      <c r="X70">
        <v>45790</v>
      </c>
      <c r="Y70">
        <v>132</v>
      </c>
      <c r="Z70">
        <v>102</v>
      </c>
      <c r="AA70">
        <v>33</v>
      </c>
      <c r="AB70">
        <v>69</v>
      </c>
      <c r="AC70" t="s">
        <v>302</v>
      </c>
      <c r="AD70" t="s">
        <v>302</v>
      </c>
      <c r="AE70" t="s">
        <v>317</v>
      </c>
      <c r="AF70" t="s">
        <v>304</v>
      </c>
      <c r="AG70" s="33" t="s">
        <v>133</v>
      </c>
      <c r="AH70" t="s">
        <v>171</v>
      </c>
      <c r="AI70" t="s">
        <v>310</v>
      </c>
      <c r="AJ70" t="s">
        <v>184</v>
      </c>
      <c r="AK70" t="s">
        <v>185</v>
      </c>
      <c r="AL70">
        <v>0</v>
      </c>
      <c r="AM70" t="s">
        <v>311</v>
      </c>
    </row>
    <row r="71" spans="1:39" x14ac:dyDescent="0.25">
      <c r="A71" s="25">
        <v>8432</v>
      </c>
      <c r="B71" s="26">
        <v>346</v>
      </c>
      <c r="C71" s="27" t="s">
        <v>139</v>
      </c>
      <c r="D71" s="27">
        <v>247828</v>
      </c>
      <c r="E71" s="28" t="s">
        <v>43</v>
      </c>
      <c r="F71" s="26">
        <v>21</v>
      </c>
      <c r="G71" s="28" t="s">
        <v>69</v>
      </c>
      <c r="H71" s="26">
        <v>3234</v>
      </c>
      <c r="I71" s="27" t="s">
        <v>140</v>
      </c>
      <c r="J71" s="27" t="s">
        <v>46</v>
      </c>
      <c r="K71" s="29">
        <v>45658</v>
      </c>
      <c r="L71" s="29">
        <v>1</v>
      </c>
      <c r="M71" s="29">
        <v>45688</v>
      </c>
      <c r="N71" s="30">
        <v>45688</v>
      </c>
      <c r="P71" t="b">
        <f t="shared" si="3"/>
        <v>1</v>
      </c>
      <c r="Q71" t="b">
        <f t="shared" si="2"/>
        <v>1</v>
      </c>
      <c r="S71">
        <v>346</v>
      </c>
      <c r="T71" t="s">
        <v>43</v>
      </c>
      <c r="U71" t="s">
        <v>396</v>
      </c>
      <c r="V71">
        <v>45658</v>
      </c>
      <c r="W71">
        <v>45688</v>
      </c>
      <c r="X71">
        <v>45688</v>
      </c>
      <c r="Y71">
        <v>30</v>
      </c>
      <c r="Z71">
        <v>30</v>
      </c>
      <c r="AA71">
        <v>33</v>
      </c>
      <c r="AB71">
        <v>-3</v>
      </c>
      <c r="AC71" t="s">
        <v>302</v>
      </c>
      <c r="AD71" t="s">
        <v>302</v>
      </c>
      <c r="AE71" t="s">
        <v>314</v>
      </c>
      <c r="AF71" t="s">
        <v>304</v>
      </c>
      <c r="AG71" s="27" t="s">
        <v>140</v>
      </c>
      <c r="AH71" t="s">
        <v>171</v>
      </c>
      <c r="AI71" t="s">
        <v>306</v>
      </c>
      <c r="AJ71" t="s">
        <v>184</v>
      </c>
      <c r="AK71" t="s">
        <v>185</v>
      </c>
      <c r="AL71">
        <v>0</v>
      </c>
      <c r="AM71" t="s">
        <v>307</v>
      </c>
    </row>
    <row r="72" spans="1:39" x14ac:dyDescent="0.25">
      <c r="A72" s="31">
        <v>8433</v>
      </c>
      <c r="B72" s="32">
        <v>347</v>
      </c>
      <c r="C72" s="33" t="s">
        <v>142</v>
      </c>
      <c r="D72" s="33">
        <v>247857</v>
      </c>
      <c r="E72" s="34" t="s">
        <v>62</v>
      </c>
      <c r="F72" s="32">
        <v>28</v>
      </c>
      <c r="G72" s="34" t="s">
        <v>52</v>
      </c>
      <c r="H72" s="32">
        <v>3234</v>
      </c>
      <c r="I72" s="33" t="s">
        <v>140</v>
      </c>
      <c r="J72" s="33" t="s">
        <v>46</v>
      </c>
      <c r="K72" s="35">
        <v>45658</v>
      </c>
      <c r="L72" s="35">
        <v>1</v>
      </c>
      <c r="M72" s="35">
        <v>45716</v>
      </c>
      <c r="N72" s="36">
        <v>45761</v>
      </c>
      <c r="P72" t="b">
        <f t="shared" si="3"/>
        <v>1</v>
      </c>
      <c r="Q72" t="b">
        <f t="shared" si="2"/>
        <v>1</v>
      </c>
      <c r="S72">
        <v>347</v>
      </c>
      <c r="T72" t="s">
        <v>62</v>
      </c>
      <c r="U72" t="s">
        <v>397</v>
      </c>
      <c r="V72">
        <v>45658</v>
      </c>
      <c r="W72">
        <v>45716</v>
      </c>
      <c r="X72">
        <v>45761</v>
      </c>
      <c r="Y72">
        <v>103</v>
      </c>
      <c r="Z72">
        <v>58</v>
      </c>
      <c r="AA72">
        <v>33</v>
      </c>
      <c r="AB72">
        <v>25</v>
      </c>
      <c r="AC72" t="s">
        <v>302</v>
      </c>
      <c r="AD72" t="s">
        <v>316</v>
      </c>
      <c r="AE72" t="s">
        <v>317</v>
      </c>
      <c r="AF72" t="s">
        <v>304</v>
      </c>
      <c r="AG72" s="27" t="s">
        <v>140</v>
      </c>
      <c r="AH72" t="s">
        <v>171</v>
      </c>
      <c r="AI72" t="s">
        <v>306</v>
      </c>
      <c r="AJ72" t="s">
        <v>184</v>
      </c>
      <c r="AK72" t="s">
        <v>185</v>
      </c>
      <c r="AL72">
        <v>0</v>
      </c>
      <c r="AM72" t="s">
        <v>311</v>
      </c>
    </row>
    <row r="73" spans="1:39" x14ac:dyDescent="0.25">
      <c r="A73" s="38">
        <v>8434</v>
      </c>
      <c r="B73" s="33">
        <v>348</v>
      </c>
      <c r="C73" s="33" t="s">
        <v>144</v>
      </c>
      <c r="D73" s="33">
        <v>247722</v>
      </c>
      <c r="E73" s="33" t="s">
        <v>117</v>
      </c>
      <c r="F73" s="33">
        <v>21</v>
      </c>
      <c r="G73" s="33" t="s">
        <v>69</v>
      </c>
      <c r="H73" s="33">
        <v>3234</v>
      </c>
      <c r="I73" s="33" t="s">
        <v>140</v>
      </c>
      <c r="J73" s="33" t="s">
        <v>46</v>
      </c>
      <c r="K73" s="33">
        <v>45658</v>
      </c>
      <c r="L73" s="33">
        <v>1</v>
      </c>
      <c r="M73" s="33">
        <v>45688</v>
      </c>
      <c r="N73" s="39">
        <v>45688</v>
      </c>
      <c r="P73" t="b">
        <f t="shared" si="3"/>
        <v>1</v>
      </c>
      <c r="Q73" t="b">
        <f t="shared" si="2"/>
        <v>1</v>
      </c>
      <c r="S73">
        <v>348</v>
      </c>
      <c r="T73" t="s">
        <v>117</v>
      </c>
      <c r="U73" t="s">
        <v>398</v>
      </c>
      <c r="V73">
        <v>45658</v>
      </c>
      <c r="W73">
        <v>45688</v>
      </c>
      <c r="X73">
        <v>45688</v>
      </c>
      <c r="Y73">
        <v>30</v>
      </c>
      <c r="Z73">
        <v>30</v>
      </c>
      <c r="AA73">
        <v>33</v>
      </c>
      <c r="AB73">
        <v>-3</v>
      </c>
      <c r="AC73" t="s">
        <v>302</v>
      </c>
      <c r="AD73" t="s">
        <v>302</v>
      </c>
      <c r="AE73" t="s">
        <v>314</v>
      </c>
      <c r="AF73" t="s">
        <v>304</v>
      </c>
      <c r="AG73" s="27" t="s">
        <v>140</v>
      </c>
      <c r="AH73" t="s">
        <v>171</v>
      </c>
      <c r="AI73" t="s">
        <v>306</v>
      </c>
      <c r="AJ73" t="s">
        <v>184</v>
      </c>
      <c r="AK73" t="s">
        <v>185</v>
      </c>
      <c r="AL73">
        <v>0</v>
      </c>
      <c r="AM73" t="s">
        <v>307</v>
      </c>
    </row>
    <row r="74" spans="1:39" x14ac:dyDescent="0.25">
      <c r="A74" s="25">
        <v>8435</v>
      </c>
      <c r="B74" s="26">
        <v>349</v>
      </c>
      <c r="C74" s="27" t="s">
        <v>146</v>
      </c>
      <c r="D74" s="27">
        <v>247828</v>
      </c>
      <c r="E74" s="28" t="s">
        <v>43</v>
      </c>
      <c r="F74" s="26">
        <v>28</v>
      </c>
      <c r="G74" s="28" t="s">
        <v>52</v>
      </c>
      <c r="H74" s="26">
        <v>3234</v>
      </c>
      <c r="I74" s="27" t="s">
        <v>140</v>
      </c>
      <c r="J74" s="27" t="s">
        <v>46</v>
      </c>
      <c r="K74" s="29">
        <v>45658</v>
      </c>
      <c r="L74" s="29">
        <v>1</v>
      </c>
      <c r="M74" s="29">
        <v>45726</v>
      </c>
      <c r="N74" s="30">
        <v>45726</v>
      </c>
      <c r="P74" t="b">
        <f t="shared" si="3"/>
        <v>1</v>
      </c>
      <c r="Q74" t="b">
        <f t="shared" si="2"/>
        <v>1</v>
      </c>
      <c r="S74">
        <v>349</v>
      </c>
      <c r="T74" t="s">
        <v>43</v>
      </c>
      <c r="U74" t="s">
        <v>399</v>
      </c>
      <c r="V74">
        <v>45658</v>
      </c>
      <c r="W74">
        <v>45726</v>
      </c>
      <c r="X74">
        <v>45726</v>
      </c>
      <c r="Y74">
        <v>68</v>
      </c>
      <c r="Z74">
        <v>68</v>
      </c>
      <c r="AA74">
        <v>33</v>
      </c>
      <c r="AB74">
        <v>35</v>
      </c>
      <c r="AC74" t="s">
        <v>316</v>
      </c>
      <c r="AD74" t="s">
        <v>316</v>
      </c>
      <c r="AE74" t="s">
        <v>317</v>
      </c>
      <c r="AF74" t="s">
        <v>304</v>
      </c>
      <c r="AG74" s="27" t="s">
        <v>140</v>
      </c>
      <c r="AH74" t="s">
        <v>171</v>
      </c>
      <c r="AI74" t="s">
        <v>306</v>
      </c>
      <c r="AJ74" t="s">
        <v>184</v>
      </c>
      <c r="AK74" t="s">
        <v>185</v>
      </c>
      <c r="AL74">
        <v>0</v>
      </c>
      <c r="AM74" t="s">
        <v>311</v>
      </c>
    </row>
    <row r="75" spans="1:39" x14ac:dyDescent="0.25">
      <c r="A75" s="31">
        <v>8436</v>
      </c>
      <c r="B75" s="32">
        <v>350</v>
      </c>
      <c r="C75" s="33" t="s">
        <v>148</v>
      </c>
      <c r="D75" s="33">
        <v>247857</v>
      </c>
      <c r="E75" s="34" t="s">
        <v>62</v>
      </c>
      <c r="F75" s="32">
        <v>28</v>
      </c>
      <c r="G75" s="34" t="s">
        <v>52</v>
      </c>
      <c r="H75" s="32">
        <v>3234</v>
      </c>
      <c r="I75" s="33" t="s">
        <v>140</v>
      </c>
      <c r="J75" s="33" t="s">
        <v>46</v>
      </c>
      <c r="K75" s="35">
        <v>45658</v>
      </c>
      <c r="L75" s="35">
        <v>1</v>
      </c>
      <c r="M75" s="35">
        <v>45702</v>
      </c>
      <c r="N75" s="36">
        <v>45702</v>
      </c>
      <c r="P75" t="b">
        <f t="shared" si="3"/>
        <v>1</v>
      </c>
      <c r="Q75" t="b">
        <f t="shared" si="2"/>
        <v>1</v>
      </c>
      <c r="S75">
        <v>350</v>
      </c>
      <c r="T75" t="s">
        <v>62</v>
      </c>
      <c r="U75" t="s">
        <v>400</v>
      </c>
      <c r="V75">
        <v>45658</v>
      </c>
      <c r="W75">
        <v>45702</v>
      </c>
      <c r="X75">
        <v>45702</v>
      </c>
      <c r="Y75">
        <v>44</v>
      </c>
      <c r="Z75">
        <v>44</v>
      </c>
      <c r="AA75">
        <v>33</v>
      </c>
      <c r="AB75">
        <v>11</v>
      </c>
      <c r="AC75" t="s">
        <v>302</v>
      </c>
      <c r="AD75" t="s">
        <v>302</v>
      </c>
      <c r="AE75" t="s">
        <v>317</v>
      </c>
      <c r="AF75" t="s">
        <v>304</v>
      </c>
      <c r="AG75" s="27" t="s">
        <v>140</v>
      </c>
      <c r="AH75" t="s">
        <v>171</v>
      </c>
      <c r="AI75" t="s">
        <v>306</v>
      </c>
      <c r="AJ75" t="s">
        <v>184</v>
      </c>
      <c r="AK75" t="s">
        <v>185</v>
      </c>
      <c r="AL75">
        <v>0</v>
      </c>
      <c r="AM75" t="s">
        <v>311</v>
      </c>
    </row>
    <row r="76" spans="1:39" x14ac:dyDescent="0.25">
      <c r="A76" s="25">
        <v>8437</v>
      </c>
      <c r="B76" s="26">
        <v>351</v>
      </c>
      <c r="C76" s="27" t="s">
        <v>150</v>
      </c>
      <c r="D76" s="27">
        <v>247828</v>
      </c>
      <c r="E76" s="28" t="s">
        <v>43</v>
      </c>
      <c r="F76" s="26">
        <v>28</v>
      </c>
      <c r="G76" s="28" t="s">
        <v>52</v>
      </c>
      <c r="H76" s="26">
        <v>3234</v>
      </c>
      <c r="I76" s="27" t="s">
        <v>140</v>
      </c>
      <c r="J76" s="27" t="s">
        <v>46</v>
      </c>
      <c r="K76" s="29">
        <v>45658</v>
      </c>
      <c r="L76" s="29">
        <v>1</v>
      </c>
      <c r="M76" s="29">
        <v>45716</v>
      </c>
      <c r="N76" s="30">
        <v>45757</v>
      </c>
      <c r="P76" t="b">
        <f t="shared" si="3"/>
        <v>1</v>
      </c>
      <c r="Q76" t="b">
        <f t="shared" si="2"/>
        <v>1</v>
      </c>
      <c r="S76">
        <v>351</v>
      </c>
      <c r="T76" t="s">
        <v>43</v>
      </c>
      <c r="U76" t="s">
        <v>401</v>
      </c>
      <c r="V76">
        <v>45658</v>
      </c>
      <c r="W76">
        <v>45716</v>
      </c>
      <c r="X76">
        <v>45757</v>
      </c>
      <c r="Y76">
        <v>99</v>
      </c>
      <c r="Z76">
        <v>58</v>
      </c>
      <c r="AA76">
        <v>33</v>
      </c>
      <c r="AB76">
        <v>25</v>
      </c>
      <c r="AC76" t="s">
        <v>302</v>
      </c>
      <c r="AD76" t="s">
        <v>316</v>
      </c>
      <c r="AE76" t="s">
        <v>317</v>
      </c>
      <c r="AF76" t="s">
        <v>304</v>
      </c>
      <c r="AG76" s="27" t="s">
        <v>140</v>
      </c>
      <c r="AH76" t="s">
        <v>171</v>
      </c>
      <c r="AI76" t="s">
        <v>306</v>
      </c>
      <c r="AJ76" t="s">
        <v>184</v>
      </c>
      <c r="AK76" t="s">
        <v>185</v>
      </c>
      <c r="AL76">
        <v>0</v>
      </c>
      <c r="AM76" t="s">
        <v>311</v>
      </c>
    </row>
    <row r="77" spans="1:39" x14ac:dyDescent="0.25">
      <c r="A77" s="25">
        <v>8254</v>
      </c>
      <c r="B77" s="26">
        <v>352</v>
      </c>
      <c r="C77" s="27" t="s">
        <v>244</v>
      </c>
      <c r="D77" s="27"/>
      <c r="E77" s="28"/>
      <c r="F77" s="26">
        <v>21</v>
      </c>
      <c r="G77" s="28" t="s">
        <v>69</v>
      </c>
      <c r="H77" s="26">
        <v>3201</v>
      </c>
      <c r="I77" s="27" t="s">
        <v>183</v>
      </c>
      <c r="J77" s="27" t="s">
        <v>46</v>
      </c>
      <c r="K77" s="29">
        <v>45688</v>
      </c>
      <c r="L77" s="29">
        <v>1</v>
      </c>
      <c r="M77" s="29">
        <v>45716</v>
      </c>
      <c r="N77" s="30">
        <v>45716</v>
      </c>
      <c r="P77" t="b">
        <f t="shared" si="3"/>
        <v>1</v>
      </c>
      <c r="Q77" t="b">
        <f t="shared" si="2"/>
        <v>1</v>
      </c>
      <c r="S77">
        <v>352</v>
      </c>
      <c r="T77" t="s">
        <v>98</v>
      </c>
      <c r="U77" t="s">
        <v>402</v>
      </c>
      <c r="V77">
        <v>45658</v>
      </c>
      <c r="W77">
        <v>45688</v>
      </c>
      <c r="X77">
        <v>45688</v>
      </c>
      <c r="Y77">
        <v>30</v>
      </c>
      <c r="Z77">
        <v>30</v>
      </c>
      <c r="AA77">
        <v>33</v>
      </c>
      <c r="AB77">
        <v>-3</v>
      </c>
      <c r="AC77" t="s">
        <v>302</v>
      </c>
      <c r="AD77" t="s">
        <v>302</v>
      </c>
      <c r="AE77" t="s">
        <v>314</v>
      </c>
      <c r="AF77" t="s">
        <v>304</v>
      </c>
      <c r="AG77" s="33" t="s">
        <v>183</v>
      </c>
      <c r="AH77" t="s">
        <v>171</v>
      </c>
      <c r="AI77" t="s">
        <v>310</v>
      </c>
      <c r="AJ77" t="s">
        <v>184</v>
      </c>
      <c r="AK77" t="s">
        <v>403</v>
      </c>
      <c r="AL77">
        <v>0</v>
      </c>
      <c r="AM77" t="s">
        <v>307</v>
      </c>
    </row>
    <row r="78" spans="1:39" x14ac:dyDescent="0.25">
      <c r="A78" s="31">
        <v>8286</v>
      </c>
      <c r="B78" s="32">
        <v>353</v>
      </c>
      <c r="C78" s="33" t="s">
        <v>199</v>
      </c>
      <c r="D78" s="33">
        <v>247795</v>
      </c>
      <c r="E78" s="34" t="s">
        <v>56</v>
      </c>
      <c r="F78" s="32">
        <v>28</v>
      </c>
      <c r="G78" s="34" t="s">
        <v>52</v>
      </c>
      <c r="H78" s="32">
        <v>3201</v>
      </c>
      <c r="I78" s="33" t="s">
        <v>183</v>
      </c>
      <c r="J78" s="33" t="s">
        <v>46</v>
      </c>
      <c r="K78" s="35">
        <v>45658</v>
      </c>
      <c r="L78" s="35">
        <v>1</v>
      </c>
      <c r="M78" s="35">
        <v>45688</v>
      </c>
      <c r="N78" s="36">
        <v>45688</v>
      </c>
      <c r="P78" t="b">
        <f t="shared" si="3"/>
        <v>1</v>
      </c>
      <c r="Q78" t="b">
        <f t="shared" si="2"/>
        <v>1</v>
      </c>
      <c r="S78">
        <v>353</v>
      </c>
      <c r="T78" t="s">
        <v>56</v>
      </c>
      <c r="U78" t="s">
        <v>404</v>
      </c>
      <c r="V78">
        <v>45658</v>
      </c>
      <c r="W78">
        <v>45688</v>
      </c>
      <c r="X78">
        <v>45688</v>
      </c>
      <c r="Y78">
        <v>30</v>
      </c>
      <c r="Z78">
        <v>30</v>
      </c>
      <c r="AA78">
        <v>33</v>
      </c>
      <c r="AB78">
        <v>-3</v>
      </c>
      <c r="AC78" t="s">
        <v>302</v>
      </c>
      <c r="AD78" t="s">
        <v>302</v>
      </c>
      <c r="AE78" t="s">
        <v>317</v>
      </c>
      <c r="AF78" t="s">
        <v>304</v>
      </c>
      <c r="AG78" s="33" t="s">
        <v>183</v>
      </c>
      <c r="AH78" t="s">
        <v>171</v>
      </c>
      <c r="AI78" t="s">
        <v>310</v>
      </c>
      <c r="AJ78" t="s">
        <v>184</v>
      </c>
      <c r="AK78" t="s">
        <v>185</v>
      </c>
      <c r="AL78">
        <v>0</v>
      </c>
      <c r="AM78" t="s">
        <v>307</v>
      </c>
    </row>
    <row r="79" spans="1:39" x14ac:dyDescent="0.25">
      <c r="A79" s="31">
        <v>8293</v>
      </c>
      <c r="B79" s="32">
        <v>354</v>
      </c>
      <c r="C79" s="33" t="s">
        <v>232</v>
      </c>
      <c r="D79" s="33">
        <v>247791</v>
      </c>
      <c r="E79" s="34" t="s">
        <v>182</v>
      </c>
      <c r="F79" s="32">
        <v>27</v>
      </c>
      <c r="G79" s="34" t="s">
        <v>178</v>
      </c>
      <c r="H79" s="32">
        <v>3201</v>
      </c>
      <c r="I79" s="33" t="s">
        <v>183</v>
      </c>
      <c r="J79" s="33" t="s">
        <v>46</v>
      </c>
      <c r="K79" s="35">
        <v>45658</v>
      </c>
      <c r="L79" s="35">
        <v>1</v>
      </c>
      <c r="M79" s="35">
        <v>45688</v>
      </c>
      <c r="N79" s="36">
        <v>45688</v>
      </c>
      <c r="P79" t="b">
        <f t="shared" si="3"/>
        <v>1</v>
      </c>
      <c r="Q79" t="b">
        <f t="shared" si="2"/>
        <v>1</v>
      </c>
      <c r="S79">
        <v>354</v>
      </c>
      <c r="T79" t="s">
        <v>182</v>
      </c>
      <c r="U79" t="s">
        <v>405</v>
      </c>
      <c r="V79">
        <v>45658</v>
      </c>
      <c r="W79">
        <v>45747</v>
      </c>
      <c r="X79">
        <v>45747</v>
      </c>
      <c r="Y79">
        <v>89</v>
      </c>
      <c r="Z79">
        <v>89</v>
      </c>
      <c r="AA79">
        <v>33</v>
      </c>
      <c r="AB79">
        <v>56</v>
      </c>
      <c r="AC79" t="s">
        <v>302</v>
      </c>
      <c r="AD79" t="s">
        <v>302</v>
      </c>
      <c r="AE79" t="s">
        <v>351</v>
      </c>
      <c r="AF79" t="s">
        <v>304</v>
      </c>
      <c r="AG79" s="33" t="s">
        <v>183</v>
      </c>
      <c r="AH79" t="s">
        <v>171</v>
      </c>
      <c r="AI79" t="s">
        <v>310</v>
      </c>
      <c r="AJ79" t="s">
        <v>184</v>
      </c>
      <c r="AK79" t="s">
        <v>185</v>
      </c>
      <c r="AL79">
        <v>0</v>
      </c>
      <c r="AM79" t="s">
        <v>311</v>
      </c>
    </row>
    <row r="80" spans="1:39" x14ac:dyDescent="0.25">
      <c r="A80" s="31">
        <v>8255</v>
      </c>
      <c r="B80" s="32">
        <v>359</v>
      </c>
      <c r="C80" s="33" t="s">
        <v>217</v>
      </c>
      <c r="D80" s="33"/>
      <c r="E80" s="34"/>
      <c r="F80" s="32">
        <v>21</v>
      </c>
      <c r="G80" s="34" t="s">
        <v>69</v>
      </c>
      <c r="H80" s="32">
        <v>3201</v>
      </c>
      <c r="I80" s="33" t="s">
        <v>183</v>
      </c>
      <c r="J80" s="33" t="s">
        <v>46</v>
      </c>
      <c r="K80" s="35">
        <v>45658</v>
      </c>
      <c r="L80" s="35">
        <v>1</v>
      </c>
      <c r="M80" s="35">
        <v>45702</v>
      </c>
      <c r="N80" s="36">
        <v>45702</v>
      </c>
      <c r="P80" t="b">
        <f t="shared" si="3"/>
        <v>1</v>
      </c>
      <c r="Q80" t="b">
        <f t="shared" si="2"/>
        <v>1</v>
      </c>
      <c r="S80">
        <v>359</v>
      </c>
      <c r="T80" t="s">
        <v>406</v>
      </c>
      <c r="U80" t="s">
        <v>407</v>
      </c>
      <c r="V80">
        <v>45677</v>
      </c>
      <c r="W80">
        <v>45688</v>
      </c>
      <c r="X80">
        <v>45688</v>
      </c>
      <c r="Y80">
        <v>11</v>
      </c>
      <c r="Z80">
        <v>11</v>
      </c>
      <c r="AA80">
        <v>14</v>
      </c>
      <c r="AB80">
        <v>-3</v>
      </c>
      <c r="AC80" t="s">
        <v>302</v>
      </c>
      <c r="AD80" t="s">
        <v>302</v>
      </c>
      <c r="AE80" t="s">
        <v>314</v>
      </c>
      <c r="AF80" t="s">
        <v>304</v>
      </c>
      <c r="AG80" s="33" t="s">
        <v>183</v>
      </c>
      <c r="AH80" t="s">
        <v>176</v>
      </c>
      <c r="AI80" t="s">
        <v>310</v>
      </c>
      <c r="AJ80" t="s">
        <v>184</v>
      </c>
      <c r="AK80" t="s">
        <v>172</v>
      </c>
      <c r="AL80">
        <v>0</v>
      </c>
      <c r="AM80" t="s">
        <v>318</v>
      </c>
    </row>
    <row r="81" spans="1:39" x14ac:dyDescent="0.25">
      <c r="A81" s="31">
        <v>8292</v>
      </c>
      <c r="B81" s="32">
        <v>360</v>
      </c>
      <c r="C81" s="33" t="s">
        <v>192</v>
      </c>
      <c r="D81" s="33">
        <v>246895</v>
      </c>
      <c r="E81" s="34" t="s">
        <v>193</v>
      </c>
      <c r="F81" s="32">
        <v>29</v>
      </c>
      <c r="G81" s="34" t="s">
        <v>154</v>
      </c>
      <c r="H81" s="32">
        <v>3201</v>
      </c>
      <c r="I81" s="33" t="s">
        <v>183</v>
      </c>
      <c r="J81" s="33" t="s">
        <v>46</v>
      </c>
      <c r="K81" s="35">
        <v>45658</v>
      </c>
      <c r="L81" s="35">
        <v>1</v>
      </c>
      <c r="M81" s="35">
        <v>45688</v>
      </c>
      <c r="N81" s="36">
        <v>45747</v>
      </c>
      <c r="P81" t="b">
        <f t="shared" si="3"/>
        <v>1</v>
      </c>
      <c r="Q81" t="b">
        <f t="shared" si="2"/>
        <v>1</v>
      </c>
      <c r="S81">
        <v>360</v>
      </c>
      <c r="T81" t="s">
        <v>193</v>
      </c>
      <c r="U81" t="s">
        <v>408</v>
      </c>
      <c r="V81">
        <v>45698</v>
      </c>
      <c r="W81">
        <v>45747</v>
      </c>
      <c r="X81">
        <v>45747</v>
      </c>
      <c r="Y81">
        <v>49</v>
      </c>
      <c r="Z81">
        <v>49</v>
      </c>
      <c r="AA81">
        <v>-7</v>
      </c>
      <c r="AB81">
        <v>56</v>
      </c>
      <c r="AC81" t="s">
        <v>313</v>
      </c>
      <c r="AD81" t="s">
        <v>302</v>
      </c>
      <c r="AE81" t="s">
        <v>317</v>
      </c>
      <c r="AF81" t="s">
        <v>304</v>
      </c>
      <c r="AG81" s="33" t="s">
        <v>183</v>
      </c>
      <c r="AH81" t="s">
        <v>171</v>
      </c>
      <c r="AI81" t="s">
        <v>310</v>
      </c>
      <c r="AJ81" t="s">
        <v>184</v>
      </c>
      <c r="AK81" t="s">
        <v>185</v>
      </c>
      <c r="AL81">
        <v>0</v>
      </c>
      <c r="AM81" t="s">
        <v>311</v>
      </c>
    </row>
    <row r="82" spans="1:39" x14ac:dyDescent="0.25">
      <c r="A82" s="31">
        <v>8294</v>
      </c>
      <c r="B82" s="32">
        <v>361</v>
      </c>
      <c r="C82" s="33" t="s">
        <v>242</v>
      </c>
      <c r="D82" s="33">
        <v>247556</v>
      </c>
      <c r="E82" s="34" t="s">
        <v>59</v>
      </c>
      <c r="F82" s="32">
        <v>27</v>
      </c>
      <c r="G82" s="34" t="s">
        <v>178</v>
      </c>
      <c r="H82" s="32">
        <v>3201</v>
      </c>
      <c r="I82" s="33" t="s">
        <v>183</v>
      </c>
      <c r="J82" s="33" t="s">
        <v>46</v>
      </c>
      <c r="K82" s="35">
        <v>45658</v>
      </c>
      <c r="L82" s="35">
        <v>1</v>
      </c>
      <c r="M82" s="35">
        <v>45672</v>
      </c>
      <c r="N82" s="36">
        <v>45675</v>
      </c>
      <c r="P82" t="b">
        <f t="shared" si="3"/>
        <v>1</v>
      </c>
      <c r="Q82" t="b">
        <f t="shared" si="2"/>
        <v>1</v>
      </c>
      <c r="S82">
        <v>361</v>
      </c>
      <c r="T82" t="s">
        <v>59</v>
      </c>
      <c r="U82" t="s">
        <v>409</v>
      </c>
      <c r="V82">
        <v>45687</v>
      </c>
      <c r="W82">
        <v>45777</v>
      </c>
      <c r="X82">
        <v>45777</v>
      </c>
      <c r="Y82">
        <v>90</v>
      </c>
      <c r="Z82">
        <v>90</v>
      </c>
      <c r="AA82">
        <v>4</v>
      </c>
      <c r="AB82">
        <v>86</v>
      </c>
      <c r="AC82" t="s">
        <v>302</v>
      </c>
      <c r="AD82" t="s">
        <v>302</v>
      </c>
      <c r="AE82" t="s">
        <v>317</v>
      </c>
      <c r="AF82" t="s">
        <v>304</v>
      </c>
      <c r="AG82" s="33" t="s">
        <v>183</v>
      </c>
      <c r="AH82" t="s">
        <v>171</v>
      </c>
      <c r="AI82" t="s">
        <v>310</v>
      </c>
      <c r="AJ82" t="s">
        <v>184</v>
      </c>
      <c r="AK82" t="s">
        <v>185</v>
      </c>
      <c r="AL82">
        <v>0</v>
      </c>
      <c r="AM82" t="s">
        <v>311</v>
      </c>
    </row>
    <row r="83" spans="1:39" x14ac:dyDescent="0.25">
      <c r="A83" s="31">
        <v>8256</v>
      </c>
      <c r="B83" s="32">
        <v>362</v>
      </c>
      <c r="C83" s="33" t="s">
        <v>166</v>
      </c>
      <c r="D83" s="33">
        <v>247002</v>
      </c>
      <c r="E83" s="34" t="s">
        <v>167</v>
      </c>
      <c r="F83" s="32">
        <v>21</v>
      </c>
      <c r="G83" s="34" t="s">
        <v>69</v>
      </c>
      <c r="H83" s="32">
        <v>3202</v>
      </c>
      <c r="I83" s="33" t="s">
        <v>165</v>
      </c>
      <c r="J83" s="33" t="s">
        <v>46</v>
      </c>
      <c r="K83" s="35">
        <v>45658</v>
      </c>
      <c r="L83" s="35">
        <v>1</v>
      </c>
      <c r="M83" s="35">
        <v>45744</v>
      </c>
      <c r="N83" s="36">
        <v>45775</v>
      </c>
      <c r="P83" t="b">
        <f t="shared" si="3"/>
        <v>1</v>
      </c>
      <c r="Q83" t="b">
        <f t="shared" si="2"/>
        <v>1</v>
      </c>
      <c r="S83">
        <v>362</v>
      </c>
      <c r="T83" t="s">
        <v>167</v>
      </c>
      <c r="U83" t="s">
        <v>410</v>
      </c>
      <c r="V83">
        <v>45677</v>
      </c>
      <c r="W83">
        <v>45681</v>
      </c>
      <c r="X83">
        <v>45684</v>
      </c>
      <c r="Y83">
        <v>7</v>
      </c>
      <c r="Z83">
        <v>4</v>
      </c>
      <c r="AA83">
        <v>14</v>
      </c>
      <c r="AB83">
        <v>-10</v>
      </c>
      <c r="AC83" t="s">
        <v>313</v>
      </c>
      <c r="AD83" t="s">
        <v>302</v>
      </c>
      <c r="AE83" t="s">
        <v>314</v>
      </c>
      <c r="AF83" t="s">
        <v>304</v>
      </c>
      <c r="AG83" t="s">
        <v>165</v>
      </c>
      <c r="AH83" t="s">
        <v>171</v>
      </c>
      <c r="AI83" t="s">
        <v>310</v>
      </c>
      <c r="AJ83" t="s">
        <v>184</v>
      </c>
      <c r="AK83" t="s">
        <v>172</v>
      </c>
      <c r="AL83">
        <v>12</v>
      </c>
      <c r="AM83" t="s">
        <v>318</v>
      </c>
    </row>
    <row r="84" spans="1:39" x14ac:dyDescent="0.25">
      <c r="A84" s="25">
        <v>8247</v>
      </c>
      <c r="B84" s="26">
        <v>363</v>
      </c>
      <c r="C84" s="27" t="s">
        <v>187</v>
      </c>
      <c r="D84" s="27">
        <v>247651</v>
      </c>
      <c r="E84" s="28" t="s">
        <v>103</v>
      </c>
      <c r="F84" s="26">
        <v>28</v>
      </c>
      <c r="G84" s="28" t="s">
        <v>52</v>
      </c>
      <c r="H84" s="26">
        <v>3199</v>
      </c>
      <c r="I84" s="27" t="s">
        <v>104</v>
      </c>
      <c r="J84" s="27" t="s">
        <v>46</v>
      </c>
      <c r="K84" s="29">
        <v>45658</v>
      </c>
      <c r="L84" s="29">
        <v>1</v>
      </c>
      <c r="M84" s="29">
        <v>45688</v>
      </c>
      <c r="N84" s="30">
        <v>45761</v>
      </c>
      <c r="P84" t="b">
        <f t="shared" si="3"/>
        <v>1</v>
      </c>
      <c r="Q84" t="b">
        <f t="shared" si="2"/>
        <v>1</v>
      </c>
      <c r="S84">
        <v>363</v>
      </c>
      <c r="T84" t="s">
        <v>103</v>
      </c>
      <c r="U84" t="s">
        <v>411</v>
      </c>
      <c r="V84">
        <v>45679</v>
      </c>
      <c r="W84">
        <v>45693</v>
      </c>
      <c r="X84">
        <v>45694</v>
      </c>
      <c r="Y84">
        <v>15</v>
      </c>
      <c r="Z84">
        <v>14</v>
      </c>
      <c r="AA84">
        <v>12</v>
      </c>
      <c r="AB84">
        <v>2</v>
      </c>
      <c r="AC84" t="s">
        <v>313</v>
      </c>
      <c r="AD84" t="s">
        <v>313</v>
      </c>
      <c r="AE84" t="s">
        <v>351</v>
      </c>
      <c r="AF84" t="s">
        <v>304</v>
      </c>
      <c r="AG84" s="27" t="s">
        <v>104</v>
      </c>
      <c r="AH84" t="s">
        <v>171</v>
      </c>
      <c r="AI84" t="s">
        <v>310</v>
      </c>
      <c r="AJ84" t="s">
        <v>184</v>
      </c>
      <c r="AK84" t="s">
        <v>185</v>
      </c>
      <c r="AL84">
        <v>0</v>
      </c>
      <c r="AM84" t="s">
        <v>311</v>
      </c>
    </row>
    <row r="85" spans="1:39" x14ac:dyDescent="0.25">
      <c r="A85" s="31">
        <v>8301</v>
      </c>
      <c r="B85" s="32">
        <v>366</v>
      </c>
      <c r="C85" s="33" t="s">
        <v>254</v>
      </c>
      <c r="D85" s="33"/>
      <c r="E85" s="34"/>
      <c r="F85" s="32">
        <v>22</v>
      </c>
      <c r="G85" s="34" t="s">
        <v>77</v>
      </c>
      <c r="H85" s="32">
        <v>195</v>
      </c>
      <c r="I85" s="33" t="s">
        <v>78</v>
      </c>
      <c r="J85" s="33" t="s">
        <v>46</v>
      </c>
      <c r="K85" s="35">
        <v>45701</v>
      </c>
      <c r="L85" s="35">
        <v>45701</v>
      </c>
      <c r="M85" s="35">
        <v>45701</v>
      </c>
      <c r="N85" s="36">
        <v>45701</v>
      </c>
      <c r="P85" t="b">
        <f t="shared" si="3"/>
        <v>1</v>
      </c>
      <c r="Q85" t="b">
        <f t="shared" si="2"/>
        <v>1</v>
      </c>
      <c r="S85">
        <v>366</v>
      </c>
      <c r="T85" t="s">
        <v>238</v>
      </c>
      <c r="U85" t="s">
        <v>412</v>
      </c>
      <c r="V85">
        <v>45658</v>
      </c>
      <c r="W85">
        <v>45688</v>
      </c>
      <c r="X85">
        <v>45688</v>
      </c>
      <c r="Y85">
        <v>30</v>
      </c>
      <c r="Z85">
        <v>30</v>
      </c>
      <c r="AA85">
        <v>33</v>
      </c>
      <c r="AB85">
        <v>-3</v>
      </c>
      <c r="AC85" t="s">
        <v>302</v>
      </c>
      <c r="AD85" t="s">
        <v>413</v>
      </c>
      <c r="AE85" t="s">
        <v>314</v>
      </c>
      <c r="AF85" t="s">
        <v>304</v>
      </c>
      <c r="AG85" t="s">
        <v>78</v>
      </c>
      <c r="AH85" t="s">
        <v>171</v>
      </c>
      <c r="AI85" t="s">
        <v>310</v>
      </c>
      <c r="AJ85" t="s">
        <v>170</v>
      </c>
      <c r="AK85" t="s">
        <v>185</v>
      </c>
      <c r="AL85">
        <v>0</v>
      </c>
      <c r="AM85" t="s">
        <v>318</v>
      </c>
    </row>
    <row r="86" spans="1:39" x14ac:dyDescent="0.25">
      <c r="A86" s="31">
        <v>8443</v>
      </c>
      <c r="B86" s="32">
        <v>367</v>
      </c>
      <c r="C86" s="33" t="s">
        <v>152</v>
      </c>
      <c r="D86" s="33">
        <v>247605</v>
      </c>
      <c r="E86" s="34" t="s">
        <v>153</v>
      </c>
      <c r="F86" s="32">
        <v>29</v>
      </c>
      <c r="G86" s="34" t="s">
        <v>154</v>
      </c>
      <c r="H86" s="32"/>
      <c r="I86" s="33"/>
      <c r="J86" s="33" t="s">
        <v>46</v>
      </c>
      <c r="K86" s="35">
        <v>45685</v>
      </c>
      <c r="L86" s="35">
        <v>1</v>
      </c>
      <c r="M86" s="35">
        <v>45716</v>
      </c>
      <c r="N86" s="36">
        <v>45723</v>
      </c>
      <c r="P86" t="b">
        <f t="shared" si="3"/>
        <v>1</v>
      </c>
      <c r="Q86" t="b">
        <f t="shared" si="2"/>
        <v>1</v>
      </c>
      <c r="S86">
        <v>367</v>
      </c>
      <c r="T86" t="s">
        <v>153</v>
      </c>
      <c r="U86" t="s">
        <v>414</v>
      </c>
      <c r="V86">
        <v>45685</v>
      </c>
      <c r="W86">
        <v>45716</v>
      </c>
      <c r="X86">
        <v>45723</v>
      </c>
      <c r="Y86">
        <v>38</v>
      </c>
      <c r="Z86">
        <v>31</v>
      </c>
      <c r="AA86">
        <v>6</v>
      </c>
      <c r="AB86">
        <v>25</v>
      </c>
      <c r="AC86" t="s">
        <v>313</v>
      </c>
      <c r="AD86" t="s">
        <v>313</v>
      </c>
      <c r="AE86" t="s">
        <v>415</v>
      </c>
      <c r="AF86" t="s">
        <v>304</v>
      </c>
      <c r="AG86" t="s">
        <v>416</v>
      </c>
      <c r="AH86" t="s">
        <v>176</v>
      </c>
      <c r="AI86" t="s">
        <v>415</v>
      </c>
      <c r="AJ86" t="s">
        <v>184</v>
      </c>
      <c r="AK86" t="s">
        <v>185</v>
      </c>
      <c r="AL86">
        <v>0</v>
      </c>
      <c r="AM86" t="s">
        <v>311</v>
      </c>
    </row>
    <row r="87" spans="1:39" x14ac:dyDescent="0.25">
      <c r="A87" s="25">
        <v>8444</v>
      </c>
      <c r="B87" s="26">
        <v>368</v>
      </c>
      <c r="C87" s="27" t="s">
        <v>156</v>
      </c>
      <c r="D87" s="27">
        <v>247888</v>
      </c>
      <c r="E87" s="28" t="s">
        <v>157</v>
      </c>
      <c r="F87" s="26">
        <v>22</v>
      </c>
      <c r="G87" s="28" t="s">
        <v>77</v>
      </c>
      <c r="H87" s="26">
        <v>3233</v>
      </c>
      <c r="I87" s="27" t="s">
        <v>45</v>
      </c>
      <c r="J87" s="27" t="s">
        <v>46</v>
      </c>
      <c r="K87" s="29">
        <v>45653</v>
      </c>
      <c r="L87" s="29">
        <v>1</v>
      </c>
      <c r="M87" s="29">
        <v>45695</v>
      </c>
      <c r="N87" s="30">
        <v>45695</v>
      </c>
      <c r="P87" t="b">
        <f t="shared" si="3"/>
        <v>1</v>
      </c>
      <c r="Q87" t="b">
        <f t="shared" si="2"/>
        <v>1</v>
      </c>
      <c r="S87">
        <v>368</v>
      </c>
      <c r="T87" t="s">
        <v>157</v>
      </c>
      <c r="U87" t="s">
        <v>417</v>
      </c>
      <c r="V87">
        <v>45653</v>
      </c>
      <c r="W87">
        <v>45695</v>
      </c>
      <c r="X87">
        <v>45695</v>
      </c>
      <c r="Y87">
        <v>42</v>
      </c>
      <c r="Z87">
        <v>42</v>
      </c>
      <c r="AA87">
        <v>38</v>
      </c>
      <c r="AB87">
        <v>4</v>
      </c>
      <c r="AC87" t="s">
        <v>302</v>
      </c>
      <c r="AD87" t="s">
        <v>302</v>
      </c>
      <c r="AE87" t="s">
        <v>317</v>
      </c>
      <c r="AF87" t="s">
        <v>304</v>
      </c>
      <c r="AG87" t="s">
        <v>305</v>
      </c>
      <c r="AH87" t="s">
        <v>176</v>
      </c>
      <c r="AI87" t="s">
        <v>306</v>
      </c>
      <c r="AJ87" t="s">
        <v>184</v>
      </c>
      <c r="AK87" t="s">
        <v>172</v>
      </c>
      <c r="AL87">
        <v>0</v>
      </c>
      <c r="AM87" t="s">
        <v>311</v>
      </c>
    </row>
    <row r="88" spans="1:39" x14ac:dyDescent="0.25">
      <c r="A88" s="25">
        <v>8281</v>
      </c>
      <c r="B88" s="26">
        <v>369</v>
      </c>
      <c r="C88" s="27" t="s">
        <v>246</v>
      </c>
      <c r="D88" s="27">
        <v>289006</v>
      </c>
      <c r="E88" s="28" t="s">
        <v>76</v>
      </c>
      <c r="F88" s="26">
        <v>21</v>
      </c>
      <c r="G88" s="28" t="s">
        <v>69</v>
      </c>
      <c r="H88" s="26">
        <v>3200</v>
      </c>
      <c r="I88" s="27" t="s">
        <v>179</v>
      </c>
      <c r="J88" s="27" t="s">
        <v>46</v>
      </c>
      <c r="K88" s="29"/>
      <c r="L88" s="29"/>
      <c r="M88" s="29"/>
      <c r="N88" s="30"/>
      <c r="P88" t="b">
        <f t="shared" si="3"/>
        <v>1</v>
      </c>
      <c r="Q88" t="b">
        <f t="shared" si="2"/>
        <v>1</v>
      </c>
      <c r="S88">
        <v>369</v>
      </c>
      <c r="T88" t="s">
        <v>76</v>
      </c>
      <c r="U88" t="s">
        <v>418</v>
      </c>
      <c r="V88">
        <v>45685</v>
      </c>
      <c r="W88">
        <v>45700</v>
      </c>
      <c r="X88">
        <v>45700</v>
      </c>
      <c r="Y88">
        <v>15</v>
      </c>
      <c r="Z88">
        <v>15</v>
      </c>
      <c r="AA88">
        <v>6</v>
      </c>
      <c r="AB88">
        <v>9</v>
      </c>
      <c r="AC88" t="s">
        <v>313</v>
      </c>
      <c r="AD88" t="s">
        <v>313</v>
      </c>
      <c r="AE88" t="s">
        <v>317</v>
      </c>
      <c r="AF88" t="s">
        <v>304</v>
      </c>
      <c r="AG88" t="s">
        <v>179</v>
      </c>
      <c r="AH88" t="s">
        <v>176</v>
      </c>
      <c r="AI88" t="s">
        <v>310</v>
      </c>
      <c r="AJ88" t="s">
        <v>170</v>
      </c>
      <c r="AK88" t="s">
        <v>172</v>
      </c>
      <c r="AL88">
        <v>0</v>
      </c>
      <c r="AM88" t="s">
        <v>311</v>
      </c>
    </row>
    <row r="89" spans="1:39" x14ac:dyDescent="0.25">
      <c r="A89" s="31">
        <v>8299</v>
      </c>
      <c r="B89" s="32">
        <v>370</v>
      </c>
      <c r="C89" s="33" t="s">
        <v>237</v>
      </c>
      <c r="D89" s="33">
        <v>247614</v>
      </c>
      <c r="E89" s="34" t="s">
        <v>238</v>
      </c>
      <c r="F89" s="32">
        <v>21</v>
      </c>
      <c r="G89" s="34" t="s">
        <v>69</v>
      </c>
      <c r="H89" s="32">
        <v>195</v>
      </c>
      <c r="I89" s="33" t="s">
        <v>78</v>
      </c>
      <c r="J89" s="33" t="s">
        <v>46</v>
      </c>
      <c r="K89" s="35">
        <v>45678</v>
      </c>
      <c r="L89" s="35">
        <v>1</v>
      </c>
      <c r="M89" s="35">
        <v>45678</v>
      </c>
      <c r="N89" s="36">
        <v>45688</v>
      </c>
      <c r="P89" t="b">
        <f t="shared" si="3"/>
        <v>1</v>
      </c>
      <c r="Q89" t="b">
        <f t="shared" si="2"/>
        <v>1</v>
      </c>
      <c r="S89">
        <v>370</v>
      </c>
      <c r="T89" t="s">
        <v>238</v>
      </c>
      <c r="U89" t="s">
        <v>419</v>
      </c>
      <c r="V89">
        <v>45678</v>
      </c>
      <c r="W89">
        <v>45678</v>
      </c>
      <c r="X89">
        <v>45688</v>
      </c>
      <c r="Y89">
        <v>10</v>
      </c>
      <c r="Z89">
        <v>0</v>
      </c>
      <c r="AA89">
        <v>13</v>
      </c>
      <c r="AB89">
        <v>-13</v>
      </c>
      <c r="AC89" t="s">
        <v>313</v>
      </c>
      <c r="AD89" t="s">
        <v>413</v>
      </c>
      <c r="AE89" t="s">
        <v>314</v>
      </c>
      <c r="AF89" t="s">
        <v>420</v>
      </c>
      <c r="AG89" t="s">
        <v>78</v>
      </c>
      <c r="AH89" t="s">
        <v>176</v>
      </c>
      <c r="AI89" t="s">
        <v>310</v>
      </c>
      <c r="AJ89" t="s">
        <v>421</v>
      </c>
      <c r="AK89" t="s">
        <v>172</v>
      </c>
      <c r="AL89">
        <v>0</v>
      </c>
      <c r="AM89" t="s">
        <v>318</v>
      </c>
    </row>
    <row r="90" spans="1:39" x14ac:dyDescent="0.25">
      <c r="A90" s="25">
        <v>8300</v>
      </c>
      <c r="B90" s="26">
        <v>371</v>
      </c>
      <c r="C90" s="27" t="s">
        <v>280</v>
      </c>
      <c r="D90" s="27"/>
      <c r="E90" s="28"/>
      <c r="F90" s="26">
        <v>21</v>
      </c>
      <c r="G90" s="28" t="s">
        <v>69</v>
      </c>
      <c r="H90" s="26">
        <v>195</v>
      </c>
      <c r="I90" s="27" t="s">
        <v>78</v>
      </c>
      <c r="J90" s="27" t="s">
        <v>46</v>
      </c>
      <c r="K90" s="29">
        <v>45700</v>
      </c>
      <c r="L90" s="29">
        <v>45700</v>
      </c>
      <c r="M90" s="29">
        <v>45700</v>
      </c>
      <c r="N90" s="30">
        <v>45700</v>
      </c>
      <c r="P90" t="b">
        <f t="shared" si="3"/>
        <v>1</v>
      </c>
      <c r="Q90" t="b">
        <f t="shared" si="2"/>
        <v>1</v>
      </c>
      <c r="S90">
        <v>371</v>
      </c>
      <c r="T90" t="s">
        <v>422</v>
      </c>
      <c r="U90" t="s">
        <v>423</v>
      </c>
      <c r="V90">
        <v>45663</v>
      </c>
      <c r="W90">
        <v>45688</v>
      </c>
      <c r="X90">
        <v>45688</v>
      </c>
      <c r="Y90">
        <v>25</v>
      </c>
      <c r="Z90">
        <v>25</v>
      </c>
      <c r="AA90">
        <v>28</v>
      </c>
      <c r="AB90">
        <v>-3</v>
      </c>
      <c r="AC90" t="s">
        <v>302</v>
      </c>
      <c r="AD90" t="s">
        <v>413</v>
      </c>
      <c r="AE90" t="s">
        <v>314</v>
      </c>
      <c r="AF90" t="s">
        <v>420</v>
      </c>
      <c r="AG90" t="s">
        <v>78</v>
      </c>
      <c r="AH90" t="s">
        <v>171</v>
      </c>
      <c r="AI90" t="s">
        <v>310</v>
      </c>
      <c r="AJ90" t="s">
        <v>184</v>
      </c>
      <c r="AK90" t="s">
        <v>185</v>
      </c>
      <c r="AL90">
        <v>0</v>
      </c>
      <c r="AM90" t="s">
        <v>318</v>
      </c>
    </row>
    <row r="91" spans="1:39" x14ac:dyDescent="0.25">
      <c r="A91" s="12">
        <v>8453</v>
      </c>
      <c r="B91" s="12">
        <v>372</v>
      </c>
      <c r="C91" t="s">
        <v>429</v>
      </c>
      <c r="D91">
        <v>289036</v>
      </c>
      <c r="E91" s="8" t="s">
        <v>262</v>
      </c>
      <c r="F91" s="12">
        <v>29</v>
      </c>
      <c r="G91" s="8" t="s">
        <v>154</v>
      </c>
      <c r="H91" s="12">
        <v>195</v>
      </c>
      <c r="I91" t="s">
        <v>78</v>
      </c>
      <c r="J91" t="s">
        <v>46</v>
      </c>
      <c r="K91" s="2">
        <v>45673</v>
      </c>
      <c r="L91" s="2">
        <v>1</v>
      </c>
      <c r="M91" s="2">
        <v>45675</v>
      </c>
      <c r="N91" s="2">
        <v>45675</v>
      </c>
      <c r="P91" t="b">
        <f t="shared" si="3"/>
        <v>1</v>
      </c>
      <c r="Q91" t="b">
        <f t="shared" si="2"/>
        <v>1</v>
      </c>
      <c r="S91">
        <v>372</v>
      </c>
      <c r="T91" t="s">
        <v>262</v>
      </c>
      <c r="U91" t="s">
        <v>424</v>
      </c>
      <c r="V91">
        <v>45673</v>
      </c>
      <c r="W91">
        <v>45675</v>
      </c>
      <c r="X91">
        <v>45675</v>
      </c>
      <c r="Y91">
        <v>2</v>
      </c>
      <c r="Z91">
        <v>2</v>
      </c>
      <c r="AA91">
        <v>18</v>
      </c>
      <c r="AB91">
        <v>-16</v>
      </c>
      <c r="AC91" t="s">
        <v>302</v>
      </c>
      <c r="AD91" t="s">
        <v>413</v>
      </c>
      <c r="AE91" t="s">
        <v>314</v>
      </c>
      <c r="AF91" t="s">
        <v>420</v>
      </c>
      <c r="AG91" t="s">
        <v>78</v>
      </c>
      <c r="AH91" t="s">
        <v>176</v>
      </c>
      <c r="AI91" t="s">
        <v>310</v>
      </c>
      <c r="AJ91" t="s">
        <v>421</v>
      </c>
      <c r="AK91" t="s">
        <v>172</v>
      </c>
      <c r="AL91">
        <v>0</v>
      </c>
      <c r="AM91" t="s">
        <v>318</v>
      </c>
    </row>
    <row r="92" spans="1:39" x14ac:dyDescent="0.25">
      <c r="A92" s="25">
        <v>8297</v>
      </c>
      <c r="B92" s="26">
        <v>373</v>
      </c>
      <c r="C92" s="27" t="s">
        <v>208</v>
      </c>
      <c r="D92" s="27"/>
      <c r="E92" s="28"/>
      <c r="F92" s="26">
        <v>21</v>
      </c>
      <c r="G92" s="28" t="s">
        <v>69</v>
      </c>
      <c r="H92" s="26">
        <v>195</v>
      </c>
      <c r="I92" s="27" t="s">
        <v>78</v>
      </c>
      <c r="J92" s="27" t="s">
        <v>46</v>
      </c>
      <c r="K92" s="29">
        <v>45658</v>
      </c>
      <c r="L92" s="29">
        <v>1</v>
      </c>
      <c r="M92" s="29">
        <v>45760</v>
      </c>
      <c r="N92" s="30">
        <v>45790</v>
      </c>
      <c r="P92" t="b">
        <f t="shared" si="3"/>
        <v>1</v>
      </c>
      <c r="Q92" t="b">
        <f t="shared" si="2"/>
        <v>1</v>
      </c>
      <c r="S92">
        <v>373</v>
      </c>
      <c r="T92" t="s">
        <v>425</v>
      </c>
      <c r="U92" t="s">
        <v>426</v>
      </c>
      <c r="V92">
        <v>45658</v>
      </c>
      <c r="W92">
        <v>45672</v>
      </c>
      <c r="X92">
        <v>45675</v>
      </c>
      <c r="Y92">
        <v>17</v>
      </c>
      <c r="Z92">
        <v>14</v>
      </c>
      <c r="AA92">
        <v>33</v>
      </c>
      <c r="AB92">
        <v>-19</v>
      </c>
      <c r="AC92" t="s">
        <v>302</v>
      </c>
      <c r="AD92" t="s">
        <v>413</v>
      </c>
      <c r="AE92" t="s">
        <v>314</v>
      </c>
      <c r="AF92" t="s">
        <v>304</v>
      </c>
      <c r="AG92" t="s">
        <v>78</v>
      </c>
      <c r="AH92" t="s">
        <v>171</v>
      </c>
      <c r="AI92" t="s">
        <v>310</v>
      </c>
      <c r="AJ92" t="s">
        <v>184</v>
      </c>
      <c r="AK92" t="s">
        <v>185</v>
      </c>
      <c r="AL92">
        <v>0</v>
      </c>
      <c r="AM92" t="s">
        <v>318</v>
      </c>
    </row>
    <row r="93" spans="1:39" x14ac:dyDescent="0.25">
      <c r="A93" s="25">
        <v>8291</v>
      </c>
      <c r="B93" s="26">
        <v>374</v>
      </c>
      <c r="C93" s="27" t="s">
        <v>265</v>
      </c>
      <c r="D93" s="27">
        <v>247807</v>
      </c>
      <c r="E93" s="28" t="s">
        <v>98</v>
      </c>
      <c r="F93" s="26">
        <v>22</v>
      </c>
      <c r="G93" s="28" t="s">
        <v>77</v>
      </c>
      <c r="H93" s="26">
        <v>3201</v>
      </c>
      <c r="I93" s="27" t="s">
        <v>183</v>
      </c>
      <c r="J93" s="27" t="s">
        <v>46</v>
      </c>
      <c r="K93" s="29">
        <v>45701</v>
      </c>
      <c r="L93" s="29">
        <v>45701</v>
      </c>
      <c r="M93" s="29">
        <v>45701</v>
      </c>
      <c r="N93" s="30">
        <v>45701</v>
      </c>
      <c r="P93" t="b">
        <f t="shared" si="3"/>
        <v>1</v>
      </c>
      <c r="Q93" t="b">
        <f t="shared" si="2"/>
        <v>1</v>
      </c>
      <c r="S93">
        <v>374</v>
      </c>
      <c r="T93" t="s">
        <v>98</v>
      </c>
      <c r="U93" t="s">
        <v>427</v>
      </c>
      <c r="V93">
        <v>45688</v>
      </c>
      <c r="W93">
        <v>45716</v>
      </c>
      <c r="X93">
        <v>45716</v>
      </c>
      <c r="Y93">
        <v>28</v>
      </c>
      <c r="Z93">
        <v>28</v>
      </c>
      <c r="AA93">
        <v>3</v>
      </c>
      <c r="AB93">
        <v>25</v>
      </c>
      <c r="AC93" t="s">
        <v>313</v>
      </c>
      <c r="AD93" t="s">
        <v>316</v>
      </c>
      <c r="AE93" t="s">
        <v>331</v>
      </c>
      <c r="AF93" t="s">
        <v>420</v>
      </c>
      <c r="AG93" s="27" t="s">
        <v>183</v>
      </c>
      <c r="AH93" t="s">
        <v>171</v>
      </c>
      <c r="AI93" t="s">
        <v>310</v>
      </c>
      <c r="AJ93" t="s">
        <v>184</v>
      </c>
      <c r="AK93" t="s">
        <v>403</v>
      </c>
      <c r="AL93">
        <v>0</v>
      </c>
      <c r="AM93" t="s">
        <v>311</v>
      </c>
    </row>
    <row r="94" spans="1:39" x14ac:dyDescent="0.25">
      <c r="A94" s="25">
        <v>8245</v>
      </c>
      <c r="B94" s="26">
        <v>900</v>
      </c>
      <c r="C94" s="27" t="s">
        <v>159</v>
      </c>
      <c r="D94" s="27"/>
      <c r="E94" s="28"/>
      <c r="F94" s="26">
        <v>29</v>
      </c>
      <c r="G94" s="28" t="s">
        <v>154</v>
      </c>
      <c r="H94" s="26">
        <v>252</v>
      </c>
      <c r="I94" s="27" t="s">
        <v>160</v>
      </c>
      <c r="J94" s="27" t="s">
        <v>46</v>
      </c>
      <c r="K94" s="29">
        <v>45658</v>
      </c>
      <c r="L94" s="29">
        <v>1</v>
      </c>
      <c r="M94" s="29">
        <v>45761</v>
      </c>
      <c r="N94" s="30">
        <v>45761</v>
      </c>
    </row>
    <row r="95" spans="1:39" x14ac:dyDescent="0.25">
      <c r="A95" s="31">
        <v>8329</v>
      </c>
      <c r="B95" s="26">
        <v>900</v>
      </c>
      <c r="C95" s="33" t="s">
        <v>162</v>
      </c>
      <c r="D95" s="33">
        <v>247047</v>
      </c>
      <c r="E95" s="34" t="s">
        <v>163</v>
      </c>
      <c r="F95" s="32">
        <v>29</v>
      </c>
      <c r="G95" s="34" t="s">
        <v>154</v>
      </c>
      <c r="H95" s="32">
        <v>312</v>
      </c>
      <c r="I95" s="33" t="s">
        <v>133</v>
      </c>
      <c r="J95" s="33" t="s">
        <v>46</v>
      </c>
      <c r="K95" s="35">
        <v>45658</v>
      </c>
      <c r="L95" s="35">
        <v>1</v>
      </c>
      <c r="M95" s="35">
        <v>45688</v>
      </c>
      <c r="N95" s="36">
        <v>45688</v>
      </c>
    </row>
    <row r="96" spans="1:39" x14ac:dyDescent="0.25">
      <c r="A96" s="31">
        <v>8325</v>
      </c>
      <c r="B96" s="26">
        <v>900</v>
      </c>
      <c r="C96" s="33" t="s">
        <v>169</v>
      </c>
      <c r="D96" s="33">
        <v>247857</v>
      </c>
      <c r="E96" s="34" t="s">
        <v>62</v>
      </c>
      <c r="F96" s="32">
        <v>29</v>
      </c>
      <c r="G96" s="34" t="s">
        <v>154</v>
      </c>
      <c r="H96" s="32">
        <v>252</v>
      </c>
      <c r="I96" s="33" t="s">
        <v>160</v>
      </c>
      <c r="J96" s="33" t="s">
        <v>46</v>
      </c>
      <c r="K96" s="35">
        <v>45658</v>
      </c>
      <c r="L96" s="35">
        <v>1</v>
      </c>
      <c r="M96" s="35">
        <v>45688</v>
      </c>
      <c r="N96" s="36">
        <v>45757</v>
      </c>
    </row>
    <row r="97" spans="1:14" x14ac:dyDescent="0.25">
      <c r="A97" s="31">
        <v>8326</v>
      </c>
      <c r="B97" s="26">
        <v>900</v>
      </c>
      <c r="C97" s="33" t="s">
        <v>174</v>
      </c>
      <c r="D97" s="33">
        <v>289006</v>
      </c>
      <c r="E97" s="34" t="s">
        <v>76</v>
      </c>
      <c r="F97" s="32">
        <v>30</v>
      </c>
      <c r="G97" s="34" t="s">
        <v>44</v>
      </c>
      <c r="H97" s="32">
        <v>3202</v>
      </c>
      <c r="I97" s="33" t="s">
        <v>165</v>
      </c>
      <c r="J97" s="33" t="s">
        <v>46</v>
      </c>
      <c r="K97" s="35">
        <v>45658</v>
      </c>
      <c r="L97" s="35">
        <v>1</v>
      </c>
      <c r="M97" s="35">
        <v>45702</v>
      </c>
      <c r="N97" s="36">
        <v>45702</v>
      </c>
    </row>
    <row r="98" spans="1:14" x14ac:dyDescent="0.25">
      <c r="A98" s="25">
        <v>8327</v>
      </c>
      <c r="B98" s="26">
        <v>900</v>
      </c>
      <c r="C98" s="27" t="s">
        <v>181</v>
      </c>
      <c r="D98" s="27">
        <v>247791</v>
      </c>
      <c r="E98" s="28" t="s">
        <v>182</v>
      </c>
      <c r="F98" s="26">
        <v>29</v>
      </c>
      <c r="G98" s="28" t="s">
        <v>154</v>
      </c>
      <c r="H98" s="26">
        <v>3201</v>
      </c>
      <c r="I98" s="27" t="s">
        <v>183</v>
      </c>
      <c r="J98" s="27" t="s">
        <v>46</v>
      </c>
      <c r="K98" s="29">
        <v>45658</v>
      </c>
      <c r="L98" s="29">
        <v>1</v>
      </c>
      <c r="M98" s="29">
        <v>45702</v>
      </c>
      <c r="N98" s="30">
        <v>45726</v>
      </c>
    </row>
    <row r="99" spans="1:14" x14ac:dyDescent="0.25">
      <c r="A99" s="25">
        <v>8313</v>
      </c>
      <c r="B99" s="26">
        <v>900</v>
      </c>
      <c r="C99" s="27" t="s">
        <v>194</v>
      </c>
      <c r="D99" s="27">
        <v>254970</v>
      </c>
      <c r="E99" s="28" t="s">
        <v>195</v>
      </c>
      <c r="F99" s="26">
        <v>21</v>
      </c>
      <c r="G99" s="28" t="s">
        <v>69</v>
      </c>
      <c r="H99" s="26">
        <v>3204</v>
      </c>
      <c r="I99" s="27" t="s">
        <v>196</v>
      </c>
      <c r="J99" s="27" t="s">
        <v>46</v>
      </c>
      <c r="K99" s="29">
        <v>45658</v>
      </c>
      <c r="L99" s="29">
        <v>1</v>
      </c>
      <c r="M99" s="29">
        <v>45688</v>
      </c>
      <c r="N99" s="30">
        <v>45688</v>
      </c>
    </row>
    <row r="100" spans="1:14" x14ac:dyDescent="0.25">
      <c r="A100" s="25">
        <v>8335</v>
      </c>
      <c r="B100" s="26">
        <v>900</v>
      </c>
      <c r="C100" s="27" t="s">
        <v>205</v>
      </c>
      <c r="D100" s="27">
        <v>247884</v>
      </c>
      <c r="E100" s="28" t="s">
        <v>206</v>
      </c>
      <c r="F100" s="26">
        <v>22</v>
      </c>
      <c r="G100" s="28" t="s">
        <v>77</v>
      </c>
      <c r="H100" s="26">
        <v>3204</v>
      </c>
      <c r="I100" s="27" t="s">
        <v>196</v>
      </c>
      <c r="J100" s="27" t="s">
        <v>46</v>
      </c>
      <c r="K100" s="29">
        <v>45658</v>
      </c>
      <c r="L100" s="29">
        <v>1</v>
      </c>
      <c r="M100" s="29">
        <v>45760</v>
      </c>
      <c r="N100" s="30">
        <v>45760</v>
      </c>
    </row>
    <row r="101" spans="1:14" x14ac:dyDescent="0.25">
      <c r="A101" s="31">
        <v>8448</v>
      </c>
      <c r="B101" s="26">
        <v>900</v>
      </c>
      <c r="C101" s="33" t="s">
        <v>209</v>
      </c>
      <c r="D101" s="33">
        <v>247647</v>
      </c>
      <c r="E101" s="34" t="s">
        <v>210</v>
      </c>
      <c r="F101" s="32">
        <v>22</v>
      </c>
      <c r="G101" s="34" t="s">
        <v>77</v>
      </c>
      <c r="H101" s="32">
        <v>3233</v>
      </c>
      <c r="I101" s="33" t="s">
        <v>45</v>
      </c>
      <c r="J101" s="33" t="s">
        <v>46</v>
      </c>
      <c r="K101" s="35">
        <v>45658</v>
      </c>
      <c r="L101" s="35">
        <v>1</v>
      </c>
      <c r="M101" s="35">
        <v>45688</v>
      </c>
      <c r="N101" s="36">
        <v>45688</v>
      </c>
    </row>
    <row r="102" spans="1:14" x14ac:dyDescent="0.25">
      <c r="A102" s="25">
        <v>8447</v>
      </c>
      <c r="B102" s="26">
        <v>900</v>
      </c>
      <c r="C102" s="27" t="s">
        <v>212</v>
      </c>
      <c r="D102" s="27">
        <v>289030</v>
      </c>
      <c r="E102" s="28" t="s">
        <v>213</v>
      </c>
      <c r="F102" s="26">
        <v>29</v>
      </c>
      <c r="G102" s="28" t="s">
        <v>154</v>
      </c>
      <c r="H102" s="26">
        <v>3198</v>
      </c>
      <c r="I102" s="27" t="s">
        <v>53</v>
      </c>
      <c r="J102" s="27" t="s">
        <v>46</v>
      </c>
      <c r="K102" s="29">
        <v>45658</v>
      </c>
      <c r="L102" s="29">
        <v>1</v>
      </c>
      <c r="M102" s="29">
        <v>45716</v>
      </c>
      <c r="N102" s="30">
        <v>45761</v>
      </c>
    </row>
    <row r="103" spans="1:14" x14ac:dyDescent="0.25">
      <c r="A103" s="25">
        <v>8284</v>
      </c>
      <c r="B103" s="26">
        <v>900</v>
      </c>
      <c r="C103" s="27" t="s">
        <v>216</v>
      </c>
      <c r="D103" s="27"/>
      <c r="E103" s="28"/>
      <c r="F103" s="26">
        <v>21</v>
      </c>
      <c r="G103" s="28" t="s">
        <v>69</v>
      </c>
      <c r="H103" s="26">
        <v>3198</v>
      </c>
      <c r="I103" s="27" t="s">
        <v>53</v>
      </c>
      <c r="J103" s="27" t="s">
        <v>46</v>
      </c>
      <c r="K103" s="29">
        <v>45658</v>
      </c>
      <c r="L103" s="29">
        <v>1</v>
      </c>
      <c r="M103" s="29">
        <v>45726</v>
      </c>
      <c r="N103" s="30">
        <v>45726</v>
      </c>
    </row>
    <row r="104" spans="1:14" x14ac:dyDescent="0.25">
      <c r="A104" s="31">
        <v>8289</v>
      </c>
      <c r="B104" s="26">
        <v>900</v>
      </c>
      <c r="C104" s="33" t="s">
        <v>220</v>
      </c>
      <c r="D104" s="33"/>
      <c r="E104" s="34"/>
      <c r="F104" s="32">
        <v>28</v>
      </c>
      <c r="G104" s="34" t="s">
        <v>52</v>
      </c>
      <c r="H104" s="32">
        <v>3203</v>
      </c>
      <c r="I104" s="33" t="s">
        <v>127</v>
      </c>
      <c r="J104" s="33" t="s">
        <v>46</v>
      </c>
      <c r="K104" s="35">
        <v>45658</v>
      </c>
      <c r="L104" s="35">
        <v>1</v>
      </c>
      <c r="M104" s="35">
        <v>45688</v>
      </c>
      <c r="N104" s="36">
        <v>45688</v>
      </c>
    </row>
    <row r="105" spans="1:14" x14ac:dyDescent="0.25">
      <c r="A105" s="25">
        <v>8309</v>
      </c>
      <c r="B105" s="26">
        <v>900</v>
      </c>
      <c r="C105" s="27" t="s">
        <v>221</v>
      </c>
      <c r="D105" s="27">
        <v>247417</v>
      </c>
      <c r="E105" s="28" t="s">
        <v>222</v>
      </c>
      <c r="F105" s="26">
        <v>21</v>
      </c>
      <c r="G105" s="28" t="s">
        <v>69</v>
      </c>
      <c r="H105" s="26">
        <v>3202</v>
      </c>
      <c r="I105" s="27" t="s">
        <v>165</v>
      </c>
      <c r="J105" s="27" t="s">
        <v>46</v>
      </c>
      <c r="K105" s="29">
        <v>45658</v>
      </c>
      <c r="L105" s="29">
        <v>1</v>
      </c>
      <c r="M105" s="29">
        <v>45688</v>
      </c>
      <c r="N105" s="30">
        <v>45688</v>
      </c>
    </row>
    <row r="106" spans="1:14" x14ac:dyDescent="0.25">
      <c r="A106" s="31">
        <v>8321</v>
      </c>
      <c r="B106" s="26">
        <v>900</v>
      </c>
      <c r="C106" s="33" t="s">
        <v>223</v>
      </c>
      <c r="D106" s="33">
        <v>247804</v>
      </c>
      <c r="E106" s="34" t="s">
        <v>224</v>
      </c>
      <c r="F106" s="32">
        <v>22</v>
      </c>
      <c r="G106" s="34" t="s">
        <v>77</v>
      </c>
      <c r="H106" s="32">
        <v>3204</v>
      </c>
      <c r="I106" s="33" t="s">
        <v>196</v>
      </c>
      <c r="J106" s="33" t="s">
        <v>46</v>
      </c>
      <c r="K106" s="35">
        <v>45658</v>
      </c>
      <c r="L106" s="35">
        <v>1</v>
      </c>
      <c r="M106" s="35">
        <v>45747</v>
      </c>
      <c r="N106" s="36">
        <v>45747</v>
      </c>
    </row>
    <row r="107" spans="1:14" x14ac:dyDescent="0.25">
      <c r="A107" s="25">
        <v>8336</v>
      </c>
      <c r="B107" s="26">
        <v>900</v>
      </c>
      <c r="C107" s="27" t="s">
        <v>225</v>
      </c>
      <c r="D107" s="27">
        <v>247897</v>
      </c>
      <c r="E107" s="28" t="s">
        <v>226</v>
      </c>
      <c r="F107" s="26">
        <v>21</v>
      </c>
      <c r="G107" s="28" t="s">
        <v>69</v>
      </c>
      <c r="H107" s="26">
        <v>3202</v>
      </c>
      <c r="I107" s="27" t="s">
        <v>165</v>
      </c>
      <c r="J107" s="27" t="s">
        <v>46</v>
      </c>
      <c r="K107" s="29">
        <v>45677</v>
      </c>
      <c r="L107" s="29">
        <v>1</v>
      </c>
      <c r="M107" s="29">
        <v>45688</v>
      </c>
      <c r="N107" s="30">
        <v>45688</v>
      </c>
    </row>
    <row r="108" spans="1:14" x14ac:dyDescent="0.25">
      <c r="A108" s="31">
        <v>8290</v>
      </c>
      <c r="B108" s="26">
        <v>900</v>
      </c>
      <c r="C108" s="33" t="s">
        <v>227</v>
      </c>
      <c r="D108" s="33"/>
      <c r="E108" s="34"/>
      <c r="F108" s="32">
        <v>21</v>
      </c>
      <c r="G108" s="34" t="s">
        <v>69</v>
      </c>
      <c r="H108" s="32">
        <v>3201</v>
      </c>
      <c r="I108" s="33" t="s">
        <v>183</v>
      </c>
      <c r="J108" s="33" t="s">
        <v>46</v>
      </c>
      <c r="K108" s="35">
        <v>45698</v>
      </c>
      <c r="L108" s="35">
        <v>1</v>
      </c>
      <c r="M108" s="35">
        <v>45747</v>
      </c>
      <c r="N108" s="36">
        <v>45747</v>
      </c>
    </row>
    <row r="109" spans="1:14" x14ac:dyDescent="0.25">
      <c r="A109" s="25">
        <v>8314</v>
      </c>
      <c r="B109" s="26">
        <v>900</v>
      </c>
      <c r="C109" s="27" t="s">
        <v>228</v>
      </c>
      <c r="D109" s="27"/>
      <c r="E109" s="28"/>
      <c r="F109" s="26">
        <v>22</v>
      </c>
      <c r="G109" s="28" t="s">
        <v>77</v>
      </c>
      <c r="H109" s="26">
        <v>3201</v>
      </c>
      <c r="I109" s="27" t="s">
        <v>183</v>
      </c>
      <c r="J109" s="27" t="s">
        <v>46</v>
      </c>
      <c r="K109" s="29">
        <v>45687</v>
      </c>
      <c r="L109" s="29">
        <v>1</v>
      </c>
      <c r="M109" s="29">
        <v>45777</v>
      </c>
      <c r="N109" s="30">
        <v>45777</v>
      </c>
    </row>
    <row r="110" spans="1:14" x14ac:dyDescent="0.25">
      <c r="A110" s="31">
        <v>8324</v>
      </c>
      <c r="B110" s="26">
        <v>900</v>
      </c>
      <c r="C110" s="33" t="s">
        <v>229</v>
      </c>
      <c r="D110" s="33">
        <v>246832</v>
      </c>
      <c r="E110" s="34" t="s">
        <v>230</v>
      </c>
      <c r="F110" s="32">
        <v>22</v>
      </c>
      <c r="G110" s="34" t="s">
        <v>77</v>
      </c>
      <c r="H110" s="32">
        <v>3204</v>
      </c>
      <c r="I110" s="33" t="s">
        <v>196</v>
      </c>
      <c r="J110" s="33" t="s">
        <v>46</v>
      </c>
      <c r="K110" s="35">
        <v>45677</v>
      </c>
      <c r="L110" s="35">
        <v>1</v>
      </c>
      <c r="M110" s="35">
        <v>45681</v>
      </c>
      <c r="N110" s="36">
        <v>45684</v>
      </c>
    </row>
    <row r="111" spans="1:14" x14ac:dyDescent="0.25">
      <c r="A111" s="25">
        <v>8307</v>
      </c>
      <c r="B111" s="26">
        <v>900</v>
      </c>
      <c r="C111" s="27" t="s">
        <v>231</v>
      </c>
      <c r="D111" s="27"/>
      <c r="E111" s="28"/>
      <c r="F111" s="26">
        <v>30</v>
      </c>
      <c r="G111" s="28" t="s">
        <v>44</v>
      </c>
      <c r="H111" s="26">
        <v>195</v>
      </c>
      <c r="I111" s="27" t="s">
        <v>78</v>
      </c>
      <c r="J111" s="27" t="s">
        <v>46</v>
      </c>
      <c r="K111" s="29">
        <v>45679</v>
      </c>
      <c r="L111" s="29">
        <v>1</v>
      </c>
      <c r="M111" s="29">
        <v>45693</v>
      </c>
      <c r="N111" s="30">
        <v>45694</v>
      </c>
    </row>
    <row r="112" spans="1:14" x14ac:dyDescent="0.25">
      <c r="A112" s="31">
        <v>8334</v>
      </c>
      <c r="B112" s="26">
        <v>900</v>
      </c>
      <c r="C112" s="33" t="s">
        <v>234</v>
      </c>
      <c r="D112" s="33">
        <v>247857</v>
      </c>
      <c r="E112" s="34" t="s">
        <v>62</v>
      </c>
      <c r="F112" s="32">
        <v>22</v>
      </c>
      <c r="G112" s="34" t="s">
        <v>77</v>
      </c>
      <c r="H112" s="32">
        <v>195</v>
      </c>
      <c r="I112" s="33" t="s">
        <v>78</v>
      </c>
      <c r="J112" s="33" t="s">
        <v>46</v>
      </c>
      <c r="K112" s="35">
        <v>45653</v>
      </c>
      <c r="L112" s="35">
        <v>1</v>
      </c>
      <c r="M112" s="35">
        <v>45695</v>
      </c>
      <c r="N112" s="36">
        <v>45695</v>
      </c>
    </row>
    <row r="113" spans="1:14" x14ac:dyDescent="0.25">
      <c r="A113" s="31">
        <v>8449</v>
      </c>
      <c r="B113" s="26">
        <v>900</v>
      </c>
      <c r="C113" s="33" t="s">
        <v>248</v>
      </c>
      <c r="D113" s="33">
        <v>247791</v>
      </c>
      <c r="E113" s="34" t="s">
        <v>182</v>
      </c>
      <c r="F113" s="32">
        <v>28</v>
      </c>
      <c r="G113" s="34" t="s">
        <v>52</v>
      </c>
      <c r="H113" s="32">
        <v>3201</v>
      </c>
      <c r="I113" s="33" t="s">
        <v>183</v>
      </c>
      <c r="J113" s="33" t="s">
        <v>46</v>
      </c>
      <c r="K113" s="35">
        <v>45699</v>
      </c>
      <c r="L113" s="35">
        <v>45705</v>
      </c>
      <c r="M113" s="35"/>
      <c r="N113" s="36"/>
    </row>
    <row r="114" spans="1:14" x14ac:dyDescent="0.25">
      <c r="A114" s="31">
        <v>8322</v>
      </c>
      <c r="B114" s="26">
        <v>900</v>
      </c>
      <c r="C114" s="33" t="s">
        <v>251</v>
      </c>
      <c r="D114" s="33">
        <v>289006</v>
      </c>
      <c r="E114" s="34" t="s">
        <v>76</v>
      </c>
      <c r="F114" s="32">
        <v>22</v>
      </c>
      <c r="G114" s="34" t="s">
        <v>77</v>
      </c>
      <c r="H114" s="32">
        <v>3204</v>
      </c>
      <c r="I114" s="33" t="s">
        <v>196</v>
      </c>
      <c r="J114" s="33" t="s">
        <v>46</v>
      </c>
      <c r="K114" s="35">
        <v>45689</v>
      </c>
      <c r="L114" s="35"/>
      <c r="M114" s="35"/>
      <c r="N114" s="36"/>
    </row>
    <row r="115" spans="1:14" x14ac:dyDescent="0.25">
      <c r="A115" s="25">
        <v>8320</v>
      </c>
      <c r="B115" s="26">
        <v>900</v>
      </c>
      <c r="C115" s="27" t="s">
        <v>261</v>
      </c>
      <c r="D115" s="27">
        <v>289036</v>
      </c>
      <c r="E115" s="28" t="s">
        <v>262</v>
      </c>
      <c r="F115" s="26">
        <v>22</v>
      </c>
      <c r="G115" s="28" t="s">
        <v>77</v>
      </c>
      <c r="H115" s="26">
        <v>3204</v>
      </c>
      <c r="I115" s="27" t="s">
        <v>196</v>
      </c>
      <c r="J115" s="27" t="s">
        <v>46</v>
      </c>
      <c r="K115" s="29">
        <v>45692</v>
      </c>
      <c r="L115" s="29">
        <v>45692</v>
      </c>
      <c r="M115" s="29">
        <v>45693</v>
      </c>
      <c r="N115" s="30">
        <v>45693</v>
      </c>
    </row>
    <row r="116" spans="1:14" x14ac:dyDescent="0.25">
      <c r="A116" s="31">
        <v>8317</v>
      </c>
      <c r="B116" s="26">
        <v>900</v>
      </c>
      <c r="C116" s="33" t="s">
        <v>263</v>
      </c>
      <c r="D116" s="33"/>
      <c r="E116" s="34"/>
      <c r="F116" s="32">
        <v>22</v>
      </c>
      <c r="G116" s="34" t="s">
        <v>77</v>
      </c>
      <c r="H116" s="32">
        <v>2767</v>
      </c>
      <c r="I116" s="33" t="s">
        <v>118</v>
      </c>
      <c r="J116" s="33" t="s">
        <v>46</v>
      </c>
      <c r="K116" s="35">
        <v>45698</v>
      </c>
      <c r="L116" s="35">
        <v>45698</v>
      </c>
      <c r="M116" s="35">
        <v>45698</v>
      </c>
      <c r="N116" s="36">
        <v>45698</v>
      </c>
    </row>
    <row r="117" spans="1:14" x14ac:dyDescent="0.25">
      <c r="A117" s="40">
        <v>8323</v>
      </c>
      <c r="B117" s="37">
        <v>900</v>
      </c>
      <c r="C117" s="41" t="s">
        <v>269</v>
      </c>
      <c r="D117" s="41">
        <v>247417</v>
      </c>
      <c r="E117" s="42" t="s">
        <v>222</v>
      </c>
      <c r="F117" s="43">
        <v>22</v>
      </c>
      <c r="G117" s="42" t="s">
        <v>77</v>
      </c>
      <c r="H117" s="43">
        <v>3204</v>
      </c>
      <c r="I117" s="41" t="s">
        <v>196</v>
      </c>
      <c r="J117" s="41" t="s">
        <v>46</v>
      </c>
      <c r="K117" s="44">
        <v>45700</v>
      </c>
      <c r="L117" s="44">
        <v>45700</v>
      </c>
      <c r="M117" s="44">
        <v>45700</v>
      </c>
      <c r="N117" s="45">
        <v>45700</v>
      </c>
    </row>
  </sheetData>
  <sortState xmlns:xlrd2="http://schemas.microsoft.com/office/spreadsheetml/2017/richdata2" ref="A2:N117">
    <sortCondition ref="B2:B117"/>
  </sortState>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974C30-C107-4D9B-99E9-203E5C21CDC2}">
  <sheetPr codeName="Hoja13">
    <tabColor theme="5" tint="-0.249977111117893"/>
  </sheetPr>
  <dimension ref="A1:F27"/>
  <sheetViews>
    <sheetView showGridLines="0" workbookViewId="0">
      <selection activeCell="D2" sqref="D2"/>
    </sheetView>
  </sheetViews>
  <sheetFormatPr baseColWidth="10" defaultColWidth="11.42578125" defaultRowHeight="15" x14ac:dyDescent="0.25"/>
  <cols>
    <col min="3" max="3" width="20.5703125" bestFit="1" customWidth="1"/>
    <col min="4" max="4" width="72.7109375" customWidth="1"/>
    <col min="5" max="5" width="23.5703125" customWidth="1"/>
  </cols>
  <sheetData>
    <row r="1" spans="1:6" x14ac:dyDescent="0.25">
      <c r="E1" s="1"/>
    </row>
    <row r="2" spans="1:6" ht="18.75" x14ac:dyDescent="0.3">
      <c r="B2" s="9" t="s">
        <v>0</v>
      </c>
      <c r="C2" s="9"/>
      <c r="D2" s="9"/>
      <c r="E2" s="9"/>
    </row>
    <row r="3" spans="1:6" x14ac:dyDescent="0.25">
      <c r="C3" s="3" t="s">
        <v>32</v>
      </c>
      <c r="D3" s="5" t="s">
        <v>40</v>
      </c>
      <c r="E3" t="s">
        <v>34</v>
      </c>
    </row>
    <row r="4" spans="1:6" x14ac:dyDescent="0.25">
      <c r="C4" s="4" t="s">
        <v>33</v>
      </c>
      <c r="D4" s="5" t="s">
        <v>39</v>
      </c>
      <c r="E4" t="s">
        <v>35</v>
      </c>
    </row>
    <row r="5" spans="1:6" ht="30" x14ac:dyDescent="0.25">
      <c r="C5" s="4" t="s">
        <v>1</v>
      </c>
      <c r="D5" s="5" t="s">
        <v>37</v>
      </c>
      <c r="E5" t="s">
        <v>36</v>
      </c>
    </row>
    <row r="6" spans="1:6" x14ac:dyDescent="0.25">
      <c r="C6" s="4" t="s">
        <v>41</v>
      </c>
      <c r="D6" s="5" t="s">
        <v>4</v>
      </c>
      <c r="E6" t="str">
        <f>IF(TRIM(kScript)="","*Error - Dato requerido","")</f>
        <v/>
      </c>
    </row>
    <row r="7" spans="1:6" x14ac:dyDescent="0.25">
      <c r="C7" s="4" t="s">
        <v>2</v>
      </c>
      <c r="D7" s="10">
        <v>45586</v>
      </c>
      <c r="E7" t="str">
        <f>IF(TRIM(kFechaDesde)="","*Error - Dato requerido",IF(kFechaDesde&gt;kFechaHasta,"*Error - (Fecha Desde) es mayor a (Fecha Hasta)",""))</f>
        <v/>
      </c>
      <c r="F7" s="2"/>
    </row>
    <row r="8" spans="1:6" x14ac:dyDescent="0.25">
      <c r="A8" s="1"/>
      <c r="C8" s="4" t="s">
        <v>3</v>
      </c>
      <c r="D8" s="10">
        <v>45586</v>
      </c>
      <c r="E8" t="str">
        <f>IF(TRIM(kFechaHasta)="","*Error - Dato requerido",IF(kFechaHasta&lt;kFechaDesde,"*Error - (Fecha hasta) es menor que (Fecha desde)",""))</f>
        <v/>
      </c>
      <c r="F8" s="2"/>
    </row>
    <row r="9" spans="1:6" x14ac:dyDescent="0.25">
      <c r="A9" s="1"/>
      <c r="D9" s="11" t="s">
        <v>31</v>
      </c>
    </row>
    <row r="15" spans="1:6" x14ac:dyDescent="0.25">
      <c r="D15" s="1"/>
    </row>
    <row r="27" spans="5:5" x14ac:dyDescent="0.25">
      <c r="E27" s="1"/>
    </row>
  </sheetData>
  <conditionalFormatting sqref="E3:E8">
    <cfRule type="containsText" dxfId="5" priority="1" operator="containsText" text="eRR">
      <formula>NOT(ISERROR(SEARCH("eRR",E3)))</formula>
    </cfRule>
  </conditionalFormatting>
  <dataValidations count="2">
    <dataValidation type="list" allowBlank="1" showInputMessage="1" showErrorMessage="1" sqref="D3" xr:uid="{9B110ADE-88B3-439D-A47A-875670C3F61E}">
      <formula1>"PROD,DESA"</formula1>
    </dataValidation>
    <dataValidation type="list" allowBlank="1" showInputMessage="1" showErrorMessage="1" sqref="D4" xr:uid="{99481459-90E6-485E-B676-1DEBEBE441C5}">
      <formula1>"SI,NO"</formula1>
    </dataValidation>
  </dataValidations>
  <pageMargins left="0.7" right="0.7" top="0.75" bottom="0.75" header="0.3" footer="0.3"/>
  <pageSetup orientation="portrait" horizontalDpi="0" verticalDpi="0" r:id="rId1"/>
</worksheet>
</file>

<file path=CustomUI/customUI.xml><?xml version="1.0" encoding="utf-8"?>
<customUI xmlns="http://schemas.microsoft.com/office/2006/01/customui">
  <ribbon>
    <tabs>
      <tab id="NTTab01" label="🚀 Proyectos IT">
        <group id="NTGrp01" label="Proyectos IT">
          <button id="NTBtnImportar" label="Importar" size="large" imageMso="GetExternalDataImportClassic" onAction="NTProcesarMenuProyectosIT"/>
          <button id="NTBtnCfg" label="CFG Conexión" size="large" imageMso="ServerConnection" onAction="NTProcesarMenuProyectosIT"/>
        </group>
        <group id="NTGrp99" label="Ayuda">
          <button id="NTBtnAcercaDe" label="Acerca de" size="large" imageMso="Info" onAction="NTProcesarMenuProyectosIT"/>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B20603B5-D1BC-4FF4-8A38-598703B0678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7</vt:i4>
      </vt:variant>
      <vt:variant>
        <vt:lpstr>Rangos con nombre</vt:lpstr>
      </vt:variant>
      <vt:variant>
        <vt:i4>6</vt:i4>
      </vt:variant>
    </vt:vector>
  </HeadingPairs>
  <TitlesOfParts>
    <vt:vector size="13" baseType="lpstr">
      <vt:lpstr>Dashboard</vt:lpstr>
      <vt:lpstr>_test</vt:lpstr>
      <vt:lpstr>_odoo_datos</vt:lpstr>
      <vt:lpstr>Gerencia</vt:lpstr>
      <vt:lpstr>Ger vs Inf</vt:lpstr>
      <vt:lpstr>Cuadre</vt:lpstr>
      <vt:lpstr>Parámetros</vt:lpstr>
      <vt:lpstr>kAmbiente</vt:lpstr>
      <vt:lpstr>kDepurar</vt:lpstr>
      <vt:lpstr>kDirectorio</vt:lpstr>
      <vt:lpstr>kFechaDesde</vt:lpstr>
      <vt:lpstr>kFechaHasta</vt:lpstr>
      <vt:lpstr>kScript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jalj153 Julio de León</dc:creator>
  <cp:lastModifiedBy>Julio de León</cp:lastModifiedBy>
  <cp:lastPrinted>2024-04-16T00:08:55Z</cp:lastPrinted>
  <dcterms:created xsi:type="dcterms:W3CDTF">2024-04-11T16:44:07Z</dcterms:created>
  <dcterms:modified xsi:type="dcterms:W3CDTF">2025-02-19T03:55:58Z</dcterms:modified>
</cp:coreProperties>
</file>